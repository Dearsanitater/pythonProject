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1" autoFilterDateGrouping="1"/>
  </bookViews>
  <sheets>
    <sheet name="Sheet1" sheetId="1" state="visible" r:id="rId1"/>
    <sheet name="2026041905hbase4" sheetId="2" state="visible" r:id="rId2"/>
    <sheet name="2026041919hbase0" sheetId="3" state="visible" r:id="rId3"/>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800080"/>
      <sz val="11"/>
      <scheme val="minor"/>
    </font>
    <font>
      <name val="宋体"/>
      <charset val="134"/>
      <color rgb="FF0000FF"/>
      <sz val="11"/>
      <scheme val="minor"/>
    </font>
    <font>
      <name val="宋体"/>
      <charset val="0"/>
      <color rgb="FF0000FF"/>
      <sz val="11"/>
      <u val="single"/>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8">
    <xf numFmtId="0" fontId="0" fillId="0" borderId="0" applyAlignment="1" pivotButton="0" quotePrefix="0" xfId="0">
      <alignment vertical="center"/>
    </xf>
    <xf numFmtId="0" fontId="1" fillId="0" borderId="0" pivotButton="0" quotePrefix="0" xfId="0"/>
    <xf numFmtId="0" fontId="2" fillId="0" borderId="0" pivotButton="0" quotePrefix="0" xfId="0"/>
    <xf numFmtId="0" fontId="3" fillId="0" borderId="0" applyAlignment="1" pivotButton="0" quotePrefix="0" xfId="6">
      <alignment vertical="center"/>
    </xf>
    <xf numFmtId="0" fontId="0" fillId="0" borderId="0" pivotButton="0" quotePrefix="0" xfId="0"/>
    <xf numFmtId="0" fontId="4" fillId="2" borderId="0" applyAlignment="1" pivotButton="0" quotePrefix="0" xfId="0">
      <alignment vertical="center"/>
    </xf>
    <xf numFmtId="0" fontId="5"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4" fillId="0" borderId="0" applyAlignment="1" pivotButton="0" quotePrefix="0" xfId="0">
      <alignment vertical="center"/>
    </xf>
    <xf numFmtId="0" fontId="6" fillId="0" borderId="0" applyAlignment="1" pivotButton="0" quotePrefix="0" xfId="0">
      <alignment vertical="center"/>
    </xf>
    <xf numFmtId="0" fontId="7" fillId="0" borderId="0" applyAlignment="1" pivotButton="0" quotePrefix="0" xfId="0">
      <alignment horizontal="center" vertical="center"/>
    </xf>
    <xf numFmtId="49" fontId="0" fillId="0" borderId="0" pivotButton="0" quotePrefix="0" xfId="0"/>
    <xf numFmtId="0" fontId="8" fillId="0" borderId="0" applyAlignment="1" pivotButton="0" quotePrefix="0" xfId="0">
      <alignment vertical="center" wrapText="1"/>
    </xf>
    <xf numFmtId="0" fontId="0" fillId="0" borderId="0" applyAlignment="1" pivotButton="0" quotePrefix="0" xfId="0">
      <alignment horizontal="left" vertical="center" wrapText="1"/>
    </xf>
    <xf numFmtId="0" fontId="9" fillId="0" borderId="0" applyAlignment="1" pivotButton="0" quotePrefix="0" xfId="0">
      <alignment vertical="center"/>
    </xf>
    <xf numFmtId="0" fontId="0" fillId="0" borderId="0" applyAlignment="1" pivotButton="0" quotePrefix="0" xfId="0">
      <alignment wrapText="1"/>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4"/>
  <sheetViews>
    <sheetView topLeftCell="A50" workbookViewId="0">
      <selection activeCell="BF2" sqref="BF2"/>
    </sheetView>
  </sheetViews>
  <sheetFormatPr baseColWidth="8" defaultColWidth="9" defaultRowHeight="13.5"/>
  <cols>
    <col width="29.125" customWidth="1" style="4" min="1" max="1"/>
    <col width="49.875" customWidth="1" style="4" min="2" max="2"/>
    <col width="29.125" customWidth="1" style="4" min="3" max="3"/>
    <col width="24.875" customWidth="1" style="4" min="5" max="5"/>
    <col width="26.125" customWidth="1" style="4" min="6" max="6"/>
    <col width="41.625" customWidth="1" style="4"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5" t="inlineStr">
        <is>
          <t>科学计数法</t>
        </is>
      </c>
    </row>
    <row r="4">
      <c r="B4" s="6" t="inlineStr">
        <is>
          <t>索引类型、复合索引区分不明确</t>
        </is>
      </c>
      <c r="E4" s="0" t="n">
        <v>2</v>
      </c>
      <c r="F4" s="5" t="inlineStr">
        <is>
          <t>二进制-string</t>
        </is>
      </c>
    </row>
    <row r="5">
      <c r="A5" s="0" t="inlineStr">
        <is>
          <t>mysql</t>
        </is>
      </c>
      <c r="B5" s="6" t="inlineStr">
        <is>
          <t>所有约束、索引貌似没有获取到，断点调试没反应</t>
        </is>
      </c>
      <c r="E5" s="0" t="n">
        <v>3</v>
      </c>
      <c r="F5" s="5" t="inlineStr">
        <is>
          <t>时间戳-string</t>
        </is>
      </c>
    </row>
    <row r="6">
      <c r="E6" s="0" t="n">
        <v>4</v>
      </c>
      <c r="F6" s="5" t="inlineStr">
        <is>
          <t>布尔类型-true、false字符串</t>
        </is>
      </c>
    </row>
    <row r="7">
      <c r="A7" s="0" t="inlineStr">
        <is>
          <t>ob_mysql</t>
        </is>
      </c>
    </row>
    <row r="8">
      <c r="A8" s="0" t="inlineStr">
        <is>
          <t>ob_oracle</t>
        </is>
      </c>
    </row>
    <row r="9">
      <c r="A9" s="7"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8" t="inlineStr">
        <is>
          <t>unique列获取有误</t>
        </is>
      </c>
      <c r="E20" s="9" t="inlineStr">
        <is>
          <t>mysql</t>
        </is>
      </c>
      <c r="F20" s="9" t="inlineStr">
        <is>
          <t>oracle</t>
        </is>
      </c>
      <c r="G20" s="9" t="inlineStr">
        <is>
          <t>pg</t>
        </is>
      </c>
      <c r="H20" s="9" t="inlineStr">
        <is>
          <t>opengauss</t>
        </is>
      </c>
      <c r="I20" s="9" t="inlineStr">
        <is>
          <t>dws</t>
        </is>
      </c>
      <c r="J20" s="10"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1" t="inlineStr">
        <is>
          <t>sql-oracle</t>
        </is>
      </c>
      <c r="C28" s="11"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2"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2"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3"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4">
      <c r="B50" s="14"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5"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4">
      <c r="A61" s="0" t="inlineStr">
        <is>
          <t>oracle-&gt;qianbase xtp</t>
        </is>
      </c>
      <c r="C61" s="16"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row>
    <row r="70">
      <c r="A70" s="0" t="inlineStr">
        <is>
          <t>dm-&gt;goldendb</t>
        </is>
      </c>
    </row>
    <row r="71">
      <c r="A71" s="0" t="inlineStr">
        <is>
          <t>dm-&gt;oracle</t>
        </is>
      </c>
    </row>
    <row r="72">
      <c r="A72" s="0" t="inlineStr">
        <is>
          <t>dm-&gt;postgresgl</t>
        </is>
      </c>
    </row>
    <row r="73">
      <c r="A73" s="0" t="inlineStr">
        <is>
          <t>dm-&gt;tdsgl postgresql</t>
        </is>
      </c>
    </row>
    <row r="74">
      <c r="A74" s="0" t="inlineStr">
        <is>
          <t>dm-vdm</t>
        </is>
      </c>
    </row>
    <row r="75">
      <c r="A75" s="0" t="inlineStr">
        <is>
          <t>dm-&gt;opengauss</t>
        </is>
      </c>
    </row>
    <row r="76">
      <c r="A76" s="0" t="inlineStr">
        <is>
          <t>dm-&gt;oceanbase oracle</t>
        </is>
      </c>
    </row>
    <row r="78">
      <c r="A78" s="0" t="inlineStr">
        <is>
          <t>db2-&gt;db2</t>
        </is>
      </c>
    </row>
    <row r="79">
      <c r="A79" s="0" t="inlineStr">
        <is>
          <t>db2-&gt;mysql</t>
        </is>
      </c>
    </row>
    <row r="80">
      <c r="A80" s="0" t="inlineStr">
        <is>
          <t>db2-&gt;oracle</t>
        </is>
      </c>
    </row>
    <row r="81">
      <c r="A81" s="0" t="inlineStr">
        <is>
          <t>db2-&gt;postgresgl</t>
        </is>
      </c>
    </row>
    <row r="82">
      <c r="A82" s="0" t="inlineStr">
        <is>
          <t>db2-&gt;dm</t>
        </is>
      </c>
    </row>
    <row r="83">
      <c r="A83" s="0" t="inlineStr">
        <is>
          <t>db2-&gt;opengauss</t>
        </is>
      </c>
    </row>
    <row r="84">
      <c r="A84" s="0" t="inlineStr">
        <is>
          <t>db2-&gt;oceanbase oracle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EV3314"/>
  <sheetViews>
    <sheetView tabSelected="1" topLeftCell="BD1" workbookViewId="0">
      <selection activeCell="BQ3" sqref="BQ3"/>
    </sheetView>
  </sheetViews>
  <sheetFormatPr baseColWidth="8" defaultColWidth="9" defaultRowHeight="13.5"/>
  <cols>
    <col width="49.25" customWidth="1" style="4" min="27" max="27"/>
    <col width="25.75" customWidth="1" style="4" min="28" max="28"/>
    <col width="15.75" customWidth="1" style="4" min="29" max="29"/>
    <col width="39.375" customWidth="1" style="4" min="62" max="62"/>
  </cols>
  <sheetData>
    <row r="1">
      <c r="A1" s="0" t="inlineStr">
        <is>
          <t>sqlserver -- 2026041905hbase</t>
        </is>
      </c>
      <c r="E1" s="0" t="inlineStr">
        <is>
          <t>源端共计 202个表，备端共计 202个表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HYPERLINK("#2026041905hbase4!W3","info_geometry_dml_single_pk_irp")</f>
        <v/>
      </c>
      <c r="Z2" s="2">
        <f>HYPERLINK("#2026041905hbase4!W11","info_text_dml_single_pk_irp")</f>
        <v/>
      </c>
      <c r="AA2" s="2">
        <f>HYPERLINK("#2026041905hbase4!W15","info_datetimeoffset_dml_single_pk_urp")</f>
        <v/>
      </c>
      <c r="AB2" s="1">
        <f>HYPERLINK("#2026041905hbase4!W25","info_sdt_dml_batch1_pk_urp1")</f>
        <v/>
      </c>
      <c r="AC2" s="2">
        <f>HYPERLINK("#2026041905hbase4!W28","info_sdt_dml_batch2_pk_irp2")</f>
        <v/>
      </c>
      <c r="AD2" s="2">
        <f>HYPERLINK("#2026041905hbase4!W37","info_varbinary_dml_batch1_pk_urp1")</f>
        <v/>
      </c>
      <c r="AE2" s="2">
        <f>HYPERLINK("#2026041905hbase4!W42","info_xml_dml_single_pk_irp")</f>
        <v/>
      </c>
      <c r="AF2" s="2">
        <f>HYPERLINK("#2026041905hbase4!W45","info_sdt_dml_batch1_pk_urp2")</f>
        <v/>
      </c>
      <c r="AG2" s="2">
        <f>HYPERLINK("#2026041905hbase4!W48","info_text_dml_single_pk_urp")</f>
        <v/>
      </c>
      <c r="AH2" s="2">
        <f>HYPERLINK("#2026041905hbase4!W56","info_datetimeoffset_dml_single_pk_drp")</f>
        <v/>
      </c>
      <c r="AI2" s="2">
        <f>HYPERLINK("#2026041905hbase4!W66","info_nchar_dml_single_pk_irp")</f>
        <v/>
      </c>
      <c r="AJ2" s="2">
        <f>HYPERLINK("#2026041905hbase4!W76","info_sdt_dml_batch1_pk_drp2")</f>
        <v/>
      </c>
      <c r="AK2" s="2">
        <f>HYPERLINK("#2026041905hbase4!W84","info_geometry_dml_single_pk_urp")</f>
        <v/>
      </c>
      <c r="AL2" s="2">
        <f>HYPERLINK("#2026041905hbase4!W87","info_sdt_dml_batch1_pk")</f>
        <v/>
      </c>
      <c r="AM2" s="2">
        <f>HYPERLINK("#2026041905hbase4!W90","info_int_dml_batch1_pk_urp1")</f>
        <v/>
      </c>
      <c r="AN2" s="2">
        <f>HYPERLINK("#2026041905hbase4!W111","info_xml_dml_single_pk_urp")</f>
        <v/>
      </c>
      <c r="AO2" s="2">
        <f>HYPERLINK("#2026041905hbase4!W114","info_datetime_dml_batch1_pk_irp1")</f>
        <v/>
      </c>
      <c r="AP2" s="2">
        <f>HYPERLINK("#2026041905hbase4!W117","info_datetime_dml_batch1_pk_irp2")</f>
        <v/>
      </c>
      <c r="AQ2" s="2">
        <f>HYPERLINK("#2026041905hbase4!W120","info_varbinary_dml_batch1_pk_urp2")</f>
        <v/>
      </c>
      <c r="AR2" s="2">
        <f>HYPERLINK("#2026041905hbase4!W125","info_datetime_dml_batch2_pk_irp1")</f>
        <v/>
      </c>
      <c r="AS2" s="2">
        <f>HYPERLINK("#2026041905hbase4!W153","info_int_dml_batch1_pk_urp2")</f>
        <v/>
      </c>
      <c r="AT2" s="2">
        <f>HYPERLINK("#2026041905hbase4!W177","info_datetime_dml_batch2_pk_irp2")</f>
        <v/>
      </c>
      <c r="AU2" s="2">
        <f>HYPERLINK("#2026041905hbase4!W180","info_nchar_dml_single_pk_urp")</f>
        <v/>
      </c>
      <c r="AV2" s="2">
        <f>HYPERLINK("#2026041905hbase4!W190","info_datetime_dml_batch1_pk_urp1")</f>
        <v/>
      </c>
      <c r="AW2" s="2">
        <f>HYPERLINK("#2026041905hbase4!W227","info_geometry_dml_single_pk")</f>
        <v/>
      </c>
      <c r="AX2" s="2">
        <f>HYPERLINK("#2026041905hbase4!W230","info_datetime_dml_batch1_pk_urp2")</f>
        <v/>
      </c>
      <c r="AY2" s="2">
        <f>HYPERLINK("#2026041905hbase4!W233","info_varchar_dml_batch1_pk")</f>
        <v/>
      </c>
      <c r="AZ2" s="2">
        <f>HYPERLINK("#2026041905hbase4!W243","info_nchar_dml_batch1_pk_irp1")</f>
        <v/>
      </c>
      <c r="BA2" s="2">
        <f>HYPERLINK("#2026041905hbase4!W257","info_datetime_dml_batch1_pk_drp2")</f>
        <v/>
      </c>
      <c r="BB2" s="2">
        <f>HYPERLINK("#2026041905hbase4!W260","info_datetime_dml_batch1_pk")</f>
        <v/>
      </c>
      <c r="BC2" s="2">
        <f>HYPERLINK("#2026041905hbase4!W274","info_datetime2_dml_batch1_pk_irp1")</f>
        <v/>
      </c>
      <c r="BD2" s="2">
        <f>HYPERLINK("#2026041905hbase4!W284","info_date_dml_single_pk_irp")</f>
        <v/>
      </c>
      <c r="BE2" s="2">
        <f>HYPERLINK("#2026041905hbase4!W287","info_datetime2_dml_batch1_pk_irp2")</f>
        <v/>
      </c>
      <c r="BF2" s="2">
        <f>HYPERLINK("#2026041905hbase4!W297","info_datetime2_dml_batch2_pk_irp1")</f>
        <v/>
      </c>
      <c r="BG2" s="2">
        <f>HYPERLINK("#2026041905hbase4!W307","info_int_dml_batch1_pk_drp2")</f>
        <v/>
      </c>
      <c r="BH2" s="2">
        <f>HYPERLINK("#2026041905hbase4!W328","info_binary_dml_batch1_pk_irp1")</f>
        <v/>
      </c>
      <c r="BI2" s="2">
        <f>HYPERLINK("#2026041905hbase4!W333","info_datetime2_dml_batch2_pk_irp2")</f>
        <v/>
      </c>
      <c r="BJ2" s="2">
        <f>HYPERLINK("#2026041905hbase4!W343","info_int_dml_batch1_pk")</f>
        <v/>
      </c>
      <c r="BK2" s="2">
        <f>HYPERLINK("#2026041905hbase4!W370","info_hierarchyid_dml_single_pk_irp")</f>
        <v/>
      </c>
      <c r="BL2" s="2">
        <f>HYPERLINK("#2026041905hbase4!W383","info_nchar_dml_batch1_pk_irp2")</f>
        <v/>
      </c>
      <c r="BM2" s="2">
        <f>HYPERLINK("#2026041905hbase4!W394","info_date_dml_single_pk_urp")</f>
        <v/>
      </c>
      <c r="BN2" s="2">
        <f>HYPERLINK("#2026041905hbase4!W397","info_datetime2_dml_batch1_pk_urp2")</f>
        <v/>
      </c>
      <c r="BO2" s="2">
        <f>HYPERLINK("#2026041905hbase4!W428","info_nvarchar_dml_single_pk_irp")</f>
        <v/>
      </c>
      <c r="BP2" s="2">
        <f>HYPERLINK("#2026041905hbase4!W433","info_binary_dml_batch1_pk_irp2")</f>
        <v/>
      </c>
      <c r="BQ2" s="2">
        <f>HYPERLINK("#2026041905hbase4!W438","info_datetime2_dml_batch1_pk_drp2")</f>
        <v/>
      </c>
      <c r="BR2" s="2">
        <f>HYPERLINK("#2026041905hbase4!W448","info_hierarchyid_dml_single_pk_urp")</f>
        <v/>
      </c>
      <c r="BS2" s="2">
        <f>HYPERLINK("#2026041905hbase4!W451","info_nvarchar_dml_single_pk_urp")</f>
        <v/>
      </c>
      <c r="BT2" s="2">
        <f>HYPERLINK("#2026041905hbase4!W456","info_binary_dml_batch2_pk_irp1")</f>
        <v/>
      </c>
      <c r="BU2" s="2">
        <f>HYPERLINK("#2026041905hbase4!W461","info_nchar_dml_batch2_pk_irp1")</f>
        <v/>
      </c>
      <c r="BV2" s="2">
        <f>HYPERLINK("#2026041905hbase4!W482","info_datetimeoffset_dml_batch1_pk_irp1")</f>
        <v/>
      </c>
      <c r="BW2" s="2">
        <f>HYPERLINK("#2026041905hbase4!W492","info_nchar_dml_batch2_pk_irp2")</f>
        <v/>
      </c>
      <c r="BX2" s="2">
        <f>HYPERLINK("#2026041905hbase4!W500","info_datetimeoffset_dml_batch1_pk_irp2")</f>
        <v/>
      </c>
      <c r="BY2" s="2">
        <f>HYPERLINK("#2026041905hbase4!W514","info_datetimeoffset_dml_batch2_pk_irp1")</f>
        <v/>
      </c>
      <c r="BZ2" s="2">
        <f>HYPERLINK("#2026041905hbase4!W524","info_char_dml_batch1_pk_urp1")</f>
        <v/>
      </c>
      <c r="CA2" s="2">
        <f>HYPERLINK("#2026041905hbase4!W529","info_binary_dml_batch2_pk_irp2")</f>
        <v/>
      </c>
      <c r="CB2" s="2">
        <f>HYPERLINK("#2026041905hbase4!W539","info_datetimeoffset_dml_batch2_pk_irp2")</f>
        <v/>
      </c>
      <c r="CC2" s="2">
        <f>HYPERLINK("#2026041905hbase4!W549","info_char_dml_batch1_pk_urp2")</f>
        <v/>
      </c>
      <c r="CD2" s="2">
        <f>HYPERLINK("#2026041905hbase4!W554","info_datetimeoffset_dml_batch1_pk_urp1")</f>
        <v/>
      </c>
      <c r="CE2" s="2">
        <f>HYPERLINK("#2026041905hbase4!W564","info_datetimeoffset_dml_batch1_pk_urp2")</f>
        <v/>
      </c>
      <c r="CF2" s="2">
        <f>HYPERLINK("#2026041905hbase4!W574","info_time_dml_single_pk_irp")</f>
        <v/>
      </c>
      <c r="CG2" s="2">
        <f>HYPERLINK("#2026041905hbase4!W589","info_date_dml_batch1_pk_irp2")</f>
        <v/>
      </c>
      <c r="CH2" s="2">
        <f>HYPERLINK("#2026041905hbase4!W619","info_datetimeoffset_dml_batch1_pk_drp2")</f>
        <v/>
      </c>
      <c r="CI2" s="2">
        <f>HYPERLINK("#2026041905hbase4!W647","info_date_dml_batch2_pk_irp1")</f>
        <v/>
      </c>
      <c r="CJ2" s="2">
        <f>HYPERLINK("#2026041905hbase4!W650","info_time_dml_single_pk_urp")</f>
        <v/>
      </c>
      <c r="CK2" s="2">
        <f>HYPERLINK("#2026041905hbase4!W660","info_binary_dml_batch1_pk_urp1")</f>
        <v/>
      </c>
      <c r="CL2" s="2">
        <f>HYPERLINK("#2026041905hbase4!W670","info_time_dml_single_pk_drp")</f>
        <v/>
      </c>
      <c r="CM2" s="2">
        <f>HYPERLINK("#2026041905hbase4!W680","info_int_dml_single_pk_irp")</f>
        <v/>
      </c>
      <c r="CN2" s="2">
        <f>HYPERLINK("#2026041905hbase4!W701","info_date_dml_batch2_pk_irp2")</f>
        <v/>
      </c>
      <c r="CO2" s="2">
        <f>HYPERLINK("#2026041905hbase4!W714","info_binary_dml_batch1_pk_urp2")</f>
        <v/>
      </c>
      <c r="CP2" s="2">
        <f>HYPERLINK("#2026041905hbase4!W719","info_sdt_dml_single_pk_irp")</f>
        <v/>
      </c>
      <c r="CQ2" s="2">
        <f>HYPERLINK("#2026041905hbase4!W741","info_sdt_dml_single_pk_drp")</f>
        <v/>
      </c>
      <c r="CR2" s="2">
        <f>HYPERLINK("#2026041905hbase4!W744","info_varcharmax_dml_single_pk_irp")</f>
        <v/>
      </c>
      <c r="CS2" s="2">
        <f>HYPERLINK("#2026041905hbase4!W748","info_char_dml_batch1_pk_drp2")</f>
        <v/>
      </c>
      <c r="CT2" s="2">
        <f>HYPERLINK("#2026041905hbase4!W753","info_int_dml_single_pk_urp")</f>
        <v/>
      </c>
      <c r="CU2" s="2">
        <f>HYPERLINK("#2026041905hbase4!W777","info_varcharmax_dml_single_pk_urp")</f>
        <v/>
      </c>
      <c r="CV2" s="2">
        <f>HYPERLINK("#2026041905hbase4!W781","info_char_dml_batch1_pk")</f>
        <v/>
      </c>
      <c r="CW2" s="2">
        <f>HYPERLINK("#2026041905hbase4!W803","info_date_dml_batch1_pk_urp2")</f>
        <v/>
      </c>
      <c r="CX2" s="2">
        <f>HYPERLINK("#2026041905hbase4!W806","info_char_dml_single_pk_irp")</f>
        <v/>
      </c>
      <c r="CY2" s="2">
        <f>HYPERLINK("#2026041905hbase4!W811","info_date_dml_batch1_pk_urp1")</f>
        <v/>
      </c>
      <c r="CZ2" s="2">
        <f>HYPERLINK("#2026041905hbase4!W814","info_binary_dml_batch1_pk_drp2")</f>
        <v/>
      </c>
      <c r="DA2" s="2">
        <f>HYPERLINK("#2026041905hbase4!W823","info_int_dml_single_pk_drp")</f>
        <v/>
      </c>
      <c r="DB2" s="2">
        <f>HYPERLINK("#2026041905hbase4!W849","info_datetime_dml_single_pk_irp")</f>
        <v/>
      </c>
      <c r="DC2" s="2">
        <f>HYPERLINK("#2026041905hbase4!W852","info_int_dml_single_pk")</f>
        <v/>
      </c>
      <c r="DD2" s="2">
        <f>HYPERLINK("#2026041905hbase4!W873","info_timestamp_dml_single_pk_irp")</f>
        <v/>
      </c>
      <c r="DE2" s="2">
        <f>HYPERLINK("#2026041905hbase4!W876","info_char_dml_single_pk_urp")</f>
        <v/>
      </c>
      <c r="DF2" s="2">
        <f>HYPERLINK("#2026041905hbase4!W913","info_date_dml_batch1_pk")</f>
        <v/>
      </c>
      <c r="DG2" s="2">
        <f>HYPERLINK("#2026041905hbase4!W916","info_datetime_dml_single_pk_drp")</f>
        <v/>
      </c>
      <c r="DH2" s="2">
        <f>HYPERLINK("#2026041905hbase4!W922","info_nvarchar_dml_batch1_pk_irp1")</f>
        <v/>
      </c>
      <c r="DI2" s="2">
        <f>HYPERLINK("#2026041905hbase4!W927","info_timestamp_dml_single_pk_drp")</f>
        <v/>
      </c>
      <c r="DJ2" s="2">
        <f>HYPERLINK("#2026041905hbase4!W930","info_time_dml_batch1_pk_irp1")</f>
        <v/>
      </c>
      <c r="DK2" s="2">
        <f>HYPERLINK("#2026041905hbase4!W940","info_binary_dml_batch1_pk")</f>
        <v/>
      </c>
      <c r="DL2" s="2">
        <f>HYPERLINK("#2026041905hbase4!W945","info_time_dml_batch1_pk_irp2")</f>
        <v/>
      </c>
      <c r="DM2" s="2">
        <f>HYPERLINK("#2026041905hbase4!W961","info_sql_variant_dml_single_pk_irp")</f>
        <v/>
      </c>
      <c r="DN2" s="2">
        <f>HYPERLINK("#2026041905hbase4!W995","info_nvarchar_dml_batch1_pk_irp2")</f>
        <v/>
      </c>
      <c r="DO2" s="2">
        <f>HYPERLINK("#2026041905hbase4!W1000","info_uniqueidentifier_dml_single_pk_irp")</f>
        <v/>
      </c>
      <c r="DP2" s="2">
        <f>HYPERLINK("#2026041905hbase4!W1003","info_datetime2_dml_single_pk_irp")</f>
        <v/>
      </c>
      <c r="DQ2" s="2">
        <f>HYPERLINK("#2026041905hbase4!W1018","info_varbinary_dml_batch1_pk_irp1")</f>
        <v/>
      </c>
      <c r="DR2" s="2">
        <f>HYPERLINK("#2026041905hbase4!W1023","info_geography_dml_single_pk_irp")</f>
        <v/>
      </c>
      <c r="DS2" s="2">
        <f>HYPERLINK("#2026041905hbase4!W1026","info_varchar_dml_single_pk_irp")</f>
        <v/>
      </c>
      <c r="DT2" s="2">
        <f>HYPERLINK("#2026041905hbase4!W1031","info_time_dml_batch2_pk_irp1")</f>
        <v/>
      </c>
      <c r="DU2" s="2">
        <f>HYPERLINK("#2026041905hbase4!W1047","info_varbinary_dml_batch1_pk_irp2")</f>
        <v/>
      </c>
      <c r="DV2" s="2">
        <f>HYPERLINK("#2026041905hbase4!W1052","info_sql_variant_dml_single_pk_urp")</f>
        <v/>
      </c>
      <c r="DW2" s="2">
        <f>HYPERLINK("#2026041905hbase4!W1084","info_sql_variant_dml_single_pk_drp")</f>
        <v/>
      </c>
      <c r="DX2" s="2">
        <f>HYPERLINK("#2026041905hbase4!W1110","info_int_dml_batch1_pk_irp1")</f>
        <v/>
      </c>
      <c r="DY2" s="2">
        <f>HYPERLINK("#2026041905hbase4!W1131","info_nvarchar_dml_batch2_pk_irp1")</f>
        <v/>
      </c>
      <c r="DZ2" s="2">
        <f>HYPERLINK("#2026041905hbase4!W1136","info_uniqueidentifier_dml_single_pk_urp")</f>
        <v/>
      </c>
      <c r="EA2" s="2">
        <f>HYPERLINK("#2026041905hbase4!W1139","info_datetime2_dml_single_pk_urp")</f>
        <v/>
      </c>
      <c r="EB2" s="2">
        <f>HYPERLINK("#2026041905hbase4!W1149","info_geography_dml_single_pk_urp")</f>
        <v/>
      </c>
      <c r="EC2" s="2">
        <f>HYPERLINK("#2026041905hbase4!W1152","info_time_dml_batch2_pk_irp2")</f>
        <v/>
      </c>
      <c r="ED2" s="2">
        <f>HYPERLINK("#2026041905hbase4!W1162","info_varbinary_dml_batch2_pk_irp1")</f>
        <v/>
      </c>
      <c r="EE2" s="2">
        <f>HYPERLINK("#2026041905hbase4!W1167","info_time_dml_batch1_pk_urp1")</f>
        <v/>
      </c>
      <c r="EF2" s="2">
        <f>HYPERLINK("#2026041905hbase4!W1177","info_sql_variant_dml_single_pk")</f>
        <v/>
      </c>
      <c r="EG2" s="2">
        <f>HYPERLINK("#2026041905hbase4!W1203","info_time_dml_batch1_pk_urp2")</f>
        <v/>
      </c>
      <c r="EH2" s="2">
        <f>HYPERLINK("#2026041905hbase4!W1216","info_int_dml_batch1_pk_irp2")</f>
        <v/>
      </c>
      <c r="EI2" s="2">
        <f>HYPERLINK("#2026041905hbase4!W1248","info_varchar_dml_single_pk_urp")</f>
        <v/>
      </c>
      <c r="EJ2" s="2">
        <f>HYPERLINK("#2026041905hbase4!W1276","info_geography_dml_single_pk_drp")</f>
        <v/>
      </c>
      <c r="EK2" s="2">
        <f>HYPERLINK("#2026041905hbase4!W1284","info_time_dml_batch1_pk_drp2")</f>
        <v/>
      </c>
      <c r="EL2" s="2">
        <f>HYPERLINK("#2026041905hbase4!W1299","info_nvarchar_dml_batch2_pk_irp2")</f>
        <v/>
      </c>
      <c r="EM2" s="2">
        <f>HYPERLINK("#2026041905hbase4!W1304","info_geography_dml_single_pk")</f>
        <v/>
      </c>
      <c r="EN2" s="2">
        <f>HYPERLINK("#2026041905hbase4!W1307","info_time_dml_batch1_pk")</f>
        <v/>
      </c>
      <c r="EO2" s="2">
        <f>HYPERLINK("#2026041905hbase4!W1317","info_varbinary_dml_batch2_pk_irp2")</f>
        <v/>
      </c>
      <c r="EP2" s="2">
        <f>HYPERLINK("#2026041905hbase4!W1322","info_int_dml_batch2_pk_irp1")</f>
        <v/>
      </c>
      <c r="EQ2" s="2">
        <f>HYPERLINK("#2026041905hbase4!W1343","info_sdt_dml_batch1_pk_irp1")</f>
        <v/>
      </c>
      <c r="ER2" s="2">
        <f>HYPERLINK("#2026041905hbase4!W1346","info_sdt_dml_batch1_pk_irp2")</f>
        <v/>
      </c>
      <c r="ES2" s="2">
        <f>HYPERLINK("#2026041905hbase4!W1349","info_int_dml_batch2_pk_irp2")</f>
        <v/>
      </c>
      <c r="ET2" s="2">
        <f>HYPERLINK("#2026041905hbase4!W1370","info_datetimeoffset_dml_single_pk_irp")</f>
        <v/>
      </c>
      <c r="EU2" s="2">
        <f>HYPERLINK("#2026041905hbase4!W1380","info_varchar_dml_batch1_pk_urp2")</f>
        <v/>
      </c>
      <c r="EV2" s="2">
        <f>HYPERLINK("#2026041905hbase4!W1390","info_sdt_dml_batch2_pk_irp1")</f>
        <v/>
      </c>
    </row>
    <row r="3">
      <c r="A3" s="0" t="inlineStr">
        <is>
          <t>info_geometry_dml_single_pk_irp</t>
        </is>
      </c>
      <c r="K3" s="0" t="inlineStr">
        <is>
          <t>[0;34m info_geometry_dml_single_pk_irp [0m源备字段数相同，源端字段：2 	备端字段2</t>
        </is>
      </c>
      <c r="W3" s="2">
        <f>HYPERLINK("#2026041905hbase4!Y2","NO 源备存在差异，共1个")</f>
        <v/>
      </c>
      <c r="X3" s="0">
        <f>A3</f>
        <v/>
      </c>
      <c r="Y3" s="0" t="inlineStr">
        <is>
          <t>6行 1列，源：None 备：</t>
        </is>
      </c>
      <c r="Z3" s="0" t="inlineStr">
        <is>
          <t>0行 1列，源：None 备：</t>
        </is>
      </c>
      <c r="AA3" s="0" t="inlineStr">
        <is>
          <t>0行 2列，源：None 备：</t>
        </is>
      </c>
      <c r="AB3" s="0" t="inlineStr">
        <is>
          <t>1行 0列，源：2 备：10</t>
        </is>
      </c>
      <c r="AC3" s="0" t="inlineStr">
        <is>
          <t>1行 0列，源：2 备：10</t>
        </is>
      </c>
      <c r="AD3" s="0" t="inlineStr">
        <is>
          <t>0行 1列，源：None 备：</t>
        </is>
      </c>
      <c r="AE3" s="0" t="inlineStr">
        <is>
          <t>0行 1列，源：None 备：</t>
        </is>
      </c>
      <c r="AF3" s="0" t="inlineStr">
        <is>
          <t>1行 0列，源：2 备：10</t>
        </is>
      </c>
      <c r="AG3" s="0" t="inlineStr">
        <is>
          <t>2行 1列，源：None 备：</t>
        </is>
      </c>
      <c r="AH3" s="0" t="inlineStr">
        <is>
          <t>0行 0列，源：5 备：11</t>
        </is>
      </c>
      <c r="AI3" s="0" t="inlineStr">
        <is>
          <t>0行 1列，源：None 备：</t>
        </is>
      </c>
      <c r="AJ3" s="0" t="inlineStr">
        <is>
          <t>0行 0列，源：4 备：10</t>
        </is>
      </c>
      <c r="AK3" s="0" t="inlineStr">
        <is>
          <t>0行 1列，源：POINT (31.2397 121.4998) 备：POINT(31.2396999999999991 121.499799999999993)</t>
        </is>
      </c>
      <c r="AL3" s="0" t="inlineStr">
        <is>
          <t>0行 0列，源：8 备：10</t>
        </is>
      </c>
      <c r="AM3" s="0" t="inlineStr">
        <is>
          <t>0行 2列，源：-32768.0 备：-32768</t>
        </is>
      </c>
      <c r="AN3"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O3" s="0" t="inlineStr">
        <is>
          <t>0行 1列，源：None 备：</t>
        </is>
      </c>
      <c r="AP3" s="0" t="inlineStr">
        <is>
          <t>0行 1列，源：None 备：</t>
        </is>
      </c>
      <c r="AQ3" s="0" t="inlineStr">
        <is>
          <t>0行 1列，源：None 备：</t>
        </is>
      </c>
      <c r="AR3" s="0" t="inlineStr">
        <is>
          <t>0行 1列，源：None 备：</t>
        </is>
      </c>
      <c r="AS3" s="0" t="inlineStr">
        <is>
          <t>0行 2列，源：-1.0 备：-1</t>
        </is>
      </c>
      <c r="AT3" s="0" t="inlineStr">
        <is>
          <t>0行 1列，源：None 备：</t>
        </is>
      </c>
      <c r="AU3" s="0" t="inlineStr">
        <is>
          <t>1行 0列，源：2 备：10</t>
        </is>
      </c>
      <c r="AV3" s="0" t="inlineStr">
        <is>
          <t>0行 1列，源：9999-12-31 23:59:59.997000 备：9999-12-31 23:59:59.997</t>
        </is>
      </c>
      <c r="AW3" s="0" t="inlineStr">
        <is>
          <t>0行 1列，源：LINESTRING (116.3 39.9, 116.4 39.8, 116.5 39.7) 备：LINESTRING(116.299999999999997 39.8999999999999986,116.400000000000006 39.7999999999999972,116.5 39.7000000000000028)</t>
        </is>
      </c>
      <c r="AX3" s="0" t="inlineStr">
        <is>
          <t>1行 0列，源：2 备：10</t>
        </is>
      </c>
      <c r="AY3" s="0" t="inlineStr">
        <is>
          <t>0行 1列，源：None 备：</t>
        </is>
      </c>
      <c r="AZ3" s="0" t="inlineStr">
        <is>
          <t>0行 1列，源：None 备：</t>
        </is>
      </c>
      <c r="BA3" s="0" t="inlineStr">
        <is>
          <t>0行 0列，源：6 备：15</t>
        </is>
      </c>
      <c r="BB3" s="0" t="inlineStr">
        <is>
          <t>0行 0列，源：5 备：11</t>
        </is>
      </c>
      <c r="BC3" s="0" t="inlineStr">
        <is>
          <t>0行 1列，源：None 备：</t>
        </is>
      </c>
      <c r="BD3" s="0" t="inlineStr">
        <is>
          <t>0行 1列，源：None 备：</t>
        </is>
      </c>
      <c r="BE3" s="0" t="inlineStr">
        <is>
          <t>0行 1列，源：None 备：</t>
        </is>
      </c>
      <c r="BF3" s="0" t="inlineStr">
        <is>
          <t>0行 1列，源：None 备：</t>
        </is>
      </c>
      <c r="BG3" s="0" t="inlineStr">
        <is>
          <t>0行 0列，源：3 备：10</t>
        </is>
      </c>
      <c r="BH3" s="0" t="inlineStr">
        <is>
          <t>0行 1列，源：None 备：</t>
        </is>
      </c>
      <c r="BI3" s="0" t="inlineStr">
        <is>
          <t>0行 1列，源：None 备：</t>
        </is>
      </c>
      <c r="BJ3" s="0" t="inlineStr">
        <is>
          <t>0行 1列，源：100.0 备：100</t>
        </is>
      </c>
      <c r="BK3" s="0" t="inlineStr">
        <is>
          <t>0行 1列，源：None 备：</t>
        </is>
      </c>
      <c r="BL3" s="0" t="inlineStr">
        <is>
          <t>0行 1列，源：None 备：</t>
        </is>
      </c>
      <c r="BM3" s="0" t="inlineStr">
        <is>
          <t>4行 1列，源：None 备：</t>
        </is>
      </c>
      <c r="BN3" s="0" t="inlineStr">
        <is>
          <t>2行 2列，源：2046-05-11 14:30:45.100000 备：2046-05-11 14:30:45.1</t>
        </is>
      </c>
      <c r="BO3" s="0" t="inlineStr">
        <is>
          <t>0行 1列，源：None 备：</t>
        </is>
      </c>
      <c r="BP3" s="0" t="inlineStr">
        <is>
          <t>0行 1列，源：None 备：</t>
        </is>
      </c>
      <c r="BQ3" s="0" t="inlineStr">
        <is>
          <t>0行 2列，源：9999-12-31 23:59:59.900000 备：9999-12-31 23:59:59.9</t>
        </is>
      </c>
      <c r="BR3" s="0" t="inlineStr">
        <is>
          <t>2行 1列，源：None 备：</t>
        </is>
      </c>
      <c r="BS3" s="0" t="inlineStr">
        <is>
          <t>1行 0列，源：2 备：10</t>
        </is>
      </c>
      <c r="BT3" s="0" t="inlineStr">
        <is>
          <t>0行 1列，源：None 备：</t>
        </is>
      </c>
      <c r="BU3" s="0" t="inlineStr">
        <is>
          <t>0行 1列，源：None 备：</t>
        </is>
      </c>
      <c r="BV3" s="0" t="inlineStr">
        <is>
          <t>0行 1列，源：None 备：</t>
        </is>
      </c>
      <c r="BW3" s="0" t="inlineStr">
        <is>
          <t>0行 1列，源：None 备：</t>
        </is>
      </c>
      <c r="BX3" s="0" t="inlineStr">
        <is>
          <t>0行 1列，源：None 备：</t>
        </is>
      </c>
      <c r="BY3" s="0" t="inlineStr">
        <is>
          <t>0行 1列，源：None 备：</t>
        </is>
      </c>
      <c r="B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3" s="0" t="inlineStr">
        <is>
          <t>0行 1列，源：None 备：</t>
        </is>
      </c>
      <c r="CB3" s="0" t="inlineStr">
        <is>
          <t>0行 1列，源：None 备：</t>
        </is>
      </c>
      <c r="CC3"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3" s="0" t="inlineStr">
        <is>
          <t>0行 2列，源：None 备：</t>
        </is>
      </c>
      <c r="CE3" s="0" t="inlineStr">
        <is>
          <t>1行 0列，源：2 备：10</t>
        </is>
      </c>
      <c r="CF3" s="0" t="inlineStr">
        <is>
          <t>0行 1列，源：None 备：</t>
        </is>
      </c>
      <c r="CG3" s="0" t="inlineStr">
        <is>
          <t>0行 1列，源：None 备：</t>
        </is>
      </c>
      <c r="CH3" s="0" t="inlineStr">
        <is>
          <t>0行 0列，源：5 备：10</t>
        </is>
      </c>
      <c r="CI3" s="0" t="inlineStr">
        <is>
          <t>0行 1列，源：None 备：</t>
        </is>
      </c>
      <c r="CJ3" s="0" t="inlineStr">
        <is>
          <t>2行 1列，源：None 备：</t>
        </is>
      </c>
      <c r="CK3" s="0" t="inlineStr">
        <is>
          <t>0行 1列，源：b'X' 备：58</t>
        </is>
      </c>
      <c r="CL3" s="0" t="inlineStr">
        <is>
          <t>0行 0列，源：3 备：11</t>
        </is>
      </c>
      <c r="CM3" s="0" t="inlineStr">
        <is>
          <t>0行 1列，源：0.0 备：0</t>
        </is>
      </c>
      <c r="CN3" s="0" t="inlineStr">
        <is>
          <t>0行 1列，源：None 备：</t>
        </is>
      </c>
      <c r="CO3" s="0" t="inlineStr">
        <is>
          <t>0行 1列，源：b'X' 备：58</t>
        </is>
      </c>
      <c r="CP3" s="0" t="inlineStr">
        <is>
          <t>1行 0列，源：2 备：10</t>
        </is>
      </c>
      <c r="CQ3" s="0" t="inlineStr">
        <is>
          <t>0行 0列，源：4 备：10</t>
        </is>
      </c>
      <c r="CR3" s="0" t="inlineStr">
        <is>
          <t>0行 1列，源：None 备：</t>
        </is>
      </c>
      <c r="CS3"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T3" s="0" t="inlineStr">
        <is>
          <t>0行 1列，源：0.0 备：0</t>
        </is>
      </c>
      <c r="CU3" s="0" t="inlineStr">
        <is>
          <t>2行 1列，源：None 备：</t>
        </is>
      </c>
      <c r="CV3" s="0" t="inlineStr">
        <is>
          <t>0行 1列，源：None 备：</t>
        </is>
      </c>
      <c r="CW3" s="0" t="inlineStr">
        <is>
          <t>1行 0列，源：2 备：10</t>
        </is>
      </c>
      <c r="CX3" s="0" t="inlineStr">
        <is>
          <t>0行 1列，源：None 备：</t>
        </is>
      </c>
      <c r="CY3" s="0" t="inlineStr">
        <is>
          <t>1行 0列，源：2 备：10</t>
        </is>
      </c>
      <c r="CZ3" s="0" t="inlineStr">
        <is>
          <t>0行 1列，源：b'A' 备：41</t>
        </is>
      </c>
      <c r="DA3" s="0" t="inlineStr">
        <is>
          <t>0行 1列，源：0.0 备：0</t>
        </is>
      </c>
      <c r="DB3" s="0" t="inlineStr">
        <is>
          <t>0行 1列，源：None 备：</t>
        </is>
      </c>
      <c r="DC3" s="0" t="inlineStr">
        <is>
          <t>0行 1列，源：None 备：</t>
        </is>
      </c>
      <c r="DD3" s="0" t="inlineStr">
        <is>
          <t>0行 1列，源：timestamp不参与比较 备：00000000000140A6</t>
        </is>
      </c>
      <c r="DE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F3" s="0" t="inlineStr">
        <is>
          <t>1行 0列，源：3 备：11</t>
        </is>
      </c>
      <c r="DG3" s="0" t="inlineStr">
        <is>
          <t>0行 0列，源：3 备：11</t>
        </is>
      </c>
      <c r="DH3" s="0" t="inlineStr">
        <is>
          <t>0行 1列，源：None 备：</t>
        </is>
      </c>
      <c r="DI3" s="0" t="inlineStr">
        <is>
          <t>0行 1列，源：timestamp不参与比较 备：00000000000140A8</t>
        </is>
      </c>
      <c r="DJ3" s="0" t="inlineStr">
        <is>
          <t>0行 1列，源：None 备：</t>
        </is>
      </c>
      <c r="DK3" s="0" t="inlineStr">
        <is>
          <t>0行 1列，源：b'X' 备：58</t>
        </is>
      </c>
      <c r="DL3" s="0" t="inlineStr">
        <is>
          <t>0行 1列，源：None 备：</t>
        </is>
      </c>
      <c r="DM3" s="0" t="inlineStr">
        <is>
          <t>0行 1列，源：None 备：</t>
        </is>
      </c>
      <c r="DN3" s="0" t="inlineStr">
        <is>
          <t>0行 1列，源：None 备：</t>
        </is>
      </c>
      <c r="DO3" s="0" t="inlineStr">
        <is>
          <t>3行 1列，源：None 备：</t>
        </is>
      </c>
      <c r="DP3" s="0" t="inlineStr">
        <is>
          <t>0行 1列，源：None 备：</t>
        </is>
      </c>
      <c r="DQ3" s="0" t="inlineStr">
        <is>
          <t>0行 1列，源：None 备：</t>
        </is>
      </c>
      <c r="DR3" s="0" t="inlineStr">
        <is>
          <t>0行 1列，源：POINT (116.404 39.915) 备：POINT(116.403999999999996 39.9149999999999991)</t>
        </is>
      </c>
      <c r="DS3" s="0" t="inlineStr">
        <is>
          <t>0行 1列，源：None 备：</t>
        </is>
      </c>
      <c r="DT3" s="0" t="inlineStr">
        <is>
          <t>0行 1列，源：None 备：</t>
        </is>
      </c>
      <c r="DU3" s="0" t="inlineStr">
        <is>
          <t>0行 1列，源：None 备：</t>
        </is>
      </c>
      <c r="DV3" s="0" t="inlineStr">
        <is>
          <t>0行 20列，源：0xC9CFBAA32324255E262A2D3D0000000000000000 备：0xBAA32324255E262A2D3D0000000000000000</t>
        </is>
      </c>
      <c r="DW3" s="0" t="inlineStr">
        <is>
          <t>0行 10列，源：-122337203685477.58 备：-122337203685477.5808</t>
        </is>
      </c>
      <c r="DX3" s="0" t="inlineStr">
        <is>
          <t>0行 1列，源：0.0 备：0</t>
        </is>
      </c>
      <c r="DY3" s="0" t="inlineStr">
        <is>
          <t>0行 1列，源：None 备：</t>
        </is>
      </c>
      <c r="DZ3" s="0" t="inlineStr">
        <is>
          <t>0行 1列，源：None 备：</t>
        </is>
      </c>
      <c r="EA3" s="0" t="inlineStr">
        <is>
          <t>0行 2列，源：2046-05-11 14:30:45.100000 备：2046-05-11 14:30:45.1</t>
        </is>
      </c>
      <c r="EB3" s="0" t="inlineStr">
        <is>
          <t>0行 1列，源：POINT (55.9271035250276 -3.29431266523898) 备：POINT(55.9271035250275972 -3.29431266523898003)</t>
        </is>
      </c>
      <c r="EC3" s="0" t="inlineStr">
        <is>
          <t>0行 1列，源：None 备：</t>
        </is>
      </c>
      <c r="ED3" s="0" t="inlineStr">
        <is>
          <t>0行 1列，源：None 备：</t>
        </is>
      </c>
      <c r="EE3" s="0" t="inlineStr">
        <is>
          <t>1行 0列，源：2 备：10</t>
        </is>
      </c>
      <c r="EF3" s="0" t="inlineStr">
        <is>
          <t>0行 10列，源：-12337203685477.58 备：-12337203685477.5808</t>
        </is>
      </c>
      <c r="EG3" s="0" t="inlineStr">
        <is>
          <t>1行 0列，源：2 备：10</t>
        </is>
      </c>
      <c r="EH3" s="0" t="inlineStr">
        <is>
          <t>0行 1列，源：0.0 备：0</t>
        </is>
      </c>
      <c r="EI3" s="0" t="inlineStr">
        <is>
          <t>0行 1列，源：None 备：</t>
        </is>
      </c>
      <c r="EJ3" s="0" t="inlineStr">
        <is>
          <t>0行 1列，源：LINESTRING (116.404 39.915, 121.474 31.23) 备：LINESTRING(116.403999999999996 39.9149999999999991,121.474000000000004 31.2300000000000004)</t>
        </is>
      </c>
      <c r="EK3" s="0" t="inlineStr">
        <is>
          <t>0行 0列，源：2 备：10</t>
        </is>
      </c>
      <c r="EL3" s="0" t="inlineStr">
        <is>
          <t>0行 1列，源：None 备：</t>
        </is>
      </c>
      <c r="EM3" s="0" t="inlineStr">
        <is>
          <t>1行 1列，源：None 备：</t>
        </is>
      </c>
      <c r="EN3" s="0" t="inlineStr">
        <is>
          <t>0行 0列，源：2 备：10</t>
        </is>
      </c>
      <c r="EO3" s="0" t="inlineStr">
        <is>
          <t>0行 1列，源：None 备：</t>
        </is>
      </c>
      <c r="EP3" s="0" t="inlineStr">
        <is>
          <t>0行 1列，源：0.0 备：0</t>
        </is>
      </c>
      <c r="EQ3" s="0" t="inlineStr">
        <is>
          <t>1行 0列，源：2 备：10</t>
        </is>
      </c>
      <c r="ER3" s="0" t="inlineStr">
        <is>
          <t>1行 0列，源：2 备：10</t>
        </is>
      </c>
      <c r="ES3" s="0" t="inlineStr">
        <is>
          <t>0行 1列，源：0.0 备：0</t>
        </is>
      </c>
      <c r="ET3" s="0" t="inlineStr">
        <is>
          <t>0行 1列，源：None 备：</t>
        </is>
      </c>
      <c r="EU3" s="0" t="inlineStr">
        <is>
          <t>2行 1列，源：None 备：</t>
        </is>
      </c>
      <c r="EV3" s="0" t="inlineStr">
        <is>
          <t>1行 0列，源：2 备：10</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YES!PK__info_geo__3213E83F82114B83</t>
        </is>
      </c>
      <c r="J4" s="0" t="inlineStr">
        <is>
          <t>YES! 主键相关索引</t>
        </is>
      </c>
      <c r="K4" s="0" t="inlineStr">
        <is>
          <t xml:space="preserve"> NO!  	 id列源备映射错误，源端为int None位	期望更改为text	实际备端为int None位</t>
        </is>
      </c>
      <c r="Z4" s="0" t="inlineStr">
        <is>
          <t>0行 2列，源：None 备：</t>
        </is>
      </c>
      <c r="AA4" s="0" t="inlineStr">
        <is>
          <t>0行 4列，源：None 备：</t>
        </is>
      </c>
      <c r="AB4" s="0" t="inlineStr">
        <is>
          <t>2行 0列，源：3 备：11</t>
        </is>
      </c>
      <c r="AC4" s="0" t="inlineStr">
        <is>
          <t>1行 1列，源：1900-01-01 00:00:00 备：2079-06-05 23:59:00</t>
        </is>
      </c>
      <c r="AD4" s="0" t="inlineStr">
        <is>
          <t>0行 2列，源：None 备：</t>
        </is>
      </c>
      <c r="AF4" s="0" t="inlineStr">
        <is>
          <t>1行 1列，源：2026-04-17 17:16:00 备：2079-06-05 23:59:00</t>
        </is>
      </c>
      <c r="AG4" s="0" t="inlineStr">
        <is>
          <t>2行 2列，源：None 备：</t>
        </is>
      </c>
      <c r="AH4" s="0" t="inlineStr">
        <is>
          <t>0行 1列，源：9999-12-31 23:59:59 +00:00 备：2003-11-05 02:00:00 -05:10</t>
        </is>
      </c>
      <c r="AI4" s="0" t="inlineStr">
        <is>
          <t>0行 2列，源：None 备：</t>
        </is>
      </c>
      <c r="AJ4" s="0" t="inlineStr">
        <is>
          <t>0行 1列，源：2079-06-06 23:59:00 备：2079-06-05 23:59:00</t>
        </is>
      </c>
      <c r="AK4" s="0" t="inlineStr">
        <is>
          <t>0行 1列，源：POINT (31.2397 121.4998) 备：POINT(31.2396999999999991 121.499799999999993)</t>
        </is>
      </c>
      <c r="AL4" s="0" t="inlineStr">
        <is>
          <t>1行 0列，源：10 备：11</t>
        </is>
      </c>
      <c r="AM4" s="0" t="inlineStr">
        <is>
          <t>0行 5列，源：None 备：</t>
        </is>
      </c>
      <c r="AN4" s="0" t="inlineStr">
        <is>
          <t>1行 1列，源：&lt;Panel PanelNo="10"&gt;&lt;DecoderID&gt;4402032520085&lt;/DecoderID&gt;&lt;Name&gt;海康B20解码器10&lt;/Name&gt;&lt;IP&gt;44.43.85.6&lt;/IP&gt;&lt;CommPort&gt;200&lt;/CommPort&gt;&lt;Chanel&gt;16842762&lt;/Chanel&gt;&lt;Location Xlocation="1100" Ylocation="20"/&gt;&lt;Size XSize="120" YSize="80"/&gt;&lt;CameraID&gt;4402057040372&lt;/CameraID&gt;&lt;/Panel&gt; 备：&lt;Panel PanelNo="10"&gt;&lt;DecoderID&gt;4402032520085&lt;/DecoderID&gt;&lt;Name&gt;海康B20解码器10&lt;/Name&gt;&lt;IP&gt;44.43.85.6&lt;/IP&gt;&lt;CommPort&gt;200&lt;/CommPort&gt;&lt;Chanel&gt;16842762&lt;/Chanel&gt;&lt;Location Xlocation="1100" Ylocation="20"&gt;&lt;/Location&gt;&lt;Size XSize="120" YSize="80"&gt;&lt;/Size&gt;&lt;CameraID&gt;4402057040372&lt;/CameraID&gt;&lt;/Panel&gt;</t>
        </is>
      </c>
      <c r="AO4" s="0" t="inlineStr">
        <is>
          <t>1行 0列，源：2 备：10</t>
        </is>
      </c>
      <c r="AP4" s="0" t="inlineStr">
        <is>
          <t>1行 0列，源：2 备：10</t>
        </is>
      </c>
      <c r="AQ4" s="0" t="inlineStr">
        <is>
          <t>0行 2列，源：None 备：</t>
        </is>
      </c>
      <c r="AR4" s="0" t="inlineStr">
        <is>
          <t>1行 0列，源：2 备：10</t>
        </is>
      </c>
      <c r="AS4" s="0" t="inlineStr">
        <is>
          <t>0行 15列，源：123.456789 备：123.4567890000000</t>
        </is>
      </c>
      <c r="AT4" s="0" t="inlineStr">
        <is>
          <t>1行 0列，源：2 备：10</t>
        </is>
      </c>
      <c r="AU4" s="0" t="inlineStr">
        <is>
          <t>1行 1列，源：  备：￥</t>
        </is>
      </c>
      <c r="AV4" s="0" t="inlineStr">
        <is>
          <t>1行 0列，源：2 备：10</t>
        </is>
      </c>
      <c r="AW4" s="0" t="inlineStr">
        <is>
          <t>0行 1列，源：LINESTRING (116.3 39.9, 116.4 39.8, 116.5 39.7) 备：LINESTRING(116.299999999999997 39.8999999999999986,116.400000000000006 39.7999999999999972,116.5 39.7000000000000028)</t>
        </is>
      </c>
      <c r="AX4" s="0" t="inlineStr">
        <is>
          <t>1行 1列，源：1753-01-01 00:00:00 备：1996-03-03 23:59:59.997</t>
        </is>
      </c>
      <c r="AY4" s="0" t="inlineStr">
        <is>
          <t>0行 2列，源：None 备：</t>
        </is>
      </c>
      <c r="AZ4" s="0" t="inlineStr">
        <is>
          <t>0行 2列，源：None 备：</t>
        </is>
      </c>
      <c r="BA4" s="0" t="inlineStr">
        <is>
          <t>0行 1列，源：2020-02-29 19:27:31.123000 备：2001-04-09 23:59:59.993</t>
        </is>
      </c>
      <c r="BB4" s="0" t="inlineStr">
        <is>
          <t>1行 0列，源：7 备：5</t>
        </is>
      </c>
      <c r="BC4" s="0" t="inlineStr">
        <is>
          <t>0行 2列，源：None 备：</t>
        </is>
      </c>
      <c r="BD4" s="0" t="inlineStr">
        <is>
          <t>1行 0列，源：2 备：10</t>
        </is>
      </c>
      <c r="BE4" s="0" t="inlineStr">
        <is>
          <t>0行 2列，源：None 备：</t>
        </is>
      </c>
      <c r="BF4" s="0" t="inlineStr">
        <is>
          <t>0行 2列，源：None 备：</t>
        </is>
      </c>
      <c r="BG4" s="0" t="inlineStr">
        <is>
          <t>0行 1列，源：nan 备：99</t>
        </is>
      </c>
      <c r="BH4" s="0" t="inlineStr">
        <is>
          <t>0行 2列，源：None 备：</t>
        </is>
      </c>
      <c r="BI4" s="0" t="inlineStr">
        <is>
          <t>0行 2列，源：None 备：</t>
        </is>
      </c>
      <c r="BJ4" s="0" t="inlineStr">
        <is>
          <t>0行 2列，源：-1.0 备：-1</t>
        </is>
      </c>
      <c r="BK4" s="0" t="inlineStr">
        <is>
          <t>1行 1列，源：/ 备：</t>
        </is>
      </c>
      <c r="BL4" s="0" t="inlineStr">
        <is>
          <t>0行 2列，源：None 备：</t>
        </is>
      </c>
      <c r="BN4" s="0" t="inlineStr">
        <is>
          <t>2行 3列，源：2046-05-11 14:30:45.120000 备：2046-05-11 14:30:45.12</t>
        </is>
      </c>
      <c r="BO4" s="0" t="inlineStr">
        <is>
          <t>0行 2列，源：None 备：</t>
        </is>
      </c>
      <c r="BP4" s="0" t="inlineStr">
        <is>
          <t>0行 2列，源：None 备：</t>
        </is>
      </c>
      <c r="BQ4" s="0" t="inlineStr">
        <is>
          <t>0行 3列，源：9999-12-31 23:59:59.990000 备：9999-12-31 23:59:59.99</t>
        </is>
      </c>
      <c r="BS4" s="0" t="inlineStr">
        <is>
          <t>1行 1列，源： 备：￥</t>
        </is>
      </c>
      <c r="BT4" s="0" t="inlineStr">
        <is>
          <t>0行 2列，源：None 备：</t>
        </is>
      </c>
      <c r="BU4" s="0" t="inlineStr">
        <is>
          <t>0行 2列，源：None 备：</t>
        </is>
      </c>
      <c r="BV4" s="0" t="inlineStr">
        <is>
          <t>0行 2列，源：None 备：</t>
        </is>
      </c>
      <c r="BW4" s="0" t="inlineStr">
        <is>
          <t>0行 2列，源：None 备：</t>
        </is>
      </c>
      <c r="BX4" s="0" t="inlineStr">
        <is>
          <t>0行 2列，源：None 备：</t>
        </is>
      </c>
      <c r="BY4" s="0" t="inlineStr">
        <is>
          <t>0行 2列，源：None 备：</t>
        </is>
      </c>
      <c r="B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4" s="0" t="inlineStr">
        <is>
          <t>0行 2列，源：None 备：</t>
        </is>
      </c>
      <c r="CB4" s="0" t="inlineStr">
        <is>
          <t>0行 2列，源：None 备：</t>
        </is>
      </c>
      <c r="CC4" s="0" t="inlineStr">
        <is>
          <t xml:space="preserve">0行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4" s="0" t="inlineStr">
        <is>
          <t>0行 4列，源：None 备：</t>
        </is>
      </c>
      <c r="CE4" s="0" t="inlineStr">
        <is>
          <t>1行 1列，源：2000-05-11 00:30:45 +09:00 备：2013-03-12 02:00:00 -04:25</t>
        </is>
      </c>
      <c r="CF4" s="0" t="inlineStr">
        <is>
          <t>0行 2列，源：None 备：</t>
        </is>
      </c>
      <c r="CG4" s="0" t="inlineStr">
        <is>
          <t>1行 0列，源：2 备：10</t>
        </is>
      </c>
      <c r="CH4" s="0" t="inlineStr">
        <is>
          <t>0行 1列，源：9999-12-31 23:59:59 +00:00 备：2013-03-12 02:00:00 -04:25</t>
        </is>
      </c>
      <c r="CI4" s="0" t="inlineStr">
        <is>
          <t>1行 0列，源：2 备：10</t>
        </is>
      </c>
      <c r="CJ4" s="0" t="inlineStr">
        <is>
          <t>2行 2列，源：None 备：</t>
        </is>
      </c>
      <c r="CK4" s="0" t="inlineStr">
        <is>
          <t>0行 2列，源：b'This is a test strin' 备：546869732069732061207465737420737472696E</t>
        </is>
      </c>
      <c r="CL4" s="0" t="inlineStr">
        <is>
          <t>0行 1列，源：23:59:59 备：12:30:45</t>
        </is>
      </c>
      <c r="CM4" s="0" t="inlineStr">
        <is>
          <t>0行 2列，源：-32768.0 备：-32768</t>
        </is>
      </c>
      <c r="CN4" s="0" t="inlineStr">
        <is>
          <t>1行 0列，源：2 备：10</t>
        </is>
      </c>
      <c r="CO4" s="0" t="inlineStr">
        <is>
          <t>0行 2列，源：b'This is a test strin' 备：546869732069732061207465737420737472696E</t>
        </is>
      </c>
      <c r="CP4" s="0" t="inlineStr">
        <is>
          <t>1行 1列，源：1900-01-01 00:00:00 备：2079-06-05 23:59:00</t>
        </is>
      </c>
      <c r="CQ4" s="0" t="inlineStr">
        <is>
          <t>0行 1列，源：2079-06-06 23:59:00 备：2079-06-05 23:59:00</t>
        </is>
      </c>
      <c r="CR4" s="0" t="inlineStr">
        <is>
          <t>0行 2列，源：None 备：</t>
        </is>
      </c>
      <c r="CS4" s="0" t="inlineStr">
        <is>
          <t xml:space="preserve">0行 3列，源：AAAAAAAAAAAAAAAAAAAAAAAAAAAAAA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CT4" s="0" t="inlineStr">
        <is>
          <t>0行 2列，源：-32768.0 备：-32768</t>
        </is>
      </c>
      <c r="CU4" s="0" t="inlineStr">
        <is>
          <t>2行 2列，源：None 备：</t>
        </is>
      </c>
      <c r="CV4" s="0" t="inlineStr">
        <is>
          <t>0行 2列，源：None 备：</t>
        </is>
      </c>
      <c r="CW4" s="0" t="inlineStr">
        <is>
          <t>1行 1列，源：2068-06-01 备：1990-12-31</t>
        </is>
      </c>
      <c r="CX4" s="0" t="inlineStr">
        <is>
          <t>0行 2列，源：None 备：</t>
        </is>
      </c>
      <c r="CY4" s="0" t="inlineStr">
        <is>
          <t>2行 0列，源：3 备：11</t>
        </is>
      </c>
      <c r="CZ4" s="0" t="inlineStr">
        <is>
          <t>0行 2列，源：b'Variable length bina' 备：5661726961626C65206C656E6774682062696E61</t>
        </is>
      </c>
      <c r="DA4" s="0" t="inlineStr">
        <is>
          <t>0行 2列，源：-32768.0 备：-32768</t>
        </is>
      </c>
      <c r="DB4" s="0" t="inlineStr">
        <is>
          <t>1行 0列，源：2 备：10</t>
        </is>
      </c>
      <c r="DC4" s="0" t="inlineStr">
        <is>
          <t>0行 2列，源：None 备：</t>
        </is>
      </c>
      <c r="DD4" s="0" t="inlineStr">
        <is>
          <t>0行 1列，源：timestamp不参与比较 备：00000000000140A6</t>
        </is>
      </c>
      <c r="DE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DF4" s="0" t="inlineStr">
        <is>
          <t>1行 1列，源：2026-04-17 备：1990-12-31</t>
        </is>
      </c>
      <c r="DG4" s="0" t="inlineStr">
        <is>
          <t>0行 1列，源：1753-01-01 00:00:00 备：1997-04-04 23:59:59.997</t>
        </is>
      </c>
      <c r="DH4" s="0" t="inlineStr">
        <is>
          <t>0行 2列，源：None 备：</t>
        </is>
      </c>
      <c r="DI4" s="0" t="inlineStr">
        <is>
          <t>0行 1列，源：timestamp不参与比较 备：00000000000140A8</t>
        </is>
      </c>
      <c r="DJ4" s="0" t="inlineStr">
        <is>
          <t>0行 2列，源：None 备：</t>
        </is>
      </c>
      <c r="DK4" s="0" t="inlineStr">
        <is>
          <t>0行 2列，源：b'This is a test strin' 备：546869732069732061207465737420737472696E</t>
        </is>
      </c>
      <c r="DL4" s="0" t="inlineStr">
        <is>
          <t>0行 2列，源：None 备：</t>
        </is>
      </c>
      <c r="DM4" s="0" t="inlineStr">
        <is>
          <t>0行 2列，源：None 备：</t>
        </is>
      </c>
      <c r="DN4" s="0" t="inlineStr">
        <is>
          <t>0行 2列，源：None 备：</t>
        </is>
      </c>
      <c r="DP4" s="0" t="inlineStr">
        <is>
          <t>0行 2列，源：None 备：</t>
        </is>
      </c>
      <c r="DQ4" s="0" t="inlineStr">
        <is>
          <t>0行 2列，源：None 备：</t>
        </is>
      </c>
      <c r="DR4" s="0" t="inlineStr">
        <is>
          <t>0行 1列，源：POINT (116.404 39.915) 备：POINT(116.403999999999996 39.9149999999999991)</t>
        </is>
      </c>
      <c r="DS4" s="0" t="inlineStr">
        <is>
          <t>0行 2列，源：None 备：</t>
        </is>
      </c>
      <c r="DT4" s="0" t="inlineStr">
        <is>
          <t>0行 2列，源：None 备：</t>
        </is>
      </c>
      <c r="DU4" s="0" t="inlineStr">
        <is>
          <t>0行 2列，源：None 备：</t>
        </is>
      </c>
      <c r="DV4" s="0" t="inlineStr">
        <is>
          <t>0行 20列，源：0xC9CFBAA32324255E262A2D3D0000000000000000 备：0xBAA32324255E262A2D3D0000000000000000</t>
        </is>
      </c>
      <c r="DW4" s="0" t="inlineStr">
        <is>
          <t>0行 24列，源：timestamp不参与比较 备：000000000001407D</t>
        </is>
      </c>
      <c r="DX4" s="0" t="inlineStr">
        <is>
          <t>0行 2列，源：-32768.0 备：-32768</t>
        </is>
      </c>
      <c r="DY4" s="0" t="inlineStr">
        <is>
          <t>0行 2列，源：None 备：</t>
        </is>
      </c>
      <c r="EA4" s="0" t="inlineStr">
        <is>
          <t>0行 3列，源：2046-05-11 14:30:45.120000 备：2046-05-11 14:30:45.12</t>
        </is>
      </c>
      <c r="EB4" s="0" t="inlineStr">
        <is>
          <t>0行 1列，源：POINT (55.9271035250276 -3.29431266523898) 备：POINT(55.9271035250275972 -3.29431266523898003)</t>
        </is>
      </c>
      <c r="EC4" s="0" t="inlineStr">
        <is>
          <t>0行 2列，源：None 备：</t>
        </is>
      </c>
      <c r="ED4" s="0" t="inlineStr">
        <is>
          <t>0行 2列，源：None 备：</t>
        </is>
      </c>
      <c r="EE4" s="0" t="inlineStr">
        <is>
          <t>2行 0列，源：3 备：11</t>
        </is>
      </c>
      <c r="EF4" s="0" t="inlineStr">
        <is>
          <t>0行 24列，源：timestamp不参与比较 备：0000000000014085</t>
        </is>
      </c>
      <c r="EG4" s="0" t="inlineStr">
        <is>
          <t>1行 1列，源：18:10:06 备：09:12:34</t>
        </is>
      </c>
      <c r="EH4" s="0" t="inlineStr">
        <is>
          <t>0行 2列，源：-32768.0 备：-32768</t>
        </is>
      </c>
      <c r="EI4" s="0" t="inlineStr">
        <is>
          <t>0行 2列，源：None 备：</t>
        </is>
      </c>
      <c r="EJ4" s="0" t="inlineStr">
        <is>
          <t>0行 1列，源：LINESTRING (116.404 39.915, 121.474 31.23) 备：LINESTRING(116.403999999999996 39.9149999999999991,121.474000000000004 31.2300000000000004)</t>
        </is>
      </c>
      <c r="EK4" s="0" t="inlineStr">
        <is>
          <t>0行 1列，源：00:00:00 备：12:30:45</t>
        </is>
      </c>
      <c r="EL4" s="0" t="inlineStr">
        <is>
          <t>0行 2列，源：None 备：</t>
        </is>
      </c>
      <c r="EN4" s="0" t="inlineStr">
        <is>
          <t>0行 1列，源：18:10:06 备：09:12:34</t>
        </is>
      </c>
      <c r="EO4" s="0" t="inlineStr">
        <is>
          <t>0行 2列，源：None 备：</t>
        </is>
      </c>
      <c r="EP4" s="0" t="inlineStr">
        <is>
          <t>0行 2列，源：-32768.0 备：-32768</t>
        </is>
      </c>
      <c r="EQ4" s="0" t="inlineStr">
        <is>
          <t>1行 1列，源：1900-01-01 00:00:00 备：2079-06-05 23:59:00</t>
        </is>
      </c>
      <c r="ER4" s="0" t="inlineStr">
        <is>
          <t>1行 1列，源：1900-01-01 00:00:00 备：2079-06-05 23:59:00</t>
        </is>
      </c>
      <c r="ES4" s="0" t="inlineStr">
        <is>
          <t>0行 2列，源：-32768.0 备：-32768</t>
        </is>
      </c>
      <c r="ET4" s="0" t="inlineStr">
        <is>
          <t>0行 2列，源：None 备：</t>
        </is>
      </c>
      <c r="EU4" s="0" t="inlineStr">
        <is>
          <t>2行 2列，源：None 备：</t>
        </is>
      </c>
      <c r="EV4" s="0" t="inlineStr">
        <is>
          <t>1行 1列，源：1900-01-01 00:00:00 备：2079-06-05 23:59:00</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c_geometry列源备映射错误，源端为geometry -1位	期望更改为text	实际备端为geometry -1位</t>
        </is>
      </c>
      <c r="AA5" s="0" t="inlineStr">
        <is>
          <t>0行 6列，源：None 备：</t>
        </is>
      </c>
      <c r="AB5" s="0" t="inlineStr">
        <is>
          <t>3行 0列，源：4 备：12</t>
        </is>
      </c>
      <c r="AC5" s="0" t="inlineStr">
        <is>
          <t>2行 0列，源：3 备：11</t>
        </is>
      </c>
      <c r="AD5" s="0" t="inlineStr">
        <is>
          <t>0行 3列，源：None 备：</t>
        </is>
      </c>
      <c r="AF5" s="0" t="inlineStr">
        <is>
          <t>2行 0列，源：3 备：11</t>
        </is>
      </c>
      <c r="AH5" s="0" t="inlineStr">
        <is>
          <t>0行 2列，源：9999-12-31 23:59:59.9 +00:00 备：2003-11-05 02:00:00.0 -05:10</t>
        </is>
      </c>
      <c r="AI5" s="0" t="inlineStr">
        <is>
          <t>0行 3列，源：None 备：</t>
        </is>
      </c>
      <c r="AJ5" s="0" t="inlineStr">
        <is>
          <t>1行 0列，源：6 备：11</t>
        </is>
      </c>
      <c r="AK5" s="0" t="inlineStr">
        <is>
          <t>1行 1列，源：LINESTRING (116.3 39.9, 116.4 39.8, 116.5 39.7) 备：LINESTRING(116.299999999999997 39.8999999999999986,116.400000000000006 39.7999999999999972,116.5 39.7000000000000028)</t>
        </is>
      </c>
      <c r="AL5" s="0" t="inlineStr">
        <is>
          <t>2行 0列，源：11 备：8</t>
        </is>
      </c>
      <c r="AM5" s="0" t="inlineStr">
        <is>
          <t>0行 15列，源：1.23456789012345e-30 备：0.0000000000000</t>
        </is>
      </c>
      <c r="AN5" s="0" t="inlineStr">
        <is>
          <t>2行 1列，源：None 备：</t>
        </is>
      </c>
      <c r="AO5" s="0" t="inlineStr">
        <is>
          <t>1行 1列，源：1900-01-01 00:00:00 备：1996-03-03 23:59:59.997</t>
        </is>
      </c>
      <c r="AP5" s="0" t="inlineStr">
        <is>
          <t>1行 1列，源：1900-01-01 00:00:00 备：1996-03-03 23:59:59.997</t>
        </is>
      </c>
      <c r="AQ5" s="0" t="inlineStr">
        <is>
          <t>0行 3列，源：None 备：</t>
        </is>
      </c>
      <c r="AR5" s="0" t="inlineStr">
        <is>
          <t>1行 1列，源：1900-01-01 00:00:00 备：1996-03-03 23:59:59.997</t>
        </is>
      </c>
      <c r="AS5" s="0" t="inlineStr">
        <is>
          <t>0行 16列，源：1.2345669834560371e-20 备：0.000000</t>
        </is>
      </c>
      <c r="AT5" s="0" t="inlineStr">
        <is>
          <t>1行 1列，源：1900-01-01 00:00:00 备：1996-03-03 23:59:59.997</t>
        </is>
      </c>
      <c r="AU5" s="0" t="inlineStr">
        <is>
          <t>1行 1列，源：  备：￥</t>
        </is>
      </c>
      <c r="AV5" s="0" t="inlineStr">
        <is>
          <t>1行 1列，源：9999-12-31 23:59:59.997000 备：9999-12-31 23:59:59.997</t>
        </is>
      </c>
      <c r="AX5" s="0" t="inlineStr">
        <is>
          <t>2行 0列，源：3 备：11</t>
        </is>
      </c>
      <c r="AY5" s="0" t="inlineStr">
        <is>
          <t>0行 3列，源：None 备：</t>
        </is>
      </c>
      <c r="AZ5" s="0" t="inlineStr">
        <is>
          <t>0行 3列，源：None 备：</t>
        </is>
      </c>
      <c r="BA5" s="0" t="inlineStr">
        <is>
          <t>1行 0列，源：7 备：16</t>
        </is>
      </c>
      <c r="BB5" s="0" t="inlineStr">
        <is>
          <t>2行 0列，源：9 备：7</t>
        </is>
      </c>
      <c r="BC5" s="0" t="inlineStr">
        <is>
          <t>0行 3列，源：None 备：</t>
        </is>
      </c>
      <c r="BD5" s="0" t="inlineStr">
        <is>
          <t>1行 1列，源：1900-01-01 备：1990-05-11</t>
        </is>
      </c>
      <c r="BE5" s="0" t="inlineStr">
        <is>
          <t>0行 3列，源：None 备：</t>
        </is>
      </c>
      <c r="BF5" s="0" t="inlineStr">
        <is>
          <t>0行 3列，源：None 备：</t>
        </is>
      </c>
      <c r="BG5" s="0" t="inlineStr">
        <is>
          <t>0行 2列，源：nan 备：-12345</t>
        </is>
      </c>
      <c r="BH5" s="0" t="inlineStr">
        <is>
          <t>0行 3列，源：None 备：</t>
        </is>
      </c>
      <c r="BI5" s="0" t="inlineStr">
        <is>
          <t>0行 3列，源：None 备：</t>
        </is>
      </c>
      <c r="BJ5" s="0" t="inlineStr">
        <is>
          <t>0行 3列，源：222222.0 备：222222</t>
        </is>
      </c>
      <c r="BK5" s="0" t="inlineStr">
        <is>
          <t>1行 1列，源：/ 备：</t>
        </is>
      </c>
      <c r="BL5" s="0" t="inlineStr">
        <is>
          <t>0行 3列，源：None 备：</t>
        </is>
      </c>
      <c r="BN5" s="0" t="inlineStr">
        <is>
          <t>2行 4列，源：2046-05-11 14:30:45.123000 备：2046-05-11 14:30:45.123</t>
        </is>
      </c>
      <c r="BO5" s="0" t="inlineStr">
        <is>
          <t>0行 3列，源：None 备：</t>
        </is>
      </c>
      <c r="BP5" s="0" t="inlineStr">
        <is>
          <t>0行 3列，源：None 备：</t>
        </is>
      </c>
      <c r="BQ5" s="0" t="inlineStr">
        <is>
          <t>0行 4列，源：9999-12-31 23:59:59.999000 备：9999-12-31 23:59:59.999</t>
        </is>
      </c>
      <c r="BS5" s="0" t="inlineStr">
        <is>
          <t>1行 1列，源： 备：￥</t>
        </is>
      </c>
      <c r="BT5" s="0" t="inlineStr">
        <is>
          <t>0行 3列，源：None 备：</t>
        </is>
      </c>
      <c r="BU5" s="0" t="inlineStr">
        <is>
          <t>0行 3列，源：None 备：</t>
        </is>
      </c>
      <c r="BV5" s="0" t="inlineStr">
        <is>
          <t>0行 3列，源：None 备：</t>
        </is>
      </c>
      <c r="BW5" s="0" t="inlineStr">
        <is>
          <t>0行 3列，源：None 备：</t>
        </is>
      </c>
      <c r="BX5" s="0" t="inlineStr">
        <is>
          <t>0行 3列，源：None 备：</t>
        </is>
      </c>
      <c r="BY5" s="0" t="inlineStr">
        <is>
          <t>0行 3列，源：None 备：</t>
        </is>
      </c>
      <c r="BZ5"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5" s="0" t="inlineStr">
        <is>
          <t>0行 3列，源：None 备：</t>
        </is>
      </c>
      <c r="CB5" s="0" t="inlineStr">
        <is>
          <t>0行 3列，源：None 备：</t>
        </is>
      </c>
      <c r="CC5"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5" s="0" t="inlineStr">
        <is>
          <t>0行 6列，源：None 备：</t>
        </is>
      </c>
      <c r="CE5" s="0" t="inlineStr">
        <is>
          <t>1行 2列，源：2000-05-11 00:30:45.1 +09:00 备：2013-03-12 02:00:00.0 -04:25</t>
        </is>
      </c>
      <c r="CF5" s="0" t="inlineStr">
        <is>
          <t>0行 3列，源：None 备：</t>
        </is>
      </c>
      <c r="CG5" s="0" t="inlineStr">
        <is>
          <t>1行 1列，源：1900-01-01 备：1990-05-11</t>
        </is>
      </c>
      <c r="CH5" s="0" t="inlineStr">
        <is>
          <t>0行 2列，源：9999-12-31 23:59:59.9 +00:00 备：2013-03-12 02:00:00.0 -04:25</t>
        </is>
      </c>
      <c r="CI5" s="0" t="inlineStr">
        <is>
          <t>1行 1列，源：1900-01-01 备：1990-05-11</t>
        </is>
      </c>
      <c r="CJ5" s="0" t="inlineStr">
        <is>
          <t>2行 3列，源：None 备：</t>
        </is>
      </c>
      <c r="CK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5" s="0" t="inlineStr">
        <is>
          <t>0行 2列，源：23:59:59.900000 备：12:30:45.1</t>
        </is>
      </c>
      <c r="CM5" s="0" t="inlineStr">
        <is>
          <t>0行 3列，源：-2147483648.0 备：-2147483648</t>
        </is>
      </c>
      <c r="CN5" s="0" t="inlineStr">
        <is>
          <t>1行 1列，源：1900-01-01 备：1990-05-11</t>
        </is>
      </c>
      <c r="CO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P5" s="0" t="inlineStr">
        <is>
          <t>2行 0列，源：3 备：11</t>
        </is>
      </c>
      <c r="CQ5" s="0" t="inlineStr">
        <is>
          <t>1行 0列，源：6 备：11</t>
        </is>
      </c>
      <c r="CS5"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CT5" s="0" t="inlineStr">
        <is>
          <t>0行 3列，源：-2147483648.0 备：-2147483648</t>
        </is>
      </c>
      <c r="CV5" s="0" t="inlineStr">
        <is>
          <t>0行 3列，源：None 备：</t>
        </is>
      </c>
      <c r="CW5" s="0" t="inlineStr">
        <is>
          <t>2行 0列，源：3 备：11</t>
        </is>
      </c>
      <c r="CX5" s="0" t="inlineStr">
        <is>
          <t>0行 3列，源：None 备：</t>
        </is>
      </c>
      <c r="CY5" s="0" t="inlineStr">
        <is>
          <t>3行 0列，源：4 备：2</t>
        </is>
      </c>
      <c r="CZ5" s="0" t="inlineStr">
        <is>
          <t>0行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A5" s="0" t="inlineStr">
        <is>
          <t>0行 3列，源：-2147483648.0 备：-2147483648</t>
        </is>
      </c>
      <c r="DB5" s="0" t="inlineStr">
        <is>
          <t>1行 1列，源：1900-01-01 00:00:00 备：1996-03-03 23:59:59.997</t>
        </is>
      </c>
      <c r="DC5" s="0" t="inlineStr">
        <is>
          <t>0行 3列，源：None 备：</t>
        </is>
      </c>
      <c r="DD5" s="0" t="inlineStr">
        <is>
          <t>1行 1列，源：timestamp不参与比较 备：00000000000140A7</t>
        </is>
      </c>
      <c r="DE5" s="0" t="inlineStr">
        <is>
          <t>2行 1列，源：None 备：</t>
        </is>
      </c>
      <c r="DF5" s="0" t="inlineStr">
        <is>
          <t>2行 0列，源：5 备：3</t>
        </is>
      </c>
      <c r="DG5" s="0" t="inlineStr">
        <is>
          <t>1行 0列，源：4 备：12</t>
        </is>
      </c>
      <c r="DH5" s="0" t="inlineStr">
        <is>
          <t>0行 3列，源：None 备：</t>
        </is>
      </c>
      <c r="DJ5" s="0" t="inlineStr">
        <is>
          <t>0行 3列，源：None 备：</t>
        </is>
      </c>
      <c r="DK5" s="0" t="inlineStr">
        <is>
          <t>0行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DL5" s="0" t="inlineStr">
        <is>
          <t>0行 3列，源：None 备：</t>
        </is>
      </c>
      <c r="DM5" s="0" t="inlineStr">
        <is>
          <t>0行 3列，源：None 备：</t>
        </is>
      </c>
      <c r="DN5" s="0" t="inlineStr">
        <is>
          <t>0行 3列，源：None 备：</t>
        </is>
      </c>
      <c r="DP5" s="0" t="inlineStr">
        <is>
          <t>0行 3列，源：None 备：</t>
        </is>
      </c>
      <c r="DQ5" s="0" t="inlineStr">
        <is>
          <t>0行 3列，源：None 备：</t>
        </is>
      </c>
      <c r="DR5" s="0" t="inlineStr">
        <is>
          <t>1行 1列，源：LINESTRING (116.404 39.915, 121.474 31.23) 备：LINESTRING(116.403999999999996 39.9149999999999991,121.474000000000004 31.2300000000000004)</t>
        </is>
      </c>
      <c r="DS5" s="0" t="inlineStr">
        <is>
          <t>0行 3列，源：None 备：</t>
        </is>
      </c>
      <c r="DT5" s="0" t="inlineStr">
        <is>
          <t>0行 3列，源：None 备：</t>
        </is>
      </c>
      <c r="DU5" s="0" t="inlineStr">
        <is>
          <t>0行 3列，源：None 备：</t>
        </is>
      </c>
      <c r="DV5" s="0" t="inlineStr">
        <is>
          <t>0行 24列，源：timestamp不参与比较 备：0000000000014078</t>
        </is>
      </c>
      <c r="DW5" s="0" t="inlineStr">
        <is>
          <t>0行 24列，源：timestamp不参与比较 备：000000000001407D</t>
        </is>
      </c>
      <c r="DX5" s="0" t="inlineStr">
        <is>
          <t>0行 3列，源：-2147483648.0 备：-2147483648</t>
        </is>
      </c>
      <c r="DY5" s="0" t="inlineStr">
        <is>
          <t>0行 3列，源：None 备：</t>
        </is>
      </c>
      <c r="EA5" s="0" t="inlineStr">
        <is>
          <t>0行 4列，源：2046-05-11 14:30:45.123000 备：2046-05-11 14:30:45.123</t>
        </is>
      </c>
      <c r="EB5"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C5" s="0" t="inlineStr">
        <is>
          <t>0行 3列，源：None 备：</t>
        </is>
      </c>
      <c r="ED5" s="0" t="inlineStr">
        <is>
          <t>0行 3列，源：None 备：</t>
        </is>
      </c>
      <c r="EE5" s="0" t="inlineStr">
        <is>
          <t>3行 0列，源：4 备：12</t>
        </is>
      </c>
      <c r="EF5" s="0" t="inlineStr">
        <is>
          <t>0行 24列，源：timestamp不参与比较 备：0000000000014085</t>
        </is>
      </c>
      <c r="EG5" s="0" t="inlineStr">
        <is>
          <t>1行 2列，源：18:10:06.100000 备：12:30:45.1</t>
        </is>
      </c>
      <c r="EH5" s="0" t="inlineStr">
        <is>
          <t>0行 3列，源：-2147483648.0 备：-2147483648</t>
        </is>
      </c>
      <c r="EI5" s="0" t="inlineStr">
        <is>
          <t>0行 3列，源：None 备：</t>
        </is>
      </c>
      <c r="EJ5"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5" s="0" t="inlineStr">
        <is>
          <t>0行 2列，源：00:00:00 备：12:30:45.1</t>
        </is>
      </c>
      <c r="EL5" s="0" t="inlineStr">
        <is>
          <t>0行 3列，源：None 备：</t>
        </is>
      </c>
      <c r="EN5" s="0" t="inlineStr">
        <is>
          <t>0行 2列，源：18:10:06.100000 备：12:30:45.1</t>
        </is>
      </c>
      <c r="EO5" s="0" t="inlineStr">
        <is>
          <t>0行 3列，源：None 备：</t>
        </is>
      </c>
      <c r="EP5" s="0" t="inlineStr">
        <is>
          <t>0行 3列，源：-2147483648.0 备：-2147483648</t>
        </is>
      </c>
      <c r="EQ5" s="0" t="inlineStr">
        <is>
          <t>2行 0列，源：3 备：11</t>
        </is>
      </c>
      <c r="ER5" s="0" t="inlineStr">
        <is>
          <t>2行 0列，源：3 备：11</t>
        </is>
      </c>
      <c r="ES5" s="0" t="inlineStr">
        <is>
          <t>0行 3列，源：-2147483648.0 备：-2147483648</t>
        </is>
      </c>
      <c r="ET5" s="0" t="inlineStr">
        <is>
          <t>0行 3列，源：None 备：</t>
        </is>
      </c>
      <c r="EU5" s="0" t="inlineStr">
        <is>
          <t>2行 3列，源：None 备：</t>
        </is>
      </c>
      <c r="EV5" s="0" t="inlineStr">
        <is>
          <t>2行 0列，源：3 备：11</t>
        </is>
      </c>
    </row>
    <row r="6">
      <c r="A6" s="0" t="inlineStr">
        <is>
          <t>info_nvarchar_dml_batch1_pk_urp1</t>
        </is>
      </c>
      <c r="K6" s="0" t="inlineStr">
        <is>
          <t>[0;34m info_nvarchar_dml_batch1_pk_urp1 [0m源备字段数相同，源端字段：4 	备端字段4</t>
        </is>
      </c>
      <c r="W6" s="0" t="inlineStr">
        <is>
          <t>YES 源备无差异</t>
        </is>
      </c>
      <c r="X6" s="0">
        <f>A6</f>
        <v/>
      </c>
      <c r="AA6" s="0" t="inlineStr">
        <is>
          <t>0行 8列，源：None 备：</t>
        </is>
      </c>
      <c r="AB6" s="0" t="inlineStr">
        <is>
          <t>4行 0列，源：5 备：13</t>
        </is>
      </c>
      <c r="AC6" s="0" t="inlineStr">
        <is>
          <t>2行 1列，源：1900-01-01 00:00:00 备：1900-01-02 00:00:00</t>
        </is>
      </c>
      <c r="AD6" s="0" t="inlineStr">
        <is>
          <t>1行 0列，源：2 备：10</t>
        </is>
      </c>
      <c r="AF6" s="0" t="inlineStr">
        <is>
          <t>2行 1列，源：2079-06-05 23:59:00 备：1900-01-02 00:00:00</t>
        </is>
      </c>
      <c r="AH6" s="0" t="inlineStr">
        <is>
          <t>0行 3列，源：9999-12-31 23:59:59.99 +00:00 备：2003-11-05 02:00:00.00 -05:10</t>
        </is>
      </c>
      <c r="AI6" s="0" t="inlineStr">
        <is>
          <t>1行 0列，源：2 备：10</t>
        </is>
      </c>
      <c r="AJ6" s="0" t="inlineStr">
        <is>
          <t>1行 1列，源：2020-03-01 00:00:00 备：1900-01-02 00:00:00</t>
        </is>
      </c>
      <c r="AK6" s="0" t="inlineStr">
        <is>
          <t>1行 1列，源：LINESTRING (116.3 39.9, 116.4 39.8, 116.5 39.7) 备：LINESTRING(116.299999999999997 39.8999999999999986,116.400000000000006 39.7999999999999972,116.5 39.7000000000000028)</t>
        </is>
      </c>
      <c r="AM6" s="0" t="inlineStr">
        <is>
          <t>0行 16列，源：1.2345669834560371e-20 备：0.000000</t>
        </is>
      </c>
      <c r="AN6"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O6" s="0" t="inlineStr">
        <is>
          <t>2行 0列，源：3 备：11</t>
        </is>
      </c>
      <c r="AP6" s="0" t="inlineStr">
        <is>
          <t>2行 0列，源：3 备：11</t>
        </is>
      </c>
      <c r="AQ6" s="0" t="inlineStr">
        <is>
          <t>1行 0列，源：2 备：10</t>
        </is>
      </c>
      <c r="AR6" s="0" t="inlineStr">
        <is>
          <t>2行 0列，源：3 备：11</t>
        </is>
      </c>
      <c r="AS6" s="0" t="inlineStr">
        <is>
          <t>0行 19列，源：True 备：1</t>
        </is>
      </c>
      <c r="AT6" s="0" t="inlineStr">
        <is>
          <t>2行 0列，源：3 备：103</t>
        </is>
      </c>
      <c r="AU6" s="0" t="inlineStr">
        <is>
          <t xml:space="preserve">1行 2列，源：                     备：𧿹䗪䒦𠀀              </t>
        </is>
      </c>
      <c r="AV6" s="0" t="inlineStr">
        <is>
          <t>2行 0列，源：3 备：11</t>
        </is>
      </c>
      <c r="AX6" s="0" t="inlineStr">
        <is>
          <t>2行 1列，源：1753-01-01 00:00:00 备：2020-02-29 19:27:31.123</t>
        </is>
      </c>
      <c r="AY6" s="0" t="inlineStr">
        <is>
          <t>1行 1列，源：None 备：</t>
        </is>
      </c>
      <c r="AZ6" s="0" t="inlineStr">
        <is>
          <t>1行 0列，源：2 备：10</t>
        </is>
      </c>
      <c r="BA6" s="0" t="inlineStr">
        <is>
          <t>1行 1列，源：2000-05-11 14:30:29 备：2002-06-11 23:59:59.993</t>
        </is>
      </c>
      <c r="BB6" s="0" t="inlineStr">
        <is>
          <t>3行 0列，源：11 备：9</t>
        </is>
      </c>
      <c r="BC6" s="0" t="inlineStr">
        <is>
          <t>0行 4列，源：None 备：</t>
        </is>
      </c>
      <c r="BD6" s="0" t="inlineStr">
        <is>
          <t>2行 0列，源：3 备：11</t>
        </is>
      </c>
      <c r="BE6" s="0" t="inlineStr">
        <is>
          <t>0行 4列，源：None 备：</t>
        </is>
      </c>
      <c r="BF6" s="0" t="inlineStr">
        <is>
          <t>0行 4列，源：None 备：</t>
        </is>
      </c>
      <c r="BG6" s="0" t="inlineStr">
        <is>
          <t>0行 3列，源：nan 备：-123456789</t>
        </is>
      </c>
      <c r="BH6" s="0" t="inlineStr">
        <is>
          <t>1行 0列，源：2 备：10</t>
        </is>
      </c>
      <c r="BI6" s="0" t="inlineStr">
        <is>
          <t>0行 4列，源：None 备：</t>
        </is>
      </c>
      <c r="BJ6" s="0" t="inlineStr">
        <is>
          <t>0行 4列，源：500000000.0 备：500000000</t>
        </is>
      </c>
      <c r="BK6" s="0" t="inlineStr">
        <is>
          <t>4行 1列，源：/ 备：</t>
        </is>
      </c>
      <c r="BL6" s="0" t="inlineStr">
        <is>
          <t>1行 0列，源：2 备：128</t>
        </is>
      </c>
      <c r="BN6" s="0" t="inlineStr">
        <is>
          <t>2行 5列，源：2046-05-11 14:30:45.123500 备：2046-05-11 14:30:45.1235</t>
        </is>
      </c>
      <c r="BO6" s="0" t="inlineStr">
        <is>
          <t>1行 0列，源：2 备：10</t>
        </is>
      </c>
      <c r="BP6" s="0" t="inlineStr">
        <is>
          <t>1行 0列，源：2 备：10</t>
        </is>
      </c>
      <c r="BQ6" s="0" t="inlineStr">
        <is>
          <t>0行 5列，源：9999-12-31 23:59:59.999900 备：9999-12-31 23:59:59.9999</t>
        </is>
      </c>
      <c r="BS6" s="0" t="inlineStr">
        <is>
          <t>1行 2列，源： 备：𧿹䗪䒦𠀀</t>
        </is>
      </c>
      <c r="BT6" s="0" t="inlineStr">
        <is>
          <t>1行 0列，源：2 备：10</t>
        </is>
      </c>
      <c r="BV6" s="0" t="inlineStr">
        <is>
          <t>0行 4列，源：None 备：</t>
        </is>
      </c>
      <c r="BX6" s="0" t="inlineStr">
        <is>
          <t>0行 4列，源：None 备：</t>
        </is>
      </c>
      <c r="BY6" s="0" t="inlineStr">
        <is>
          <t>0行 4列，源：None 备：</t>
        </is>
      </c>
      <c r="BZ6" s="0" t="inlineStr">
        <is>
          <t xml:space="preserve">1行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6" s="0" t="inlineStr">
        <is>
          <t>1行 0列，源：2 备：10</t>
        </is>
      </c>
      <c r="CB6" s="0" t="inlineStr">
        <is>
          <t>0行 4列，源：None 备：</t>
        </is>
      </c>
      <c r="CC6" s="0" t="inlineStr">
        <is>
          <t xml:space="preserve">1行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CD6" s="0" t="inlineStr">
        <is>
          <t>0行 8列，源：None 备：</t>
        </is>
      </c>
      <c r="CE6" s="0" t="inlineStr">
        <is>
          <t>1行 3列，源：2000-05-11 00:30:45.12 +09:00 备：2013-03-12 02:00:00.00 -04:25</t>
        </is>
      </c>
      <c r="CF6" s="0" t="inlineStr">
        <is>
          <t>0行 4列，源：None 备：</t>
        </is>
      </c>
      <c r="CG6" s="0" t="inlineStr">
        <is>
          <t>2行 0列，源：3 备：11</t>
        </is>
      </c>
      <c r="CH6" s="0" t="inlineStr">
        <is>
          <t>0行 3列，源：9999-12-31 23:59:59.99 +00:00 备：2013-03-12 02:00:00.00 -04:25</t>
        </is>
      </c>
      <c r="CI6" s="0" t="inlineStr">
        <is>
          <t>2行 0列，源：3 备：11</t>
        </is>
      </c>
      <c r="CJ6" s="0" t="inlineStr">
        <is>
          <t>2行 4列，源：None 备：</t>
        </is>
      </c>
      <c r="CK6" s="0" t="inlineStr">
        <is>
          <t>1行 0列，源：2 备：10</t>
        </is>
      </c>
      <c r="CL6" s="0" t="inlineStr">
        <is>
          <t>0行 3列，源：23:59:59.990000 备：12:30:45.12</t>
        </is>
      </c>
      <c r="CM6" s="0" t="inlineStr">
        <is>
          <t>0行 4列，源：-9.223372036854776e+18 备：-9223372036854775808</t>
        </is>
      </c>
      <c r="CN6" s="0" t="inlineStr">
        <is>
          <t>2行 0列，源：3 备：102</t>
        </is>
      </c>
      <c r="CO6" s="0" t="inlineStr">
        <is>
          <t>1行 0列，源：2 备：10</t>
        </is>
      </c>
      <c r="CP6" s="0" t="inlineStr">
        <is>
          <t>2行 1列，源：1900-01-01 00:00:00 备：1900-01-02 00:00:00</t>
        </is>
      </c>
      <c r="CQ6" s="0" t="inlineStr">
        <is>
          <t>1行 1列，源：2020-03-01 00:00:00 备：1900-01-02 00:00:00</t>
        </is>
      </c>
      <c r="CS6" s="0" t="inlineStr">
        <is>
          <t xml:space="preserve">1行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CT6" s="0" t="inlineStr">
        <is>
          <t>0行 4列，源：-9.223372036854776e+18 备：-9223372036854775808</t>
        </is>
      </c>
      <c r="CV6" s="0" t="inlineStr">
        <is>
          <t>1行 1列，源：None 备：</t>
        </is>
      </c>
      <c r="CW6" s="0" t="inlineStr">
        <is>
          <t>2行 1列，源：0001-01-01 备：1990-12-31</t>
        </is>
      </c>
      <c r="CX6" s="0" t="inlineStr">
        <is>
          <t>4行 3列，源：AAAAAAAAAAAAAAAAAAAAAAAAAAAAAA 备：AAAAAAAAAAAAAAAAAAAAAAAAAAAAAAAAAAAAAAAAAAAAAAAAAAAAAAAAAAAAAAAAAAAAAAAAAAAAAAAAAAAAAAAAAAAAAAAAAAAAAAAAAAAAAAAAAAAAAAAAAAAAAAAAAAAAAAAAAAAAAAAAAAAAAAAAAAAAAAAAAAAAAAAAAAAAAAAAAAAAAAAAAAAAAAAAAAAAAAAA</t>
        </is>
      </c>
      <c r="CY6" s="0" t="inlineStr">
        <is>
          <t>4行 0列，源：5 备：3</t>
        </is>
      </c>
      <c r="CZ6" s="0" t="inlineStr">
        <is>
          <t>1行 1列，源：b'T' 备：54</t>
        </is>
      </c>
      <c r="DA6" s="0" t="inlineStr">
        <is>
          <t>0行 4列，源：-9.223372036854776e+18 备：-9223372036854775808</t>
        </is>
      </c>
      <c r="DB6" s="0" t="inlineStr">
        <is>
          <t>2行 0列，源：3 备：11</t>
        </is>
      </c>
      <c r="DC6" s="0" t="inlineStr">
        <is>
          <t>0行 4列，源：None 备：</t>
        </is>
      </c>
      <c r="DD6" s="0" t="inlineStr">
        <is>
          <t>1行 1列，源：timestamp不参与比较 备：00000000000140A7</t>
        </is>
      </c>
      <c r="DE6" s="0" t="inlineStr">
        <is>
          <t>2行 2列，源：None 备：</t>
        </is>
      </c>
      <c r="DF6" s="0" t="inlineStr">
        <is>
          <t>3行 0列，源：7 备：5</t>
        </is>
      </c>
      <c r="DG6" s="0" t="inlineStr">
        <is>
          <t>1行 1列，源：9999-12-31 23:59:59.997000 备：1998-05-05 23:59:59.997</t>
        </is>
      </c>
      <c r="DH6" s="0" t="inlineStr">
        <is>
          <t>1行 0列，源：2 备：10</t>
        </is>
      </c>
      <c r="DJ6" s="0" t="inlineStr">
        <is>
          <t>0行 4列，源：None 备：</t>
        </is>
      </c>
      <c r="DK6" s="0" t="inlineStr">
        <is>
          <t>1行 1列，源：None 备：</t>
        </is>
      </c>
      <c r="DL6" s="0" t="inlineStr">
        <is>
          <t>0行 4列，源：None 备：</t>
        </is>
      </c>
      <c r="DM6" s="0" t="inlineStr">
        <is>
          <t>0行 4列，源：None 备：</t>
        </is>
      </c>
      <c r="DN6" s="0" t="inlineStr">
        <is>
          <t>1行 0列，源：2 备：128</t>
        </is>
      </c>
      <c r="DP6" s="0" t="inlineStr">
        <is>
          <t>0行 4列，源：None 备：</t>
        </is>
      </c>
      <c r="DQ6" s="0" t="inlineStr">
        <is>
          <t>1行 0列，源：2 备：10</t>
        </is>
      </c>
      <c r="DR6" s="0" t="inlineStr">
        <is>
          <t>1行 1列，源：LINESTRING (116.404 39.915, 121.474 31.23) 备：LINESTRING(116.403999999999996 39.9149999999999991,121.474000000000004 31.2300000000000004)</t>
        </is>
      </c>
      <c r="DT6" s="0" t="inlineStr">
        <is>
          <t>0行 4列，源：None 备：</t>
        </is>
      </c>
      <c r="DU6" s="0" t="inlineStr">
        <is>
          <t>1行 0列，源：2 备：10</t>
        </is>
      </c>
      <c r="DV6" s="0" t="inlineStr">
        <is>
          <t>0行 24列，源：timestamp不参与比较 备：0000000000014078</t>
        </is>
      </c>
      <c r="DX6" s="0" t="inlineStr">
        <is>
          <t>0行 4列，源：-9.223372036854776e+18 备：-9223372036854775808</t>
        </is>
      </c>
      <c r="EA6" s="0" t="inlineStr">
        <is>
          <t>0行 5列，源：2046-05-11 14:30:45.123500 备：2046-05-11 14:30:45.1235</t>
        </is>
      </c>
      <c r="EB6" s="0" t="inlineStr">
        <is>
          <t>2行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C6" s="0" t="inlineStr">
        <is>
          <t>0行 4列，源：None 备：</t>
        </is>
      </c>
      <c r="ED6" s="0" t="inlineStr">
        <is>
          <t>1行 0列，源：2 备：10</t>
        </is>
      </c>
      <c r="EE6" s="0" t="inlineStr">
        <is>
          <t>4行 0列，源：5 备：13</t>
        </is>
      </c>
      <c r="EG6" s="0" t="inlineStr">
        <is>
          <t>1行 3列，源：18:10:06.120000 备：09:12:34.12</t>
        </is>
      </c>
      <c r="EH6" s="0" t="inlineStr">
        <is>
          <t>0行 4列，源：-9.223372036854776e+18 备：-9223372036854775808</t>
        </is>
      </c>
      <c r="EI6" s="0" t="inlineStr">
        <is>
          <t>2行 1列，源：None 备：</t>
        </is>
      </c>
      <c r="EJ6" s="0" t="inlineStr">
        <is>
          <t>1行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EK6" s="0" t="inlineStr">
        <is>
          <t>0行 3列，源：00:00:00 备：12:30:45.12</t>
        </is>
      </c>
      <c r="EN6" s="0" t="inlineStr">
        <is>
          <t>0行 3列，源：18:10:06.120000 备：09:12:34.12</t>
        </is>
      </c>
      <c r="EO6" s="0" t="inlineStr">
        <is>
          <t>1行 0列，源：2 备：10</t>
        </is>
      </c>
      <c r="EP6" s="0" t="inlineStr">
        <is>
          <t>0行 4列，源：-9.223372036854776e+18 备：-9223372036854775808</t>
        </is>
      </c>
      <c r="EQ6" s="0" t="inlineStr">
        <is>
          <t>2行 1列，源：1900-01-01 00:00:00 备：1900-01-02 00:00:00</t>
        </is>
      </c>
      <c r="ER6" s="0" t="inlineStr">
        <is>
          <t>2行 1列，源：1900-01-01 00:00:00 备：1900-01-02 00:00:00</t>
        </is>
      </c>
      <c r="ES6" s="0" t="inlineStr">
        <is>
          <t>0行 4列，源：-9.223372036854776e+18 备：-9223372036854775808</t>
        </is>
      </c>
      <c r="ET6" s="0" t="inlineStr">
        <is>
          <t>0行 4列，源：None 备：</t>
        </is>
      </c>
      <c r="EU6" s="0" t="inlineStr">
        <is>
          <t>3行 1列，源：None 备：</t>
        </is>
      </c>
      <c r="EV6" s="0" t="inlineStr">
        <is>
          <t>2行 1列，源：1900-01-01 00:00:00 备：1900-01-02 00:00:00</t>
        </is>
      </c>
    </row>
    <row r="7">
      <c r="B7" s="0" t="inlineStr">
        <is>
          <t>YES</t>
        </is>
      </c>
      <c r="C7" s="0" t="inlineStr">
        <is>
          <t>NULL</t>
        </is>
      </c>
      <c r="D7" s="0" t="inlineStr">
        <is>
          <t>NULL</t>
        </is>
      </c>
      <c r="E7" s="0" t="inlineStr">
        <is>
          <t>NULL</t>
        </is>
      </c>
      <c r="F7" s="0" t="inlineStr">
        <is>
          <t>NULL</t>
        </is>
      </c>
      <c r="G7" s="0" t="inlineStr">
        <is>
          <t>NULL</t>
        </is>
      </c>
      <c r="H7" s="0" t="inlineStr">
        <is>
          <t>NULL</t>
        </is>
      </c>
      <c r="I7" s="0" t="inlineStr">
        <is>
          <t>YES!PK__info_nva__3213E83FDA6AB9D6</t>
        </is>
      </c>
      <c r="J7" s="0" t="inlineStr">
        <is>
          <t>YES! 主键相关索引</t>
        </is>
      </c>
      <c r="K7" s="0" t="inlineStr">
        <is>
          <t xml:space="preserve"> NO!  	 id列源备映射错误，源端为int None位	期望更改为text	实际备端为int None位</t>
        </is>
      </c>
      <c r="AA7" s="0" t="inlineStr">
        <is>
          <t>2行 1列，源：None 备：</t>
        </is>
      </c>
      <c r="AB7" s="0" t="inlineStr">
        <is>
          <t>5行 0列，源：6 备：14</t>
        </is>
      </c>
      <c r="AC7" s="0" t="inlineStr">
        <is>
          <t>3行 0列，源：4 备：12</t>
        </is>
      </c>
      <c r="AD7" s="0" t="inlineStr">
        <is>
          <t>1行 1列，源：b'' 备：2A</t>
        </is>
      </c>
      <c r="AF7" s="0" t="inlineStr">
        <is>
          <t>3行 0列，源：4 备：12</t>
        </is>
      </c>
      <c r="AH7" s="0" t="inlineStr">
        <is>
          <t>0行 4列，源：9999-12-31 23:59:59.999 +00:00 备：2003-11-05 02:00:00.000 -05:10</t>
        </is>
      </c>
      <c r="AI7" s="0" t="inlineStr">
        <is>
          <t>1行 1列，源：  备：Y</t>
        </is>
      </c>
      <c r="AJ7" s="0" t="inlineStr">
        <is>
          <t>2行 0列，源：8 备：4</t>
        </is>
      </c>
      <c r="AK7"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M7" s="0" t="inlineStr">
        <is>
          <t>0行 19列，源：False 备：0</t>
        </is>
      </c>
      <c r="AN7" s="0" t="inlineStr">
        <is>
          <t>4行 1列，源：&lt;Panel PanelNo="11"&gt;&lt;DecoderID&gt;4402032520086&lt;/DecoderID&gt;&lt;Name&gt;海康B20解码器11&lt;/Name&gt;&lt;IP&gt;44.43.85.6&lt;/IP&gt;&lt;CommPort&gt;200&lt;/CommPort&gt;&lt;Chanel&gt;16842763&lt;/Chanel&gt;&lt;Location Xlocation="1220" Ylocation="20"/&gt;&lt;Size XSize="120" YSize="80"/&gt;&lt;CameraID&gt;4402032040414&lt;/CameraID&gt;&lt;/Panel&gt; 备：&lt;Panel PanelNo="11"&gt;&lt;DecoderID&gt;4402032520086&lt;/DecoderID&gt;&lt;Name&gt;海康B20解码器11&lt;/Name&gt;&lt;IP&gt;44.43.85.6&lt;/IP&gt;&lt;CommPort&gt;200&lt;/CommPort&gt;&lt;Chanel&gt;16842763&lt;/Chanel&gt;&lt;Location Xlocation="1220" Ylocation="20"&gt;&lt;/Location&gt;&lt;Size XSize="120" YSize="80"&gt;&lt;/Size&gt;&lt;CameraID&gt;4402032040414&lt;/CameraID&gt;&lt;/Panel&gt;</t>
        </is>
      </c>
      <c r="AO7" s="0" t="inlineStr">
        <is>
          <t>2行 1列，源：1753-01-01 00:00:00 备：1997-04-04 23:59:59.997</t>
        </is>
      </c>
      <c r="AP7" s="0" t="inlineStr">
        <is>
          <t>2行 1列，源：1753-01-01 00:00:00 备：1997-04-04 23:59:59.997</t>
        </is>
      </c>
      <c r="AQ7" s="0" t="inlineStr">
        <is>
          <t>1行 1列，源：b'' 备：2A</t>
        </is>
      </c>
      <c r="AR7" s="0" t="inlineStr">
        <is>
          <t>2行 1列，源：1753-01-01 00:00:00 备：1997-04-04 23:59:59.997</t>
        </is>
      </c>
      <c r="AS7" s="0" t="inlineStr">
        <is>
          <t>1行 0列，源：2 备：10</t>
        </is>
      </c>
      <c r="AT7" s="0" t="inlineStr">
        <is>
          <t>3行 0列，源：4 备：106</t>
        </is>
      </c>
      <c r="AU7" s="0" t="inlineStr">
        <is>
          <t xml:space="preserve">1行 2列，源：                     备：𧿹䗪䒦𠀀              </t>
        </is>
      </c>
      <c r="AV7" s="0" t="inlineStr">
        <is>
          <t>2行 1列，源：9999-12-31 23:59:59.997000 备：9999-12-31 23:59:59.997</t>
        </is>
      </c>
      <c r="AX7" s="0" t="inlineStr">
        <is>
          <t>3行 0列，源：4 备：12</t>
        </is>
      </c>
      <c r="AY7" s="0" t="inlineStr">
        <is>
          <t>1行 2列，源：None 备：</t>
        </is>
      </c>
      <c r="AZ7" s="0" t="inlineStr">
        <is>
          <t>1行 1列，源：  备：Y</t>
        </is>
      </c>
      <c r="BA7" s="0" t="inlineStr">
        <is>
          <t>2行 0列，源：15 备：17</t>
        </is>
      </c>
      <c r="BC7" s="0" t="inlineStr">
        <is>
          <t>0行 5列，源：None 备：</t>
        </is>
      </c>
      <c r="BD7" s="0" t="inlineStr">
        <is>
          <t>2行 1列，源：0001-01-01 备：2068-06-01</t>
        </is>
      </c>
      <c r="BE7" s="0" t="inlineStr">
        <is>
          <t>0行 5列，源：None 备：</t>
        </is>
      </c>
      <c r="BF7" s="0" t="inlineStr">
        <is>
          <t>0行 5列，源：None 备：</t>
        </is>
      </c>
      <c r="BG7" s="0" t="inlineStr">
        <is>
          <t>0行 4列，源：nan 备：-123456789012345</t>
        </is>
      </c>
      <c r="BH7" s="0" t="inlineStr">
        <is>
          <t>1行 1列，源：b'\x00' 备：2A</t>
        </is>
      </c>
      <c r="BI7" s="0" t="inlineStr">
        <is>
          <t>0行 5列，源：None 备：</t>
        </is>
      </c>
      <c r="BJ7" s="0" t="inlineStr">
        <is>
          <t>0行 15列，源：123.456789 备：123.4567890000000</t>
        </is>
      </c>
      <c r="BK7" s="0" t="inlineStr">
        <is>
          <t>4行 1列，源：/ 备：</t>
        </is>
      </c>
      <c r="BL7" s="0" t="inlineStr">
        <is>
          <t>1行 1列，源：  备：试</t>
        </is>
      </c>
      <c r="BN7" s="0" t="inlineStr">
        <is>
          <t>2行 6列，源：2046-05-11 14:30:45.123460 备：2046-05-11 14:30:45.12346</t>
        </is>
      </c>
      <c r="BO7" s="0" t="inlineStr">
        <is>
          <t>1行 1列，源： 备：Y</t>
        </is>
      </c>
      <c r="BP7" s="0" t="inlineStr">
        <is>
          <t>1行 1列，源：b'\x00' 备：2A</t>
        </is>
      </c>
      <c r="BQ7" s="0" t="inlineStr">
        <is>
          <t>0行 6列，源：9999-12-31 23:59:59.999990 备：9999-12-31 23:59:59.99999</t>
        </is>
      </c>
      <c r="BS7" s="0" t="inlineStr">
        <is>
          <t>1行 2列，源： 备：𧿹䗪䒦𠀀</t>
        </is>
      </c>
      <c r="BT7" s="0" t="inlineStr">
        <is>
          <t>1行 1列，源：b'\x00' 备：2A</t>
        </is>
      </c>
      <c r="BV7" s="0" t="inlineStr">
        <is>
          <t>0行 5列，源：None 备：</t>
        </is>
      </c>
      <c r="BX7" s="0" t="inlineStr">
        <is>
          <t>0行 5列，源：None 备：</t>
        </is>
      </c>
      <c r="BY7" s="0" t="inlineStr">
        <is>
          <t>0行 5列，源：None 备：</t>
        </is>
      </c>
      <c r="BZ7"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7" s="0" t="inlineStr">
        <is>
          <t>1行 1列，源：b'\x00' 备：2A</t>
        </is>
      </c>
      <c r="CB7" s="0" t="inlineStr">
        <is>
          <t>0行 5列，源：None 备：</t>
        </is>
      </c>
      <c r="CC7" s="0" t="inlineStr">
        <is>
          <t>2行 1列，源：None 备：</t>
        </is>
      </c>
      <c r="CD7" s="0" t="inlineStr">
        <is>
          <t>1行 0列，源：2 备：10</t>
        </is>
      </c>
      <c r="CE7" s="0" t="inlineStr">
        <is>
          <t>1行 4列，源：2000-05-11 00:30:45.123 +09:00 备：2013-03-12 02:00:00.000 -04:25</t>
        </is>
      </c>
      <c r="CF7" s="0" t="inlineStr">
        <is>
          <t>0行 5列，源：None 备：</t>
        </is>
      </c>
      <c r="CG7" s="0" t="inlineStr">
        <is>
          <t>2行 1列，源：0001-01-01 备：2068-06-01</t>
        </is>
      </c>
      <c r="CH7" s="0" t="inlineStr">
        <is>
          <t>0行 4列，源：9999-12-31 23:59:59.999 +00:00 备：2013-03-12 02:00:00.000 -04:25</t>
        </is>
      </c>
      <c r="CI7" s="0" t="inlineStr">
        <is>
          <t>2行 1列，源：0001-01-01 备：2068-06-01</t>
        </is>
      </c>
      <c r="CJ7" s="0" t="inlineStr">
        <is>
          <t>2行 5列，源：None 备：</t>
        </is>
      </c>
      <c r="CK7" s="0" t="inlineStr">
        <is>
          <t>1行 1列，源：b'X' 备：58</t>
        </is>
      </c>
      <c r="CL7" s="0" t="inlineStr">
        <is>
          <t>0行 4列，源：23:59:59.999000 备：12:30:45.123</t>
        </is>
      </c>
      <c r="CM7" s="0" t="inlineStr">
        <is>
          <t>0行 15列，源：-1.79e+308 备：-1.7900000000000e+308</t>
        </is>
      </c>
      <c r="CN7" s="0" t="inlineStr">
        <is>
          <t>2行 1列，源：0001-01-01 备：1900-01-01</t>
        </is>
      </c>
      <c r="CO7" s="0" t="inlineStr">
        <is>
          <t>1行 1列，源：b'X' 备：46</t>
        </is>
      </c>
      <c r="CP7" s="0" t="inlineStr">
        <is>
          <t>3行 0列，源：4 备：12</t>
        </is>
      </c>
      <c r="CQ7" s="0" t="inlineStr">
        <is>
          <t>2行 0列，源：9 备：12</t>
        </is>
      </c>
      <c r="CT7" s="0" t="inlineStr">
        <is>
          <t>0行 15列，源：-1.79e+308 备：-1.7900000000000e+308</t>
        </is>
      </c>
      <c r="CV7" s="0" t="inlineStr">
        <is>
          <t>1行 2列，源：None 备：</t>
        </is>
      </c>
      <c r="CW7" s="0" t="inlineStr">
        <is>
          <t>3行 0列，源：4 备：2</t>
        </is>
      </c>
      <c r="CX7" s="0" t="inlineStr">
        <is>
          <t>4行 3列，源：AAAAAAAAAAAAAAAAAAAAAAAAAAAAAA 备：AAAAAAAAAAAAAAAAAAAAAAAAAAAAAAAAAAAAAAAAAAAAAAAAAAAAAAAAAAAAAAAAAAAAAAAAAAAAAAAAAAAAAAAAAAAAAAAAAAAAAAAAAAAAAAAAAAAAAAAAAAAAAAAAAAAAAAAAAAAAAAAAAAAAAAAAAAAAAAAAAAAAAAAAAAAAAAAAAAAAAAAAAAAAAAAAAAAAAAAA</t>
        </is>
      </c>
      <c r="CY7" s="0" t="inlineStr">
        <is>
          <t>5行 0列，源：6 备：4</t>
        </is>
      </c>
      <c r="CZ7" s="0" t="inlineStr">
        <is>
          <t>1行 2列，源：b'HelloWorld\x00\x00\x00\x00\x00\x00\x00\x00\x00\x00' 备：48656C6C6F576F726C6400000000000000000000</t>
        </is>
      </c>
      <c r="DA7" s="0" t="inlineStr">
        <is>
          <t>0行 15列，源：-1.79e+308 备：-1.7900000000000e+308</t>
        </is>
      </c>
      <c r="DB7" s="0" t="inlineStr">
        <is>
          <t>2行 1列，源：1753-01-01 00:00:00 备：1997-04-04 23:59:59.997</t>
        </is>
      </c>
      <c r="DC7" s="0" t="inlineStr">
        <is>
          <t>0行 6列，源：None 备：</t>
        </is>
      </c>
      <c r="DE7" s="0" t="inlineStr">
        <is>
          <t>2行 3列，源：None 备：</t>
        </is>
      </c>
      <c r="DF7" s="0" t="inlineStr">
        <is>
          <t>4行 0列，源：8 备：7</t>
        </is>
      </c>
      <c r="DG7" s="0" t="inlineStr">
        <is>
          <t>2行 0列，源：6 备：13</t>
        </is>
      </c>
      <c r="DH7" s="0" t="inlineStr">
        <is>
          <t>1行 1列，源： 备：Y</t>
        </is>
      </c>
      <c r="DJ7" s="0" t="inlineStr">
        <is>
          <t>0行 5列，源：None 备：</t>
        </is>
      </c>
      <c r="DK7" s="0" t="inlineStr">
        <is>
          <t>1行 2列，源：None 备：</t>
        </is>
      </c>
      <c r="DL7" s="0" t="inlineStr">
        <is>
          <t>0行 5列，源：None 备：</t>
        </is>
      </c>
      <c r="DM7" s="0" t="inlineStr">
        <is>
          <t>0行 5列，源：None 备：</t>
        </is>
      </c>
      <c r="DN7" s="0" t="inlineStr">
        <is>
          <t>1行 1列，源： 备：试</t>
        </is>
      </c>
      <c r="DP7" s="0" t="inlineStr">
        <is>
          <t>0行 5列，源：None 备：</t>
        </is>
      </c>
      <c r="DQ7" s="0" t="inlineStr">
        <is>
          <t>1行 1列，源：b'' 备：2A</t>
        </is>
      </c>
      <c r="DR7"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DT7" s="0" t="inlineStr">
        <is>
          <t>0行 5列，源：None 备：</t>
        </is>
      </c>
      <c r="DU7" s="0" t="inlineStr">
        <is>
          <t>1行 1列，源：b'' 备：2A</t>
        </is>
      </c>
      <c r="DV7" s="0" t="inlineStr">
        <is>
          <t>1行 1列，源：None 备：</t>
        </is>
      </c>
      <c r="DX7" s="0" t="inlineStr">
        <is>
          <t>0行 15列，源：-1.79e+308 备：-1.7900000000000e+308</t>
        </is>
      </c>
      <c r="EA7" s="0" t="inlineStr">
        <is>
          <t>0行 6列，源：2046-05-11 14:30:45.123460 备：2046-05-11 14:30:45.12346</t>
        </is>
      </c>
      <c r="EB7" s="0" t="inlineStr">
        <is>
          <t>3行 1列，源：None 备：</t>
        </is>
      </c>
      <c r="EC7" s="0" t="inlineStr">
        <is>
          <t>0行 5列，源：None 备：</t>
        </is>
      </c>
      <c r="ED7" s="0" t="inlineStr">
        <is>
          <t>1行 1列，源：b'' 备：2A</t>
        </is>
      </c>
      <c r="EE7" s="0" t="inlineStr">
        <is>
          <t>5行 0列，源：6 备：14</t>
        </is>
      </c>
      <c r="EG7" s="0" t="inlineStr">
        <is>
          <t>1行 4列，源：18:10:06.123000 备：12:30:45.123</t>
        </is>
      </c>
      <c r="EH7" s="0" t="inlineStr">
        <is>
          <t>0行 15列，源：-1.79e+308 备：-1.7900000000000e+308</t>
        </is>
      </c>
      <c r="EI7" s="0" t="inlineStr">
        <is>
          <t>2行 2列，源：None 备：</t>
        </is>
      </c>
      <c r="EK7" s="0" t="inlineStr">
        <is>
          <t>0行 4列，源：00:00:00 备：12:30:45.123</t>
        </is>
      </c>
      <c r="EN7" s="0" t="inlineStr">
        <is>
          <t>0行 4列，源：18:10:06.123000 备：12:30:45.123</t>
        </is>
      </c>
      <c r="EO7" s="0" t="inlineStr">
        <is>
          <t>1行 1列，源：b'' 备：2A</t>
        </is>
      </c>
      <c r="EP7" s="0" t="inlineStr">
        <is>
          <t>0行 15列，源：-1.79e+308 备：-1.7900000000000e+308</t>
        </is>
      </c>
      <c r="EQ7" s="0" t="inlineStr">
        <is>
          <t>3行 0列，源：4 备：12</t>
        </is>
      </c>
      <c r="ER7" s="0" t="inlineStr">
        <is>
          <t>3行 0列，源：4 备：12</t>
        </is>
      </c>
      <c r="ES7" s="0" t="inlineStr">
        <is>
          <t>0行 15列，源：-1.79e+308 备：-1.7900000000000e+308</t>
        </is>
      </c>
      <c r="ET7" s="0" t="inlineStr">
        <is>
          <t>0行 5列，源：None 备：</t>
        </is>
      </c>
      <c r="EU7" s="0" t="inlineStr">
        <is>
          <t>3行 2列，源：None 备：</t>
        </is>
      </c>
      <c r="EV7" s="0" t="inlineStr">
        <is>
          <t>3行 0列，源：4 备：12</t>
        </is>
      </c>
    </row>
    <row r="8">
      <c r="B8" s="0" t="inlineStr">
        <is>
          <t>NULL</t>
        </is>
      </c>
      <c r="C8" s="0" t="inlineStr">
        <is>
          <t>NULL</t>
        </is>
      </c>
      <c r="D8" s="0" t="inlineStr">
        <is>
          <t>NULL</t>
        </is>
      </c>
      <c r="E8" s="0" t="inlineStr">
        <is>
          <t>NULL</t>
        </is>
      </c>
      <c r="F8" s="0" t="inlineStr">
        <is>
          <t>NULL</t>
        </is>
      </c>
      <c r="G8" s="0" t="inlineStr">
        <is>
          <t>NULL</t>
        </is>
      </c>
      <c r="H8" s="0" t="inlineStr">
        <is>
          <t>NULL</t>
        </is>
      </c>
      <c r="I8" s="0" t="inlineStr">
        <is>
          <t>NULL</t>
        </is>
      </c>
      <c r="J8" s="0" t="inlineStr">
        <is>
          <t>NULL</t>
        </is>
      </c>
      <c r="K8" s="0" t="inlineStr">
        <is>
          <t xml:space="preserve"> NO!  	 c_nvarchar列源备映射错误，源端为nvarchar 2位	期望更改为text	实际备端为nvarchar 2位</t>
        </is>
      </c>
      <c r="AA8" s="0" t="inlineStr">
        <is>
          <t>2行 2列，源：None 备：</t>
        </is>
      </c>
      <c r="AB8" s="0" t="inlineStr">
        <is>
          <t>6行 0列，源：7 备：2</t>
        </is>
      </c>
      <c r="AC8" s="0" t="inlineStr">
        <is>
          <t>3行 1列，源：2079-06-06 23:59:00 备：1990-11-26 00:01:00</t>
        </is>
      </c>
      <c r="AD8" s="0" t="inlineStr">
        <is>
          <t>1行 2列，源：b'' 备：3132333435363738393031323334353637383930</t>
        </is>
      </c>
      <c r="AF8" s="0" t="inlineStr">
        <is>
          <t>3行 1列，源：2079-06-06 23:59:00 备：1981-05-11 14:31:00</t>
        </is>
      </c>
      <c r="AH8" s="0" t="inlineStr">
        <is>
          <t>0行 5列，源：9999-12-31 23:59:59.9999 +00:00 备：2003-11-05 02:00:00.0000 -05:10</t>
        </is>
      </c>
      <c r="AI8" s="0" t="inlineStr">
        <is>
          <t>1行 1列，源：  备：Y</t>
        </is>
      </c>
      <c r="AJ8" s="0" t="inlineStr">
        <is>
          <t>2行 1列，源：2068-05-11 14:31:00 备：2079-06-06 23:59:00</t>
        </is>
      </c>
      <c r="AK8" s="0" t="inlineStr">
        <is>
          <t>2行 1列，源：POLYGON ((114.05 22.54, 114.06 22.54, 114.06 22.55, 114.05 22.55, 114.05 22.54)) 备：POLYGON((114.049999999999997 22.5399999999999991,114.060000000000002 22.5399999999999991,114.060000000000002 22.5500000000000007,114.049999999999997 22.5500000000000007,114.049999999999997 22.5399999999999991))</t>
        </is>
      </c>
      <c r="AM8" s="0" t="inlineStr">
        <is>
          <t>1行 0列，源：2 备：10</t>
        </is>
      </c>
      <c r="AO8" s="0" t="inlineStr">
        <is>
          <t>3行 0列，源：4 备：12</t>
        </is>
      </c>
      <c r="AP8" s="0" t="inlineStr">
        <is>
          <t>3行 0列，源：4 备：12</t>
        </is>
      </c>
      <c r="AQ8" s="0" t="inlineStr">
        <is>
          <t>1行 2列，源：b'' 备：3132333435363738393031323334353637383930</t>
        </is>
      </c>
      <c r="AR8" s="0" t="inlineStr">
        <is>
          <t>3行 0列，源：4 备：12</t>
        </is>
      </c>
      <c r="AS8" s="0" t="inlineStr">
        <is>
          <t>1行 2列，源：32767.0 备：0</t>
        </is>
      </c>
      <c r="AT8" s="0" t="inlineStr">
        <is>
          <t>3行 1列，源：9999-12-31 23:59:59.997000 备：2020-02-29 19:27:31.123</t>
        </is>
      </c>
      <c r="AU8"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V8" s="0" t="inlineStr">
        <is>
          <t>3行 0列，源：4 备：12</t>
        </is>
      </c>
      <c r="AX8" s="0" t="inlineStr">
        <is>
          <t>3行 1列，源：1753-01-01 00:00:00 备：1998-05-05 23:59:59.997</t>
        </is>
      </c>
      <c r="AY8" s="0" t="inlineStr">
        <is>
          <t>1行 3列，源：None 备：</t>
        </is>
      </c>
      <c r="AZ8" s="0" t="inlineStr">
        <is>
          <t>1行 1列，源：  备：Y</t>
        </is>
      </c>
      <c r="BA8" s="0" t="inlineStr">
        <is>
          <t>2行 1列，源：2001-04-09 23:59:59.993000 备：2003-11-04 23:59:59.990</t>
        </is>
      </c>
      <c r="BC8" s="0" t="inlineStr">
        <is>
          <t>0行 6列，源：None 备：</t>
        </is>
      </c>
      <c r="BD8" s="0" t="inlineStr">
        <is>
          <t>3行 0列，源：4 备：2</t>
        </is>
      </c>
      <c r="BE8" s="0" t="inlineStr">
        <is>
          <t>0行 6列，源：None 备：</t>
        </is>
      </c>
      <c r="BF8" s="0" t="inlineStr">
        <is>
          <t>0行 6列，源：None 备：</t>
        </is>
      </c>
      <c r="BG8" s="0" t="inlineStr">
        <is>
          <t>0行 5列，源：None 备：</t>
        </is>
      </c>
      <c r="BH8" s="0" t="inlineStr">
        <is>
          <t>1行 2列，源：b'\x00\x00\x00\x00\x00\x00\x00\x00\x00\x00\x00\x00\x00\x00\x00\x00\x00\x00\x00\x00' 备：3132333435363738393031323334353637383930</t>
        </is>
      </c>
      <c r="BI8" s="0" t="inlineStr">
        <is>
          <t>0行 6列，源：None 备：</t>
        </is>
      </c>
      <c r="BJ8" s="0" t="inlineStr">
        <is>
          <t>0行 16列，源：1.2345669834560371e-20 备：0.000000</t>
        </is>
      </c>
      <c r="BL8" s="0" t="inlineStr">
        <is>
          <t>1行 1列，源：  备：试</t>
        </is>
      </c>
      <c r="BN8" s="0" t="inlineStr">
        <is>
          <t>3行 2列，源：2046-05-11 14:30:45.100000 备：2046-05-11 14:30:45.1</t>
        </is>
      </c>
      <c r="BO8" s="0" t="inlineStr">
        <is>
          <t>1行 1列，源： 备：Y</t>
        </is>
      </c>
      <c r="BP8" s="0" t="inlineStr">
        <is>
          <t>1行 2列，源：b'\x00\x00\x00\x00\x00\x00\x00\x00\x00\x00\x00\x00\x00\x00\x00\x00\x00\x00\x00\x00' 备：3132333435363738393031323334353637383930</t>
        </is>
      </c>
      <c r="BS8"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T8" s="0" t="inlineStr">
        <is>
          <t>1行 2列，源：b'\x00\x00\x00\x00\x00\x00\x00\x00\x00\x00\x00\x00\x00\x00\x00\x00\x00\x00\x00\x00' 备：3132333435363738393031323334353637383930</t>
        </is>
      </c>
      <c r="BV8" s="0" t="inlineStr">
        <is>
          <t>0行 6列，源：None 备：</t>
        </is>
      </c>
      <c r="BX8" s="0" t="inlineStr">
        <is>
          <t>0行 6列，源：None 备：</t>
        </is>
      </c>
      <c r="BY8" s="0" t="inlineStr">
        <is>
          <t>0行 6列，源：None 备：</t>
        </is>
      </c>
      <c r="BZ8" s="0" t="inlineStr">
        <is>
          <t xml:space="preserve">2行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8" s="0" t="inlineStr">
        <is>
          <t>1行 2列，源：b'\x00\x00\x00\x00\x00\x00\x00\x00\x00\x00\x00\x00\x00\x00\x00\x00\x00\x00\x00\x00' 备：3132333435363738393031323334353637383930</t>
        </is>
      </c>
      <c r="CB8" s="0" t="inlineStr">
        <is>
          <t>0行 6列，源：None 备：</t>
        </is>
      </c>
      <c r="CC8" s="0" t="inlineStr">
        <is>
          <t>2行 2列，源：None 备：</t>
        </is>
      </c>
      <c r="CD8" s="0" t="inlineStr">
        <is>
          <t>1行 2列，源：None 备：</t>
        </is>
      </c>
      <c r="CE8" s="0" t="inlineStr">
        <is>
          <t>1行 5列，源：2000-05-11 00:30:45.1235 +09:00 备：2013-03-12 02:00:00.0000 -04:25</t>
        </is>
      </c>
      <c r="CF8" s="0" t="inlineStr">
        <is>
          <t>0行 6列，源：None 备：</t>
        </is>
      </c>
      <c r="CG8" s="0" t="inlineStr">
        <is>
          <t>3行 0列，源：4 备：122</t>
        </is>
      </c>
      <c r="CH8" s="0" t="inlineStr">
        <is>
          <t>0行 5列，源：9999-12-31 23:59:59.9999 +00:00 备：2013-03-12 02:00:00.0000 -04:25</t>
        </is>
      </c>
      <c r="CI8" s="0" t="inlineStr">
        <is>
          <t>3行 0列，源：4 备：2</t>
        </is>
      </c>
      <c r="CJ8" s="0" t="inlineStr">
        <is>
          <t>2行 6列，源：None 备：</t>
        </is>
      </c>
      <c r="CK8" s="0" t="inlineStr">
        <is>
          <t>1行 2列，源：b'This is a test strin' 备：546869732069732061207465737420737472696E</t>
        </is>
      </c>
      <c r="CL8" s="0" t="inlineStr">
        <is>
          <t>0行 5列，源：23:59:59.999900 备：12:30:45.1235</t>
        </is>
      </c>
      <c r="CM8" s="0" t="inlineStr">
        <is>
          <t>0行 16列，源：-3.3999999521443642e+38 备：-339999995214436424907732413799364296704.000000</t>
        </is>
      </c>
      <c r="CN8" s="0" t="inlineStr">
        <is>
          <t>3行 0列，源：4 备：103</t>
        </is>
      </c>
      <c r="CO8" s="0" t="inlineStr">
        <is>
          <t>1行 2列，源：b'This is a test strin' 备：7E21D3A2B7BD54657374262A0000000000000000</t>
        </is>
      </c>
      <c r="CP8" s="0" t="inlineStr">
        <is>
          <t>3行 1列，源：2079-06-06 23:59:00 备：1990-11-26 00:01:00</t>
        </is>
      </c>
      <c r="CQ8" s="0" t="inlineStr">
        <is>
          <t>2行 1列，源：1981-05-11 14:31:00 备：1990-11-26 00:01:00</t>
        </is>
      </c>
      <c r="CT8" s="0" t="inlineStr">
        <is>
          <t>0行 16列，源：-3.3999999521443642e+38 备：-339999995214436424907732413799364296704.000000</t>
        </is>
      </c>
      <c r="CV8" s="0" t="inlineStr">
        <is>
          <t>1行 3列，源：None 备：</t>
        </is>
      </c>
      <c r="CW8" s="0" t="inlineStr">
        <is>
          <t>3行 1列，源：9999-12-31 备：2068-06-01</t>
        </is>
      </c>
      <c r="CX8" s="0" t="inlineStr">
        <is>
          <t>5行 3列，源：aaaaaaaaaaaaaaaaaaaaaaaaaaaaaa 备：aaaaaaaaaaaaaaaaaaaaaaaaaaaaaaaaaaaaaaaaaaaaaaaaaaaaaaaaaaaaaaaaaaaaaaaaaaaaaaaaaaaaaaaaaaaaaaaaaaaaaaaaaaaaaaaaaaaaaaaaaaaaaaaaaaaaaaaaaaaaaaaaaaaaaaaaaaaaaaaaaaaaaaaaaaaaaaaaaaaaaaaaaaaaaaaaaaaaaaaa</t>
        </is>
      </c>
      <c r="CY8" s="0" t="inlineStr">
        <is>
          <t>6行 0列，源：7 备：5</t>
        </is>
      </c>
      <c r="CZ8" s="0" t="inlineStr">
        <is>
          <t>1行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DA8" s="0" t="inlineStr">
        <is>
          <t>0行 16列，源：-3.3999999521443642e+38 备：-339999995214436424907732413799364296704.000000</t>
        </is>
      </c>
      <c r="DB8" s="0" t="inlineStr">
        <is>
          <t>3行 0列，源：4 备：12</t>
        </is>
      </c>
      <c r="DC8" s="0" t="inlineStr">
        <is>
          <t>0行 8列，源：None 备：</t>
        </is>
      </c>
      <c r="DE8"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F8" s="0" t="inlineStr">
        <is>
          <t>5行 0列，源：11 备：8</t>
        </is>
      </c>
      <c r="DG8" s="0" t="inlineStr">
        <is>
          <t>2行 1列，源：2020-02-29 19:27:31.123000 备：1999-06-06 23:59:59.997</t>
        </is>
      </c>
      <c r="DH8" s="0" t="inlineStr">
        <is>
          <t>1行 1列，源： 备：Y</t>
        </is>
      </c>
      <c r="DJ8" s="0" t="inlineStr">
        <is>
          <t>0行 6列，源：None 备：</t>
        </is>
      </c>
      <c r="DK8" s="0" t="inlineStr">
        <is>
          <t>1行 3列，源：None 备：</t>
        </is>
      </c>
      <c r="DL8" s="0" t="inlineStr">
        <is>
          <t>0行 6列，源：None 备：</t>
        </is>
      </c>
      <c r="DM8" s="0" t="inlineStr">
        <is>
          <t>0行 6列，源：None 备：</t>
        </is>
      </c>
      <c r="DN8" s="0" t="inlineStr">
        <is>
          <t>1行 1列，源： 备：试</t>
        </is>
      </c>
      <c r="DP8" s="0" t="inlineStr">
        <is>
          <t>0行 6列，源：None 备：</t>
        </is>
      </c>
      <c r="DQ8" s="0" t="inlineStr">
        <is>
          <t>1行 2列，源：b'' 备：3132333435363738393031323334353637383930</t>
        </is>
      </c>
      <c r="DR8" s="0" t="inlineStr">
        <is>
          <t>4行 1列，源：POLYGON ((-122.358 47.653, -122.348 47.649, -122.348 47.658, -122.358 47.658, -122.358 47.653)) 备：POLYGON((-122.358000000000004 47.6529999999999987,-122.347999999999999 47.6490000000000009,-122.347999999999999 47.6580000000000013,-122.358000000000004 47.6580000000000013,-122.358000000000004 47.6529999999999987))</t>
        </is>
      </c>
      <c r="DT8" s="0" t="inlineStr">
        <is>
          <t>0行 6列，源：None 备：</t>
        </is>
      </c>
      <c r="DU8" s="0" t="inlineStr">
        <is>
          <t>1行 2列，源：b'' 备：3132333435363738393031323334353637383930</t>
        </is>
      </c>
      <c r="DV8" s="0" t="inlineStr">
        <is>
          <t>1行 2列，源：None 备：</t>
        </is>
      </c>
      <c r="DX8" s="0" t="inlineStr">
        <is>
          <t>0行 16列，源：-3.3999999521443642e+38 备：-339999995214436424907732413799364296704.000000</t>
        </is>
      </c>
      <c r="EA8" s="0" t="inlineStr">
        <is>
          <t>1行 2列，源：1941-05-11 14:30:45.100000 备：1941-05-11 14:30:45.1</t>
        </is>
      </c>
      <c r="EC8" s="0" t="inlineStr">
        <is>
          <t>0行 6列，源：None 备：</t>
        </is>
      </c>
      <c r="ED8" s="0" t="inlineStr">
        <is>
          <t>1行 2列，源：b'' 备：3132333435363738393031323334353637383930</t>
        </is>
      </c>
      <c r="EE8" s="0" t="inlineStr">
        <is>
          <t>6行 0列，源：7 备：15</t>
        </is>
      </c>
      <c r="EG8" s="0" t="inlineStr">
        <is>
          <t>1行 5列，源：18:10:06.123500 备：09:12:34.1235</t>
        </is>
      </c>
      <c r="EH8" s="0" t="inlineStr">
        <is>
          <t>0行 16列，源：-3.3999999521443642e+38 备：-339999995214436424907732413799364296704.000000</t>
        </is>
      </c>
      <c r="EI8" s="0" t="inlineStr">
        <is>
          <t>2行 3列，源：None 备：</t>
        </is>
      </c>
      <c r="EK8" s="0" t="inlineStr">
        <is>
          <t>0行 5列，源：00:00:00 备：12:30:45.1235</t>
        </is>
      </c>
      <c r="EN8" s="0" t="inlineStr">
        <is>
          <t>0行 5列，源：18:10:06.123500 备：09:12:34.1235</t>
        </is>
      </c>
      <c r="EO8" s="0" t="inlineStr">
        <is>
          <t>1行 2列，源：b'' 备：3132333435363738393031323334353637383930</t>
        </is>
      </c>
      <c r="EP8" s="0" t="inlineStr">
        <is>
          <t>0行 16列，源：-3.3999999521443642e+38 备：-339999995214436424907732413799364296704.000000</t>
        </is>
      </c>
      <c r="EQ8" s="0" t="inlineStr">
        <is>
          <t>3行 1列，源：2079-06-06 23:59:00 备：1990-11-26 00:01:00</t>
        </is>
      </c>
      <c r="ER8" s="0" t="inlineStr">
        <is>
          <t>3行 1列，源：2079-06-06 23:59:00 备：1990-11-26 00:01:00</t>
        </is>
      </c>
      <c r="ES8" s="0" t="inlineStr">
        <is>
          <t>0行 16列，源：-3.3999999521443642e+38 备：-339999995214436424907732413799364296704.000000</t>
        </is>
      </c>
      <c r="ET8" s="0" t="inlineStr">
        <is>
          <t>0行 6列，源：None 备：</t>
        </is>
      </c>
      <c r="EU8" s="0" t="inlineStr">
        <is>
          <t>3行 3列，源：None 备：</t>
        </is>
      </c>
      <c r="EV8" s="0" t="inlineStr">
        <is>
          <t>3行 1列，源：2079-06-06 23:59:00 备：1990-11-26 00:01:00</t>
        </is>
      </c>
    </row>
    <row r="9">
      <c r="B9" s="0" t="inlineStr">
        <is>
          <t>NULL</t>
        </is>
      </c>
      <c r="C9" s="0" t="inlineStr">
        <is>
          <t>NULL</t>
        </is>
      </c>
      <c r="D9" s="0" t="inlineStr">
        <is>
          <t>NULL</t>
        </is>
      </c>
      <c r="E9" s="0" t="inlineStr">
        <is>
          <t>NULL</t>
        </is>
      </c>
      <c r="F9" s="0" t="inlineStr">
        <is>
          <t>NULL</t>
        </is>
      </c>
      <c r="G9" s="0" t="inlineStr">
        <is>
          <t>NULL</t>
        </is>
      </c>
      <c r="H9" s="0" t="inlineStr">
        <is>
          <t>NULL</t>
        </is>
      </c>
      <c r="I9" s="0" t="inlineStr">
        <is>
          <t>NULL</t>
        </is>
      </c>
      <c r="J9" s="0" t="inlineStr">
        <is>
          <t>NULL</t>
        </is>
      </c>
      <c r="K9" s="0" t="inlineStr">
        <is>
          <t xml:space="preserve"> NO!  	 c_nvarchar20列源备映射错误，源端为nvarchar 40位	期望更改为text	实际备端为nvarchar 40位</t>
        </is>
      </c>
      <c r="AA9" s="0" t="inlineStr">
        <is>
          <t>2行 3列，源：None 备：</t>
        </is>
      </c>
      <c r="AB9" s="0" t="inlineStr">
        <is>
          <t>7行 0列，源：8 备：3</t>
        </is>
      </c>
      <c r="AC9" s="0" t="inlineStr">
        <is>
          <t>4行 0列，源：5 备：13</t>
        </is>
      </c>
      <c r="A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F9" s="0" t="inlineStr">
        <is>
          <t>4行 0列，源：5 备：13</t>
        </is>
      </c>
      <c r="AH9" s="0" t="inlineStr">
        <is>
          <t>0行 6列，源：9999-12-31 23:59:59.99999 +00:00 备：2003-11-05 02:00:00.00000 -05:10</t>
        </is>
      </c>
      <c r="AI9" s="0" t="inlineStr">
        <is>
          <t xml:space="preserve">1行 2列，源：                     备：上海英方股份              </t>
        </is>
      </c>
      <c r="AJ9" s="0" t="inlineStr">
        <is>
          <t>3行 0列，源：10 备：6</t>
        </is>
      </c>
      <c r="AK9" s="0" t="inlineStr">
        <is>
          <t>5行 1列，源：None 备：</t>
        </is>
      </c>
      <c r="AM9" s="0" t="inlineStr">
        <is>
          <t>1行 2列，源：32767.0 备：-12345</t>
        </is>
      </c>
      <c r="AO9" s="0" t="inlineStr">
        <is>
          <t>3行 1列，源：9999-12-31 23:59:59.997000 备：1998-05-05 23:59:59.997</t>
        </is>
      </c>
      <c r="AP9" s="0" t="inlineStr">
        <is>
          <t>3行 1列，源：9999-12-31 23:59:59.997000 备：1998-05-05 23:59:59.997</t>
        </is>
      </c>
      <c r="AQ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AR9" s="0" t="inlineStr">
        <is>
          <t>3行 1列，源：9999-12-31 23:59:59.997000 备：1998-05-05 23:59:59.997</t>
        </is>
      </c>
      <c r="AS9" s="0" t="inlineStr">
        <is>
          <t>1行 3列，源：123456 备：0</t>
        </is>
      </c>
      <c r="AT9" s="0" t="inlineStr">
        <is>
          <t>4行 0列，源：5 备：107</t>
        </is>
      </c>
      <c r="AU9" s="0" t="inlineStr">
        <is>
          <t xml:space="preserve">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V9" s="0" t="inlineStr">
        <is>
          <t>3行 1列，源：9999-12-31 23:59:59.997000 备：9999-12-31 23:59:59.997</t>
        </is>
      </c>
      <c r="AX9" s="0" t="inlineStr">
        <is>
          <t>4行 0列，源：5 备：13</t>
        </is>
      </c>
      <c r="AZ9" s="0" t="inlineStr">
        <is>
          <t xml:space="preserve">1行 2列，源：                     备：上海英方股份              </t>
        </is>
      </c>
      <c r="BA9" s="0" t="inlineStr">
        <is>
          <t>3行 0列，源：16 备：18</t>
        </is>
      </c>
      <c r="BC9" s="0" t="inlineStr">
        <is>
          <t>0行 7列，源：None 备：</t>
        </is>
      </c>
      <c r="BD9" s="0" t="inlineStr">
        <is>
          <t>3行 1列，源：9999-12-31 备：1900-01-01</t>
        </is>
      </c>
      <c r="BE9" s="0" t="inlineStr">
        <is>
          <t>0行 7列，源：None 备：</t>
        </is>
      </c>
      <c r="BF9" s="0" t="inlineStr">
        <is>
          <t>0行 7列，源：None 备：</t>
        </is>
      </c>
      <c r="BG9" s="0" t="inlineStr">
        <is>
          <t>0行 6列，源：None 备：</t>
        </is>
      </c>
      <c r="BH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I9" s="0" t="inlineStr">
        <is>
          <t>0行 7列，源：None 备：</t>
        </is>
      </c>
      <c r="BJ9" s="0" t="inlineStr">
        <is>
          <t>0行 19列，源：True 备：1</t>
        </is>
      </c>
      <c r="BL9" s="0" t="inlineStr">
        <is>
          <t xml:space="preserve">1行 2列，源：                     备：更新生僻字               </t>
        </is>
      </c>
      <c r="BN9" s="0" t="inlineStr">
        <is>
          <t>3行 3列，源：2046-05-11 14:30:45.120000 备：2046-05-11 14:30:45.12</t>
        </is>
      </c>
      <c r="BO9" s="0" t="inlineStr">
        <is>
          <t>1行 2列，源： 备：上海英方股份</t>
        </is>
      </c>
      <c r="BP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S9" s="0" t="inlineStr">
        <is>
          <t>1行 3列，源：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T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V9" s="0" t="inlineStr">
        <is>
          <t>0行 7列，源：None 备：</t>
        </is>
      </c>
      <c r="BX9" s="0" t="inlineStr">
        <is>
          <t>0行 7列，源：None 备：</t>
        </is>
      </c>
      <c r="BY9" s="0" t="inlineStr">
        <is>
          <t>0行 7列，源：None 备：</t>
        </is>
      </c>
      <c r="BZ9"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9" s="0" t="inlineStr">
        <is>
          <t>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B9" s="0" t="inlineStr">
        <is>
          <t>0行 7列，源：None 备：</t>
        </is>
      </c>
      <c r="CC9" s="0" t="inlineStr">
        <is>
          <t>2行 3列，源：None 备：</t>
        </is>
      </c>
      <c r="CD9" s="0" t="inlineStr">
        <is>
          <t>1行 4列，源：None 备：</t>
        </is>
      </c>
      <c r="CE9" s="0" t="inlineStr">
        <is>
          <t>1行 6列，源：2000-05-11 00:30:45.12346 +09:00 备：2013-03-12 02:00:00.00000 -04:25</t>
        </is>
      </c>
      <c r="CF9" s="0" t="inlineStr">
        <is>
          <t>0行 7列，源：None 备：</t>
        </is>
      </c>
      <c r="CG9" s="0" t="inlineStr">
        <is>
          <t>3行 1列，源：9999-12-31 备：1900-01-01</t>
        </is>
      </c>
      <c r="CH9" s="0" t="inlineStr">
        <is>
          <t>0行 6列，源：9999-12-31 23:59:59.99999 +00:00 备：2013-03-12 02:00:00.00000 -04:25</t>
        </is>
      </c>
      <c r="CI9" s="0" t="inlineStr">
        <is>
          <t>3行 1列，源：9999-12-31 备：1900-01-01</t>
        </is>
      </c>
      <c r="CJ9" s="0" t="inlineStr">
        <is>
          <t>2行 7列，源：None 备：</t>
        </is>
      </c>
      <c r="CK9" s="0" t="inlineStr">
        <is>
          <t>1行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9" s="0" t="inlineStr">
        <is>
          <t>0行 6列，源：23:59:59.999990 备：12:30:45.12346</t>
        </is>
      </c>
      <c r="CM9" s="0" t="inlineStr">
        <is>
          <t>0行 19列，源：False 备：0</t>
        </is>
      </c>
      <c r="CN9" s="0" t="inlineStr">
        <is>
          <t>3行 1列，源：9999-12-31 备：0001-01-01</t>
        </is>
      </c>
      <c r="CO9" s="0" t="inlineStr">
        <is>
          <t>1行 3列，源：b'CaseCaseCaseCaseCaseCaseCaseCaseCaseCaseCaseCaseCaseCaseCaseCaseCaseCaseCaseCaseCaseCaseCaseCaseCaseCaseCaseCaseCaseCaseCaseCaseCaseCaseCaseCaseCaseCaseCaseCaseCaseCaseCaseCaseCaseCaseCaseCaseCaseCase'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P9" s="0" t="inlineStr">
        <is>
          <t>4行 0列，源：5 备：13</t>
        </is>
      </c>
      <c r="CQ9" s="0" t="inlineStr">
        <is>
          <t>3行 0列，源：10 备：4</t>
        </is>
      </c>
      <c r="CT9" s="0" t="inlineStr">
        <is>
          <t>0行 19列，源：False 备：0</t>
        </is>
      </c>
      <c r="CW9" s="0" t="inlineStr">
        <is>
          <t>4行 0列，源：5 备：3</t>
        </is>
      </c>
      <c r="CX9" s="0" t="inlineStr">
        <is>
          <t>5行 3列，源：aaaaaaaaaaaaaaaaaaaaaaaaaaaaaa 备：aaaaaaaaaaaaaaaaaaaaaaaaaaaaaaaaaaaaaaaaaaaaaaaaaaaaaaaaaaaaaaaaaaaaaaaaaaaaaaaaaaaaaaaaaaaaaaaaaaaaaaaaaaaaaaaaaaaaaaaaaaaaaaaaaaaaaaaaaaaaaaaaaaaaaaaaaaaaaaaaaaaaaaaaaaaaaaaaaaaaaaaaaaaaaaaaaaaaaaaa</t>
        </is>
      </c>
      <c r="CY9" s="0" t="inlineStr">
        <is>
          <t>7行 0列，源：8 备：6</t>
        </is>
      </c>
      <c r="DA9" s="0" t="inlineStr">
        <is>
          <t>0行 19列，源：False 备：0</t>
        </is>
      </c>
      <c r="DB9" s="0" t="inlineStr">
        <is>
          <t>3行 1列，源：9999-12-31 23:59:59.997000 备：1998-05-05 23:59:59.997</t>
        </is>
      </c>
      <c r="DC9" s="0" t="inlineStr">
        <is>
          <t>0行 9列，源：None 备：</t>
        </is>
      </c>
      <c r="DE9" s="0" t="inlineStr">
        <is>
          <t xml:space="preserve">4行 3列，源：这是一个长中文字符串这是一个长中文字符串这是一个长中文字符串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DF9" s="0" t="inlineStr">
        <is>
          <t>5行 1列，源：1990-12-31 备：2026-04-17</t>
        </is>
      </c>
      <c r="DG9" s="0" t="inlineStr">
        <is>
          <t>3行 0列，源：7 备：15</t>
        </is>
      </c>
      <c r="DH9" s="0" t="inlineStr">
        <is>
          <t>1行 2列，源： 备：上海英方股份</t>
        </is>
      </c>
      <c r="DJ9" s="0" t="inlineStr">
        <is>
          <t>0行 7列，源：None 备：</t>
        </is>
      </c>
      <c r="DK9" s="0" t="inlineStr">
        <is>
          <t>2行 1列，源：b'F' 备：46</t>
        </is>
      </c>
      <c r="DL9" s="0" t="inlineStr">
        <is>
          <t>0行 7列，源：None 备：</t>
        </is>
      </c>
      <c r="DM9" s="0" t="inlineStr">
        <is>
          <t>0行 7列，源：None 备：</t>
        </is>
      </c>
      <c r="DN9" s="0" t="inlineStr">
        <is>
          <t>1行 2列，源： 备：更新生僻字</t>
        </is>
      </c>
      <c r="DP9" s="0" t="inlineStr">
        <is>
          <t>0行 7列，源：None 备：</t>
        </is>
      </c>
      <c r="DQ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R9"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DT9" s="0" t="inlineStr">
        <is>
          <t>0行 7列，源：None 备：</t>
        </is>
      </c>
      <c r="DU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V9" s="0" t="inlineStr">
        <is>
          <t>1行 3列，源：None 备：</t>
        </is>
      </c>
      <c r="DX9" s="0" t="inlineStr">
        <is>
          <t>0行 19列，源：False 备：0</t>
        </is>
      </c>
      <c r="EA9" s="0" t="inlineStr">
        <is>
          <t>1行 3列，源：1941-05-11 14:30:45.120000 备：1941-05-11 14:30:45.12</t>
        </is>
      </c>
      <c r="EC9" s="0" t="inlineStr">
        <is>
          <t>0行 7列，源：None 备：</t>
        </is>
      </c>
      <c r="ED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E9" s="0" t="inlineStr">
        <is>
          <t>7行 0列，源：8 备：16</t>
        </is>
      </c>
      <c r="EG9" s="0" t="inlineStr">
        <is>
          <t>1行 6列，源：18:10:06.123460 备：12:30:45.12346</t>
        </is>
      </c>
      <c r="EH9" s="0" t="inlineStr">
        <is>
          <t>0行 19列，源：False 备：0</t>
        </is>
      </c>
      <c r="EK9" s="0" t="inlineStr">
        <is>
          <t>0行 6列，源：00:00:00 备：12:30:45.12346</t>
        </is>
      </c>
      <c r="EN9" s="0" t="inlineStr">
        <is>
          <t>0行 6列，源：18:10:06.123460 备：12:30:45.12346</t>
        </is>
      </c>
      <c r="EO9" s="0" t="inlineStr">
        <is>
          <t>1行 3列，源：b''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P9" s="0" t="inlineStr">
        <is>
          <t>0行 19列，源：False 备：0</t>
        </is>
      </c>
      <c r="EQ9" s="0" t="inlineStr">
        <is>
          <t>4行 0列，源：5 备：13</t>
        </is>
      </c>
      <c r="ER9" s="0" t="inlineStr">
        <is>
          <t>4行 0列，源：5 备：124</t>
        </is>
      </c>
      <c r="ES9" s="0" t="inlineStr">
        <is>
          <t>0行 19列，源：False 备：0</t>
        </is>
      </c>
      <c r="ET9" s="0" t="inlineStr">
        <is>
          <t>0行 7列，源：None 备：</t>
        </is>
      </c>
      <c r="EV9" s="0" t="inlineStr">
        <is>
          <t>4行 0列，源：5 备：13</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c_nvarchar3500列源备映射错误，源端为nvarchar 7000位	期望更改为text	实际备端为nvarchar 7000位</t>
        </is>
      </c>
      <c r="AA10" s="0" t="inlineStr">
        <is>
          <t>2行 4列，源：None 备：</t>
        </is>
      </c>
      <c r="AB10" s="0" t="inlineStr">
        <is>
          <t>8行 0列，源：9 备：4</t>
        </is>
      </c>
      <c r="AC10" s="0" t="inlineStr">
        <is>
          <t>4行 1列，源：2026-04-17 17:16:00 备：2025-05-11 12:00:00</t>
        </is>
      </c>
      <c r="AD10" s="0" t="inlineStr">
        <is>
          <t>2行 0列，源：3 备：2</t>
        </is>
      </c>
      <c r="AF10" s="0" t="inlineStr">
        <is>
          <t>4行 1列，源：2079-06-05 23:59:00 备：1981-05-11 14:31:00</t>
        </is>
      </c>
      <c r="AH10" s="0" t="inlineStr">
        <is>
          <t>0行 7列，源：9999-12-31 23:59:59.999999 +00:00 备：2003-11-05 02:00:00.000000 -05:10</t>
        </is>
      </c>
      <c r="AI10" s="0" t="inlineStr">
        <is>
          <t xml:space="preserve">1行 2列，源：                     备：上海英方股份              </t>
        </is>
      </c>
      <c r="AJ10" s="0" t="inlineStr">
        <is>
          <t>3行 1列，源：2079-06-05 23:59:00 备：2020-03-01 00:00:00</t>
        </is>
      </c>
      <c r="AM10" s="0" t="inlineStr">
        <is>
          <t>1行 5列，源：None 备：</t>
        </is>
      </c>
      <c r="AO10" s="0" t="inlineStr">
        <is>
          <t>4行 0列，源：5 备：13</t>
        </is>
      </c>
      <c r="AP10" s="0" t="inlineStr">
        <is>
          <t>4行 0列，源：5 备：121</t>
        </is>
      </c>
      <c r="AQ10" s="0" t="inlineStr">
        <is>
          <t>2行 0列，源：3 备：2</t>
        </is>
      </c>
      <c r="AR10" s="0" t="inlineStr">
        <is>
          <t>4行 0列，源：5 备：13</t>
        </is>
      </c>
      <c r="AS10" s="0" t="inlineStr">
        <is>
          <t>1行 4列，源：1000000 备：0</t>
        </is>
      </c>
      <c r="AT10" s="0" t="inlineStr">
        <is>
          <t>4行 1列，源：2026-04-17 17:16:32.183000 备：2000-05-11 14:30:29.000</t>
        </is>
      </c>
      <c r="AU10" s="0" t="inlineStr">
        <is>
          <t>2行 0列，源：3 备：2</t>
        </is>
      </c>
      <c r="AV10" s="0" t="inlineStr">
        <is>
          <t>4行 0列，源：5 备：13</t>
        </is>
      </c>
      <c r="AX10" s="0" t="inlineStr">
        <is>
          <t>4行 1列，源：2020-02-29 19:27:31.123000 备：1999-06-06 23:59:59.997</t>
        </is>
      </c>
      <c r="AZ10" s="0" t="inlineStr">
        <is>
          <t xml:space="preserve">1行 2列，源：                     备：上海英方股份              </t>
        </is>
      </c>
      <c r="BA10" s="0" t="inlineStr">
        <is>
          <t>3行 1列，源：2002-06-11 23:59:59.993000 备：2004-12-24 23:59:59.990</t>
        </is>
      </c>
      <c r="BC10" s="0" t="inlineStr">
        <is>
          <t>0行 8列，源：None 备：</t>
        </is>
      </c>
      <c r="BD10" s="0" t="inlineStr">
        <is>
          <t>4行 0列，源：5 备：3</t>
        </is>
      </c>
      <c r="BE10" s="0" t="inlineStr">
        <is>
          <t>0行 8列，源：None 备：</t>
        </is>
      </c>
      <c r="BF10" s="0" t="inlineStr">
        <is>
          <t>0行 8列，源：None 备：</t>
        </is>
      </c>
      <c r="BG10" s="0" t="inlineStr">
        <is>
          <t>0行 7列，源：None 备：</t>
        </is>
      </c>
      <c r="BH10" s="0" t="inlineStr">
        <is>
          <t>2行 0列，源：3 备：2</t>
        </is>
      </c>
      <c r="BI10" s="0" t="inlineStr">
        <is>
          <t>0行 8列，源：None 备：</t>
        </is>
      </c>
      <c r="BJ10" s="0" t="inlineStr">
        <is>
          <t>1行 0列，源：2 备：10</t>
        </is>
      </c>
      <c r="BL10" s="0" t="inlineStr">
        <is>
          <t xml:space="preserve">1行 2列，源：                     备：更新生僻字               </t>
        </is>
      </c>
      <c r="BN10" s="0" t="inlineStr">
        <is>
          <t>3行 4列，源：2046-05-11 14:30:45.123000 备：2046-05-11 14:30:45.123</t>
        </is>
      </c>
      <c r="BO10" s="0" t="inlineStr">
        <is>
          <t>1行 2列，源： 备：上海英方股份</t>
        </is>
      </c>
      <c r="BP10" s="0" t="inlineStr">
        <is>
          <t>2行 0列，源：3 备：123</t>
        </is>
      </c>
      <c r="BS10" s="0" t="inlineStr">
        <is>
          <t>2行 0列，源：3 备：2</t>
        </is>
      </c>
      <c r="BT10" s="0" t="inlineStr">
        <is>
          <t>2行 0列，源：3 备：2</t>
        </is>
      </c>
      <c r="BV10" s="0" t="inlineStr">
        <is>
          <t>0行 8列，源：None 备：</t>
        </is>
      </c>
      <c r="BX10" s="0" t="inlineStr">
        <is>
          <t>0行 8列，源：None 备：</t>
        </is>
      </c>
      <c r="BY10" s="0" t="inlineStr">
        <is>
          <t>0行 8列，源：None 备：</t>
        </is>
      </c>
      <c r="BZ10" s="0" t="inlineStr">
        <is>
          <t xml:space="preserve">3行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0" s="0" t="inlineStr">
        <is>
          <t>2行 0列，源：3 备：103</t>
        </is>
      </c>
      <c r="CB10" s="0" t="inlineStr">
        <is>
          <t>0行 8列，源：None 备：</t>
        </is>
      </c>
      <c r="CC10" s="0" t="inlineStr">
        <is>
          <t>3行 1列，源：None 备：</t>
        </is>
      </c>
      <c r="CD10" s="0" t="inlineStr">
        <is>
          <t>1行 6列，源：None 备：</t>
        </is>
      </c>
      <c r="CE10" s="0" t="inlineStr">
        <is>
          <t>1行 7列，源：2000-05-11 00:30:45.123457 +09:00 备：2013-03-12 02:00:00.000000 -04:25</t>
        </is>
      </c>
      <c r="CF10" s="0" t="inlineStr">
        <is>
          <t>0行 8列，源：None 备：</t>
        </is>
      </c>
      <c r="CG10" s="0" t="inlineStr">
        <is>
          <t>4行 0列，源：5 备：123</t>
        </is>
      </c>
      <c r="CH10" s="0" t="inlineStr">
        <is>
          <t>0行 7列，源：9999-12-31 23:59:59.999999 +00:00 备：2013-03-12 02:00:00.000000 -04:25</t>
        </is>
      </c>
      <c r="CI10" s="0" t="inlineStr">
        <is>
          <t>4行 0列，源：5 备：3</t>
        </is>
      </c>
      <c r="CJ10" s="0" t="inlineStr">
        <is>
          <t>2行 8列，源：None 备：</t>
        </is>
      </c>
      <c r="CK10" s="0" t="inlineStr">
        <is>
          <t>2行 0列，源：3 备：2</t>
        </is>
      </c>
      <c r="CL10" s="0" t="inlineStr">
        <is>
          <t>0行 7列，源：23:59:59.999999 备：12:30:45.123457</t>
        </is>
      </c>
      <c r="CM10" s="0" t="inlineStr">
        <is>
          <t>1行 0列，源：2 备：10</t>
        </is>
      </c>
      <c r="CN10" s="0" t="inlineStr">
        <is>
          <t>4行 0列，源：5 备：106</t>
        </is>
      </c>
      <c r="CO10" s="0" t="inlineStr">
        <is>
          <t>2行 0列，源：3 备：2</t>
        </is>
      </c>
      <c r="CP10" s="0" t="inlineStr">
        <is>
          <t>4行 1列，源：2026-04-17 16:52:00 备：2025-05-11 12:00:00</t>
        </is>
      </c>
      <c r="CQ10" s="0" t="inlineStr">
        <is>
          <t>3行 1列，源：2079-06-05 23:59:00 备：2079-06-06 23:59:00</t>
        </is>
      </c>
      <c r="CT10" s="0" t="inlineStr">
        <is>
          <t>1行 1列，源：255.0 备：255</t>
        </is>
      </c>
      <c r="CW10" s="0" t="inlineStr">
        <is>
          <t>4行 1列，源：2026-04-17 备：0001-01-01</t>
        </is>
      </c>
      <c r="CY10" s="0" t="inlineStr">
        <is>
          <t>8行 0列，源：9 备：7</t>
        </is>
      </c>
      <c r="DA10" s="0" t="inlineStr">
        <is>
          <t>1行 0列，源：2 备：10</t>
        </is>
      </c>
      <c r="DB10" s="0" t="inlineStr">
        <is>
          <t>4行 0列，源：5 备：13</t>
        </is>
      </c>
      <c r="DC10" s="0" t="inlineStr">
        <is>
          <t>0行 10列，源：None 备：</t>
        </is>
      </c>
      <c r="DE10"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G10" s="0" t="inlineStr">
        <is>
          <t>3行 1列，源：2000-05-11 14:30:29 备：2001-04-09 23:59:59.993</t>
        </is>
      </c>
      <c r="DH10" s="0" t="inlineStr">
        <is>
          <t>1行 2列，源： 备：上海英方股份</t>
        </is>
      </c>
      <c r="DJ10" s="0" t="inlineStr">
        <is>
          <t>0行 8列，源：None 备：</t>
        </is>
      </c>
      <c r="DK10" s="0" t="inlineStr">
        <is>
          <t>2行 2列，源：b'~!\xd3\xa2\xb7\xbdTest&amp;*\x00\x00\x00\x00\x00\x00\x00\x00' 备：7E21D3A2B7BD54657374262A0000000000000000</t>
        </is>
      </c>
      <c r="DL10" s="0" t="inlineStr">
        <is>
          <t>0行 8列，源：None 备：</t>
        </is>
      </c>
      <c r="DM10" s="0" t="inlineStr">
        <is>
          <t>0行 8列，源：None 备：</t>
        </is>
      </c>
      <c r="DN10" s="0" t="inlineStr">
        <is>
          <t>1行 2列，源： 备：更新生僻字</t>
        </is>
      </c>
      <c r="DP10" s="0" t="inlineStr">
        <is>
          <t>0行 8列，源：None 备：</t>
        </is>
      </c>
      <c r="DQ10" s="0" t="inlineStr">
        <is>
          <t>2行 0列，源：3 备：2</t>
        </is>
      </c>
      <c r="DR10" s="0" t="inlineStr">
        <is>
          <t>5行 1列，源：COMPOUNDCURVE (CIRCULARSTRING (-0.1278 51.5074, -0.1243 51.5064, -0.1218 51.5079), (-0.1218 51.5079, -0.1193 51.5094, -0.1168 51.5109), CIRCULARSTRING (-0.1168 51.5109, -0.1143 51.5114, -0.1118 51.5109)) 备：COMPOUNDCURVE(CIRCULARSTRING(-0.127799999999999997 51.507399999999997,-0.124299999999999994 51.5063999999999993,-0.121800000000000005 51.5078999999999994),(-0.121800000000000005 51.5078999999999994,-0.119300000000000003 51.5093999999999994,-0.116800000000000001 51.5108999999999995),CIRCULARSTRING(-0.116800000000000001 51.5108999999999995,-0.114299999999999999 51.5114000000000019,-0.111799999999999997 51.5108999999999995))</t>
        </is>
      </c>
      <c r="DT10" s="0" t="inlineStr">
        <is>
          <t>0行 8列，源：None 备：</t>
        </is>
      </c>
      <c r="DU10" s="0" t="inlineStr">
        <is>
          <t>2行 0列，源：3 备：123</t>
        </is>
      </c>
      <c r="DV10" s="0" t="inlineStr">
        <is>
          <t>1行 4列，源：None 备：</t>
        </is>
      </c>
      <c r="DX10" s="0" t="inlineStr">
        <is>
          <t>1行 0列，源：2 备：10</t>
        </is>
      </c>
      <c r="EA10" s="0" t="inlineStr">
        <is>
          <t>1行 4列，源：1941-05-11 14:30:45.123000 备：1941-05-11 14:30:45.123</t>
        </is>
      </c>
      <c r="EC10" s="0" t="inlineStr">
        <is>
          <t>0行 8列，源：None 备：</t>
        </is>
      </c>
      <c r="ED10" s="0" t="inlineStr">
        <is>
          <t>2行 0列，源：3 备：2</t>
        </is>
      </c>
      <c r="EE10" s="0" t="inlineStr">
        <is>
          <t>8行 0列，源：9 备：2</t>
        </is>
      </c>
      <c r="EG10" s="0" t="inlineStr">
        <is>
          <t>1行 7列，源：18:10:06.123457 备：09:12:34.123457</t>
        </is>
      </c>
      <c r="EH10" s="0" t="inlineStr">
        <is>
          <t>1行 0列，源：2 备：10</t>
        </is>
      </c>
      <c r="EK10" s="0" t="inlineStr">
        <is>
          <t>0行 7列，源：00:00:00 备：12:30:45.123456</t>
        </is>
      </c>
      <c r="EN10" s="0" t="inlineStr">
        <is>
          <t>0行 7列，源：18:10:06.123457 备：09:12:34.123457</t>
        </is>
      </c>
      <c r="EO10" s="0" t="inlineStr">
        <is>
          <t>2行 0列，源：3 备：103</t>
        </is>
      </c>
      <c r="EP10" s="0" t="inlineStr">
        <is>
          <t>1行 0列，源：2 备：10</t>
        </is>
      </c>
      <c r="EQ10" s="0" t="inlineStr">
        <is>
          <t>4行 1列，源：2026-04-17 17:15:00 备：2025-05-11 12:00:00</t>
        </is>
      </c>
      <c r="ER10" s="0" t="inlineStr">
        <is>
          <t>4行 1列，源：2026-04-17 17:15:00 备：2079-06-06 23:59:00</t>
        </is>
      </c>
      <c r="ES10" s="0" t="inlineStr">
        <is>
          <t>1行 0列，源：2 备：10</t>
        </is>
      </c>
      <c r="ET10" s="0" t="inlineStr">
        <is>
          <t>0行 8列，源：None 备：</t>
        </is>
      </c>
      <c r="EV10" s="0" t="inlineStr">
        <is>
          <t>4行 1列，源：2026-04-17 17:16:00 备：2025-05-11 12:00:00</t>
        </is>
      </c>
    </row>
    <row r="11">
      <c r="A11" s="0" t="inlineStr">
        <is>
          <t>info_text_dml_single_pk_irp</t>
        </is>
      </c>
      <c r="K11" s="0" t="inlineStr">
        <is>
          <t>[0;34m info_text_dml_single_pk_irp [0m源备字段数相同，源端字段：3 	备端字段3</t>
        </is>
      </c>
      <c r="W11" s="2">
        <f>HYPERLINK("#2026041905hbase4!Z2","NO 源备存在差异，共2个")</f>
        <v/>
      </c>
      <c r="X11" s="0">
        <f>A11</f>
        <v/>
      </c>
      <c r="AA11" s="0" t="inlineStr">
        <is>
          <t>2行 5列，源：None 备：</t>
        </is>
      </c>
      <c r="AB11" s="0" t="inlineStr">
        <is>
          <t>9行 0列，源：10 备：5</t>
        </is>
      </c>
      <c r="AC11" s="0" t="inlineStr">
        <is>
          <t>5行 0列，源：6 备：14</t>
        </is>
      </c>
      <c r="AD11" s="0" t="inlineStr">
        <is>
          <t>2行 1列，源：b'' 备：</t>
        </is>
      </c>
      <c r="AF11" s="0" t="inlineStr">
        <is>
          <t>5行 0列，源：6 备：14</t>
        </is>
      </c>
      <c r="AH11" s="0" t="inlineStr">
        <is>
          <t>0行 8列，源：9999-12-31 23:59:59.9999999 +00:00 备：2003-11-05 02:00:00.0000000 -05:10</t>
        </is>
      </c>
      <c r="AI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J11" s="0" t="inlineStr">
        <is>
          <t>4行 0列，源：11 备：8</t>
        </is>
      </c>
      <c r="AM11" s="0" t="inlineStr">
        <is>
          <t>1行 15列，源：1.23456789012345e-30 备：0.0000000000000</t>
        </is>
      </c>
      <c r="AO11" s="0" t="inlineStr">
        <is>
          <t>4行 1列，源：2026-04-17 17:16:23.090000 备：1999-06-06 23:59:59.997</t>
        </is>
      </c>
      <c r="AP11" s="0" t="inlineStr">
        <is>
          <t>4行 1列，源：2026-04-17 17:16:25.287000 备：2023-05-11 00:00:00.123</t>
        </is>
      </c>
      <c r="AQ11" s="0" t="inlineStr">
        <is>
          <t>2行 1列，源：b'' 备：</t>
        </is>
      </c>
      <c r="AR11" s="0" t="inlineStr">
        <is>
          <t>4行 1列，源：2026-04-17 17:16:32.183000 备：1999-06-06 23:59:59.997</t>
        </is>
      </c>
      <c r="AS11" s="0" t="inlineStr">
        <is>
          <t>1行 15列，源：123.456789 备：123.4567890000000</t>
        </is>
      </c>
      <c r="AT11" s="0" t="inlineStr">
        <is>
          <t>5行 0列，源：6 备：109</t>
        </is>
      </c>
      <c r="AU11" s="0" t="inlineStr">
        <is>
          <t xml:space="preserve">2行 1列，源：None 备： </t>
        </is>
      </c>
      <c r="AV11" s="0" t="inlineStr">
        <is>
          <t>4行 1列，源：9999-12-31 23:59:59.997000 备：9999-12-31 23:59:59.997</t>
        </is>
      </c>
      <c r="AX11" s="0" t="inlineStr">
        <is>
          <t>5行 0列，源：6 备：14</t>
        </is>
      </c>
      <c r="AZ11"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A11" s="0" t="inlineStr">
        <is>
          <t>4行 0列，源：17 备：6</t>
        </is>
      </c>
      <c r="BC11" s="0" t="inlineStr">
        <is>
          <t>2行 2列，源：2026-04-17 17:17:22.400000 备：2026-04-17 17:17:22.4</t>
        </is>
      </c>
      <c r="BD11" s="0" t="inlineStr">
        <is>
          <t>4行 1列，源：2026-04-17 备：0001-01-01</t>
        </is>
      </c>
      <c r="BE11" s="0" t="inlineStr">
        <is>
          <t>1行 0列，源：2 备：123</t>
        </is>
      </c>
      <c r="BF11" s="0" t="inlineStr">
        <is>
          <t>2行 2列，源：2026-04-17 17:17:33.400000 备：2026-04-17 17:17:33.4</t>
        </is>
      </c>
      <c r="BG11" s="0" t="inlineStr">
        <is>
          <t>0行 8列，源：None 备：</t>
        </is>
      </c>
      <c r="BH11" s="0" t="inlineStr">
        <is>
          <t>2行 1列，源：b'\x00' 备：00</t>
        </is>
      </c>
      <c r="BI11" s="0" t="inlineStr">
        <is>
          <t>1行 0列，源：2 备：103</t>
        </is>
      </c>
      <c r="BJ11" s="0" t="inlineStr">
        <is>
          <t>1行 1列，源：100.0 备：99</t>
        </is>
      </c>
      <c r="BL11"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N11" s="0" t="inlineStr">
        <is>
          <t>3行 5列，源：2046-05-11 14:30:45.123500 备：2046-05-11 14:30:45.1235</t>
        </is>
      </c>
      <c r="BO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1" s="0" t="inlineStr">
        <is>
          <t>2行 1列，源：b'\x00' 备：00</t>
        </is>
      </c>
      <c r="BS11" s="0" t="inlineStr">
        <is>
          <t>2行 1列，源：None 备：</t>
        </is>
      </c>
      <c r="BT11" s="0" t="inlineStr">
        <is>
          <t>2行 1列，源：b'\x00' 备：00</t>
        </is>
      </c>
      <c r="BV11" s="0" t="inlineStr">
        <is>
          <t>1行 0列，源：2 备：10</t>
        </is>
      </c>
      <c r="BX11" s="0" t="inlineStr">
        <is>
          <t>1行 0列，源：2 备：10</t>
        </is>
      </c>
      <c r="BY11" s="0" t="inlineStr">
        <is>
          <t>1行 0列，源：2 备：10</t>
        </is>
      </c>
      <c r="BZ11"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1" s="0" t="inlineStr">
        <is>
          <t>2行 1列，源：b'\x00' 备：00</t>
        </is>
      </c>
      <c r="CB11" s="0" t="inlineStr">
        <is>
          <t>1行 0列，源：2 备：10</t>
        </is>
      </c>
      <c r="CC11" s="0" t="inlineStr">
        <is>
          <t>3行 2列，源：None 备：</t>
        </is>
      </c>
      <c r="CD11" s="0" t="inlineStr">
        <is>
          <t>1行 8列，源：None 备：</t>
        </is>
      </c>
      <c r="CE11" s="0" t="inlineStr">
        <is>
          <t>1行 8列，源：2000-05-11 00:30:45.1234567 +09:00 备：2013-03-12 02:00:00.0000000 -04:25</t>
        </is>
      </c>
      <c r="CF11" s="0" t="inlineStr">
        <is>
          <t>1行 0列，源：2 备：10</t>
        </is>
      </c>
      <c r="CG11" s="0" t="inlineStr">
        <is>
          <t>4行 1列，源：2026-04-17 备：0001-01-01</t>
        </is>
      </c>
      <c r="CH11" s="0" t="inlineStr">
        <is>
          <t>0行 8列，源：9999-12-31 23:59:59.9999999 +00:00 备：2013-03-12 02:00:00.0000000 -04:25</t>
        </is>
      </c>
      <c r="CI11" s="0" t="inlineStr">
        <is>
          <t>4行 1列，源：2026-04-17 备：0001-01-01</t>
        </is>
      </c>
      <c r="CK11" s="0" t="inlineStr">
        <is>
          <t>2行 1列，源：b'X' 备：58</t>
        </is>
      </c>
      <c r="CL11" s="0" t="inlineStr">
        <is>
          <t>0行 8列，源：23:59:59.999999 备：12:30:45.1234567</t>
        </is>
      </c>
      <c r="CM11" s="0" t="inlineStr">
        <is>
          <t>1行 1列，源：255.0 备：</t>
        </is>
      </c>
      <c r="CN11" s="0" t="inlineStr">
        <is>
          <t>4行 1列，源：2026-04-17 备：2020-02-29</t>
        </is>
      </c>
      <c r="CO11" s="0" t="inlineStr">
        <is>
          <t>2行 1列，源：b'X' 备：58</t>
        </is>
      </c>
      <c r="CP11" s="0" t="inlineStr">
        <is>
          <t>5行 0列，源：6 备：14</t>
        </is>
      </c>
      <c r="CQ11" s="0" t="inlineStr">
        <is>
          <t>4行 0列，源：11 备：6</t>
        </is>
      </c>
      <c r="CT11" s="0" t="inlineStr">
        <is>
          <t>1行 2列，源：32767.0 备：32767</t>
        </is>
      </c>
      <c r="CW11" s="0" t="inlineStr">
        <is>
          <t>5行 0列，源：6 备：4</t>
        </is>
      </c>
      <c r="CY11" s="0" t="inlineStr">
        <is>
          <t>9行 0列，源：10 备：8</t>
        </is>
      </c>
      <c r="DA11" s="0" t="inlineStr">
        <is>
          <t>1行 1列，源：255.0 备：</t>
        </is>
      </c>
      <c r="DB11" s="0" t="inlineStr">
        <is>
          <t>4行 1列，源：2026-04-17 16:53:49.210000 备：1999-06-06 23:59:59.997</t>
        </is>
      </c>
      <c r="DC11" s="0" t="inlineStr">
        <is>
          <t>0行 11列，源：None 备：</t>
        </is>
      </c>
      <c r="DE11" s="0" t="inlineStr">
        <is>
          <t xml:space="preserve">5行 3列，源：This is a char strinThis is a  备：This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strinThis is a char strin                                                                                                                                                                                                                                                                                                                                                                                                                                                                                                                                                                                                                                                                                                                                                                                                                                                                                                                                                                                                                                                                                                                                                                                                                                                                                                                                                                                                                                                                                                                                                                                                                                                                                                                                                                                                                                                                                                                                                                                                                                                                                                                                                                                                                                                                                                                                                                                                                                                                                                                                                                                                                                                                                                                                                                                                                                                                                                                                                                                                                                                                                                                                                                                                                                                                                                                                                                                                                                                                                                                                                                                                                                                                                                                                                                                                                                                                                                                                                                                                                                                                                                                                                                                                                                                                                                                                                                                                                                                                                                                                                                                                                                                                                                                                                                                                                                                                                                                                                                                                                                                                                                                                                                                                        </t>
        </is>
      </c>
      <c r="DG11" s="0" t="inlineStr">
        <is>
          <t>4行 0列，源：8 备：16</t>
        </is>
      </c>
      <c r="DH11"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1" s="0" t="inlineStr">
        <is>
          <t>1行 0列，源：2 备：10</t>
        </is>
      </c>
      <c r="DK11" s="0" t="inlineStr">
        <is>
          <t>2行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DL11" s="0" t="inlineStr">
        <is>
          <t>1行 0列，源：2 备：10</t>
        </is>
      </c>
      <c r="DM11" s="0" t="inlineStr">
        <is>
          <t>0行 9列，源：None 备：</t>
        </is>
      </c>
      <c r="DN11"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1" s="0" t="inlineStr">
        <is>
          <t>2行 2列，源：2026-04-17 16:55:35.800000 备：2026-04-17 16:55:35.8</t>
        </is>
      </c>
      <c r="DQ11" s="0" t="inlineStr">
        <is>
          <t>2行 1列，源：b'' 备：</t>
        </is>
      </c>
      <c r="DR11" s="0" t="inlineStr">
        <is>
          <t>6行 1列，源：None 备：</t>
        </is>
      </c>
      <c r="DT11" s="0" t="inlineStr">
        <is>
          <t>1行 0列，源：2 备：10</t>
        </is>
      </c>
      <c r="DU11" s="0" t="inlineStr">
        <is>
          <t>2行 1列，源：b'' 备：</t>
        </is>
      </c>
      <c r="DV11" s="0" t="inlineStr">
        <is>
          <t>1行 5列，源：None 备：</t>
        </is>
      </c>
      <c r="DX11" s="0" t="inlineStr">
        <is>
          <t>1行 1列，源：255.0 备：99</t>
        </is>
      </c>
      <c r="EA11" s="0" t="inlineStr">
        <is>
          <t>1行 5列，源：1941-05-11 14:30:45.123500 备：1941-05-11 14:30:45.1235</t>
        </is>
      </c>
      <c r="EC11" s="0" t="inlineStr">
        <is>
          <t>1行 0列，源：2 备：10</t>
        </is>
      </c>
      <c r="ED11" s="0" t="inlineStr">
        <is>
          <t>2行 1列，源：b'' 备：</t>
        </is>
      </c>
      <c r="EE11" s="0" t="inlineStr">
        <is>
          <t>9行 0列，源：10 备：3</t>
        </is>
      </c>
      <c r="EG11" s="0" t="inlineStr">
        <is>
          <t>1行 8列，源：18:10:06.123456 备：12:30:45.1234560</t>
        </is>
      </c>
      <c r="EH11" s="0" t="inlineStr">
        <is>
          <t>1行 1列，源：255.0 备：99</t>
        </is>
      </c>
      <c r="EK11" s="0" t="inlineStr">
        <is>
          <t>0行 8列，源：00:00:00 备：12:30:45.1234560</t>
        </is>
      </c>
      <c r="EN11" s="0" t="inlineStr">
        <is>
          <t>0行 8列，源：18:10:06.123456 备：12:30:45.1234560</t>
        </is>
      </c>
      <c r="EO11" s="0" t="inlineStr">
        <is>
          <t>2行 1列，源：b'' 备：</t>
        </is>
      </c>
      <c r="EP11" s="0" t="inlineStr">
        <is>
          <t>1行 1列，源：255.0 备：99</t>
        </is>
      </c>
      <c r="EQ11" s="0" t="inlineStr">
        <is>
          <t>5行 0列，源：6 备：14</t>
        </is>
      </c>
      <c r="ER11" s="0" t="inlineStr">
        <is>
          <t>5行 0列，源：6 备：125</t>
        </is>
      </c>
      <c r="ES11" s="0" t="inlineStr">
        <is>
          <t>1行 1列，源：255.0 备：99</t>
        </is>
      </c>
      <c r="ET11" s="0" t="inlineStr">
        <is>
          <t>1行 0列，源：2 备：10</t>
        </is>
      </c>
      <c r="EV11" s="0" t="inlineStr">
        <is>
          <t>5行 0列，源：6 备：14</t>
        </is>
      </c>
    </row>
    <row r="12">
      <c r="B12" s="0" t="inlineStr">
        <is>
          <t>YES</t>
        </is>
      </c>
      <c r="C12" s="0" t="inlineStr">
        <is>
          <t>NULL</t>
        </is>
      </c>
      <c r="D12" s="0" t="inlineStr">
        <is>
          <t>NULL</t>
        </is>
      </c>
      <c r="E12" s="0" t="inlineStr">
        <is>
          <t>NULL</t>
        </is>
      </c>
      <c r="F12" s="0" t="inlineStr">
        <is>
          <t>NULL</t>
        </is>
      </c>
      <c r="G12" s="0" t="inlineStr">
        <is>
          <t>NULL</t>
        </is>
      </c>
      <c r="H12" s="0" t="inlineStr">
        <is>
          <t>NULL</t>
        </is>
      </c>
      <c r="I12" s="0" t="inlineStr">
        <is>
          <t>YES!PK__info_tex__3213E83FC3C2EBF1</t>
        </is>
      </c>
      <c r="J12" s="0" t="inlineStr">
        <is>
          <t>YES! 主键相关索引</t>
        </is>
      </c>
      <c r="K12" s="0" t="inlineStr">
        <is>
          <t xml:space="preserve"> NO!  	 id列源备映射错误，源端为int None位	期望更改为text	实际备端为int None位</t>
        </is>
      </c>
      <c r="AA12" s="0" t="inlineStr">
        <is>
          <t>2行 6列，源：None 备：</t>
        </is>
      </c>
      <c r="AB12" s="0" t="inlineStr">
        <is>
          <t>10行 0列，源：11 备：6</t>
        </is>
      </c>
      <c r="AC12" s="0" t="inlineStr">
        <is>
          <t>5行 1列，源：2020-03-01 00:00:00 备：2023-12-25 23:59:00</t>
        </is>
      </c>
      <c r="AD12" s="0" t="inlineStr">
        <is>
          <t>2行 2列，源：b'' 备：</t>
        </is>
      </c>
      <c r="AF12" s="0" t="inlineStr">
        <is>
          <t>5行 1列，源：2020-03-01 00:00:00 备：1981-05-11 14:31:00</t>
        </is>
      </c>
      <c r="AH12" s="0" t="inlineStr">
        <is>
          <t>1行 0列，源：11 备：12</t>
        </is>
      </c>
      <c r="AI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AJ12" s="0" t="inlineStr">
        <is>
          <t>4行 1列，源：1900-01-02 00:00:00 备：2068-05-11 14:31:00</t>
        </is>
      </c>
      <c r="AM12" s="0" t="inlineStr">
        <is>
          <t>1行 16列，源：1.2345669834560371e-20 备：0.000000</t>
        </is>
      </c>
      <c r="AO12" s="0" t="inlineStr">
        <is>
          <t>5行 0列，源：6 备：14</t>
        </is>
      </c>
      <c r="AP12" s="0" t="inlineStr">
        <is>
          <t>5行 0列，源：6 备：122</t>
        </is>
      </c>
      <c r="AQ12" s="0" t="inlineStr">
        <is>
          <t>2行 2列，源：b'' 备：</t>
        </is>
      </c>
      <c r="AR12" s="0" t="inlineStr">
        <is>
          <t>5行 0列，源：6 备：14</t>
        </is>
      </c>
      <c r="AS12" s="0" t="inlineStr">
        <is>
          <t>1行 16列，源：1.2345669834560371e-20 备：0.000000</t>
        </is>
      </c>
      <c r="AT12" s="0" t="inlineStr">
        <is>
          <t>5行 1列，源：2020-02-29 19:27:31.123000 备：1981-05-11 14:30:59.000</t>
        </is>
      </c>
      <c r="AU12" s="0" t="inlineStr">
        <is>
          <t xml:space="preserve">2行 2列，源：None 备：                    </t>
        </is>
      </c>
      <c r="AV12" s="0" t="inlineStr">
        <is>
          <t>5行 0列，源：6 备：14</t>
        </is>
      </c>
      <c r="AX12" s="0" t="inlineStr">
        <is>
          <t>5行 1列，源：2020-02-29 19:27:31.123000 备：2000-05-01 23:59:59.993</t>
        </is>
      </c>
      <c r="AZ12" s="0" t="inlineStr">
        <is>
          <t xml:space="preserve">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t>
        </is>
      </c>
      <c r="BA12" s="0" t="inlineStr">
        <is>
          <t>4行 1列，源：2003-11-04 23:59:59.990000 备：2020-02-29 19:27:31.123</t>
        </is>
      </c>
      <c r="BC12" s="0" t="inlineStr">
        <is>
          <t>2行 3列，源：2026-04-17 17:17:22.450000 备：2026-04-17 17:17:22.45</t>
        </is>
      </c>
      <c r="BD12" s="0" t="inlineStr">
        <is>
          <t>5行 0列，源：6 备：4</t>
        </is>
      </c>
      <c r="BE12" s="0" t="inlineStr">
        <is>
          <t>1行 1列，源：1900-01-01 00:00:00 备：2026-04-17 17:17:25</t>
        </is>
      </c>
      <c r="BF12" s="0" t="inlineStr">
        <is>
          <t>2行 3列，源：2026-04-17 17:17:33.410000 备：2026-04-17 17:17:33.41</t>
        </is>
      </c>
      <c r="BG12" s="0" t="inlineStr">
        <is>
          <t>0行 9列，源：None 备：</t>
        </is>
      </c>
      <c r="BH12" s="0" t="inlineStr">
        <is>
          <t>2行 2列，源：b'\x00\x00\x00\x00\x00\x00\x00\x00\x00\x00\x00\x00\x00\x00\x00\x00\x00\x00\x00\x00' 备：0000000000000000000000000000000000000000</t>
        </is>
      </c>
      <c r="BI12" s="0" t="inlineStr">
        <is>
          <t>1行 1列，源：1900-01-01 00:00:00 备：2026-04-17 17:17:33</t>
        </is>
      </c>
      <c r="BJ12" s="0" t="inlineStr">
        <is>
          <t>1行 2列，源：32767.0 备：0</t>
        </is>
      </c>
      <c r="BL12" s="0" t="inlineStr">
        <is>
          <t xml:space="preserve">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N12" s="0" t="inlineStr">
        <is>
          <t>3行 6列，源：2046-05-11 14:30:45.123460 备：2046-05-11 14:30:45.12346</t>
        </is>
      </c>
      <c r="BO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2" s="0" t="inlineStr">
        <is>
          <t>2行 2列，源：b'\x00\x00\x00\x00\x00\x00\x00\x00\x00\x00\x00\x00\x00\x00\x00\x00\x00\x00\x00\x00' 备：0000000000000000000000000000000000000000</t>
        </is>
      </c>
      <c r="BS12" s="0" t="inlineStr">
        <is>
          <t>2行 2列，源：None 备：</t>
        </is>
      </c>
      <c r="BT12" s="0" t="inlineStr">
        <is>
          <t>2行 2列，源：b'\x00\x00\x00\x00\x00\x00\x00\x00\x00\x00\x00\x00\x00\x00\x00\x00\x00\x00\x00\x00' 备：0000000000000000000000000000000000000000</t>
        </is>
      </c>
      <c r="BV12" s="0" t="inlineStr">
        <is>
          <t>1行 1列，源：1900-01-01 00:00:00 +00:00 备：2013-03-12 02:00:00 -04:25</t>
        </is>
      </c>
      <c r="BX12" s="0" t="inlineStr">
        <is>
          <t>1行 1列，源：1900-01-01 00:00:00 +00:00 备：2013-03-12 02:00:00 -04:25</t>
        </is>
      </c>
      <c r="BY12" s="0" t="inlineStr">
        <is>
          <t>1行 1列，源：1900-01-01 00:00:00 +00:00 备：2013-03-12 02:00:00 -04:25</t>
        </is>
      </c>
      <c r="BZ12" s="0" t="inlineStr">
        <is>
          <t xml:space="preserve">4行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2" s="0" t="inlineStr">
        <is>
          <t>2行 2列，源：b'\x00\x00\x00\x00\x00\x00\x00\x00\x00\x00\x00\x00\x00\x00\x00\x00\x00\x00\x00\x00' 备：0000000000000000000000000000000000000000</t>
        </is>
      </c>
      <c r="CB12" s="0" t="inlineStr">
        <is>
          <t>1行 1列，源：1900-01-01 00:00:00 +00:00 备：2013-03-12 02:00:00 -04:25</t>
        </is>
      </c>
      <c r="CC12" s="0" t="inlineStr">
        <is>
          <t>3行 3列，源：None 备：</t>
        </is>
      </c>
      <c r="CD12" s="0" t="inlineStr">
        <is>
          <t>2行 0列，源：3 备：11</t>
        </is>
      </c>
      <c r="CE12" s="0" t="inlineStr">
        <is>
          <t>2行 0列，源：3 备：11</t>
        </is>
      </c>
      <c r="CF12" s="0" t="inlineStr">
        <is>
          <t>1行 1列，源：00:00:00 备：12:30:45</t>
        </is>
      </c>
      <c r="CG12" s="0" t="inlineStr">
        <is>
          <t>5行 0列，源：6 备：126</t>
        </is>
      </c>
      <c r="CH12" s="0" t="inlineStr">
        <is>
          <t>1行 0列，源：6 备：5</t>
        </is>
      </c>
      <c r="CI12" s="0" t="inlineStr">
        <is>
          <t>5行 0列，源：6 备：4</t>
        </is>
      </c>
      <c r="CK12" s="0" t="inlineStr">
        <is>
          <t>2行 2列，源：b'This is a test strin' 备：546869732069732061207465737420737472696E</t>
        </is>
      </c>
      <c r="CL12" s="0" t="inlineStr">
        <is>
          <t>1行 0列，源：4 备：13</t>
        </is>
      </c>
      <c r="CM12" s="0" t="inlineStr">
        <is>
          <t>1行 2列，源：32767.0 备：</t>
        </is>
      </c>
      <c r="CN12" s="0" t="inlineStr">
        <is>
          <t>5行 0列，源：6 备：107</t>
        </is>
      </c>
      <c r="CO12" s="0" t="inlineStr">
        <is>
          <t>2行 2列，源：b'This is a test strin' 备：546869732069732061207465737420737472696E</t>
        </is>
      </c>
      <c r="CP12" s="0" t="inlineStr">
        <is>
          <t>5行 1列，源：2020-03-01 00:00:00 备：2023-12-25 23:59:00</t>
        </is>
      </c>
      <c r="CQ12" s="0" t="inlineStr">
        <is>
          <t>4行 1列，源：1900-01-02 00:00:00 备：2020-03-01 00:00:00</t>
        </is>
      </c>
      <c r="CT12" s="0" t="inlineStr">
        <is>
          <t>1行 3列，源：2147483647.0 备：2147483647</t>
        </is>
      </c>
      <c r="CW12" s="0" t="inlineStr">
        <is>
          <t>5行 1列，源：2020-02-29 备：9999-12-31</t>
        </is>
      </c>
      <c r="CY12" s="0" t="inlineStr">
        <is>
          <t>10行 0列，源：11 备：9</t>
        </is>
      </c>
      <c r="DA12" s="0" t="inlineStr">
        <is>
          <t>1行 2列，源：32767.0 备：</t>
        </is>
      </c>
      <c r="DB12" s="0" t="inlineStr">
        <is>
          <t>5行 0列，源：6 备：14</t>
        </is>
      </c>
      <c r="DC12" s="0" t="inlineStr">
        <is>
          <t>0行 12列，源：None 备：</t>
        </is>
      </c>
      <c r="DE12"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G12" s="0" t="inlineStr">
        <is>
          <t>4行 1列，源：2068-05-11 14:30:30 备：2002-06-11 23:59:59.993</t>
        </is>
      </c>
      <c r="DH12" s="0" t="inlineStr">
        <is>
          <t>1行 3列，源：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2" s="0" t="inlineStr">
        <is>
          <t>1行 1列，源：00:00:00 备：12:30:45</t>
        </is>
      </c>
      <c r="DL12" s="0" t="inlineStr">
        <is>
          <t>1行 1列，源：00:00:00 备：12:30:45</t>
        </is>
      </c>
      <c r="DM12" s="0" t="inlineStr">
        <is>
          <t>0行 10列，源：None 备：</t>
        </is>
      </c>
      <c r="DN12" s="0" t="inlineStr">
        <is>
          <t>1行 3列，源：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2" s="0" t="inlineStr">
        <is>
          <t>2行 3列，源：2026-04-17 16:55:35.770000 备：2026-04-17 16:55:35.77</t>
        </is>
      </c>
      <c r="DQ12" s="0" t="inlineStr">
        <is>
          <t>2行 2列，源：b'' 备：</t>
        </is>
      </c>
      <c r="DT12" s="0" t="inlineStr">
        <is>
          <t>1行 1列，源：00:00:00 备：12:30:45</t>
        </is>
      </c>
      <c r="DU12" s="0" t="inlineStr">
        <is>
          <t>2行 2列，源：b'' 备：</t>
        </is>
      </c>
      <c r="DV12" s="0" t="inlineStr">
        <is>
          <t>1行 6列，源：None 备：</t>
        </is>
      </c>
      <c r="DX12" s="0" t="inlineStr">
        <is>
          <t>1行 2列，源：32767.0 备：-12345</t>
        </is>
      </c>
      <c r="EA12" s="0" t="inlineStr">
        <is>
          <t>1行 6列，源：1941-05-11 14:30:45.123460 备：1941-05-11 14:30:45.12346</t>
        </is>
      </c>
      <c r="EC12" s="0" t="inlineStr">
        <is>
          <t>1行 1列，源：00:00:00 备：12:30:45</t>
        </is>
      </c>
      <c r="ED12" s="0" t="inlineStr">
        <is>
          <t>2行 2列，源：b'' 备：</t>
        </is>
      </c>
      <c r="EE12" s="0" t="inlineStr">
        <is>
          <t>10行 0列，源：11 备：4</t>
        </is>
      </c>
      <c r="EG12" s="0" t="inlineStr">
        <is>
          <t>2行 0列，源：3 备：11</t>
        </is>
      </c>
      <c r="EH12" s="0" t="inlineStr">
        <is>
          <t>1行 2列，源：32767.0 备：-12345</t>
        </is>
      </c>
      <c r="EK12" s="0" t="inlineStr">
        <is>
          <t>1行 0列，源：4 备：11</t>
        </is>
      </c>
      <c r="EN12" s="0" t="inlineStr">
        <is>
          <t>1行 0列，源：4 备：11</t>
        </is>
      </c>
      <c r="EO12" s="0" t="inlineStr">
        <is>
          <t>2行 2列，源：b'' 备：</t>
        </is>
      </c>
      <c r="EP12" s="0" t="inlineStr">
        <is>
          <t>1行 2列，源：32767.0 备：-12345</t>
        </is>
      </c>
      <c r="EQ12" s="0" t="inlineStr">
        <is>
          <t>5行 1列，源：2020-03-01 00:00:00 备：2023-12-25 23:59:00</t>
        </is>
      </c>
      <c r="ER12" s="0" t="inlineStr">
        <is>
          <t>5行 1列，源：2020-03-01 00:00:00 备：2026-04-17 17:15:00</t>
        </is>
      </c>
      <c r="ES12" s="0" t="inlineStr">
        <is>
          <t>1行 2列，源：32767.0 备：-12345</t>
        </is>
      </c>
      <c r="ET12" s="0" t="inlineStr">
        <is>
          <t>1行 1列，源：1900-01-01 00:00:00 +00:00 备：2013-03-12 02:00:00 -04:25</t>
        </is>
      </c>
      <c r="EV12" s="0" t="inlineStr">
        <is>
          <t>5行 1列，源：2020-03-01 00:00:00 备：2023-12-25 23:59:00</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YES! 	 c_text列源备映射正确，源端为text 2147483647位	期望更改为text	实际备端为text 2147483647位</t>
        </is>
      </c>
      <c r="AA13" s="0" t="inlineStr">
        <is>
          <t>2行 7列，源：None 备：</t>
        </is>
      </c>
      <c r="AB13" s="0" t="inlineStr">
        <is>
          <t>11行 0列，源：12 备：7</t>
        </is>
      </c>
      <c r="AC13" s="0" t="inlineStr">
        <is>
          <t>6行 0列，源：7 备：2</t>
        </is>
      </c>
      <c r="AD13" s="0" t="inlineStr">
        <is>
          <t>2行 3列，源：b'' 备：</t>
        </is>
      </c>
      <c r="AF13" s="0" t="inlineStr">
        <is>
          <t>6行 0列，源：7 备：2</t>
        </is>
      </c>
      <c r="AH13" s="0" t="inlineStr">
        <is>
          <t>1行 1列，源：2003-11-05 02:00:00 -05:10 备：2025-05-12 00:00:00 -14:00</t>
        </is>
      </c>
      <c r="AI13" s="0" t="inlineStr">
        <is>
          <t>2行 0列，源：3 备：11</t>
        </is>
      </c>
      <c r="AM13" s="0" t="inlineStr">
        <is>
          <t>1行 19列，源：False 备：0</t>
        </is>
      </c>
      <c r="AO13" s="0" t="inlineStr">
        <is>
          <t>5行 1列，源：2020-02-29 19:27:31.123000 备：2000-05-01 23:59:59.993</t>
        </is>
      </c>
      <c r="AP13" s="0" t="inlineStr">
        <is>
          <t>5行 1列，源：2020-02-29 19:27:31.123000 备：2024-05-11 12:00:00.567</t>
        </is>
      </c>
      <c r="AQ13" s="0" t="inlineStr">
        <is>
          <t>2行 3列，源：b'' 备：</t>
        </is>
      </c>
      <c r="AR13" s="0" t="inlineStr">
        <is>
          <t>5行 1列，源：2020-02-29 19:27:31.123000 备：2000-05-01 23:59:59.993</t>
        </is>
      </c>
      <c r="AS13" s="0" t="inlineStr">
        <is>
          <t>1行 19列，源：True 备：1</t>
        </is>
      </c>
      <c r="AT13" s="0" t="inlineStr">
        <is>
          <t>6行 0列，源：7 备：11</t>
        </is>
      </c>
      <c r="AU13" s="0" t="inlineStr">
        <is>
          <t xml:space="preserve">2行 3列，源：None 备：                                                                                                                                                                                                                                                                                                                                                                                                                                                                                                                                                                                                                                                                                                                                                                                                                                                                                                                                                                                                                                                                                                                                                                                                                                                                                                                                                                                                                                                                                                                                                                                                                                                                                                                                                                                                                                                                                                                                                                                                                                                                                                                                                                                                                                                                                                                                                                                                                                                                                                                                                                                                                                                                                                                                                                                                                                                                                                                                                                                                                                                                                                                                                                                                                                                                                                                                                                                                                                                                                                                                                                                                                                            </t>
        </is>
      </c>
      <c r="AV13" s="0" t="inlineStr">
        <is>
          <t>5行 1列，源：9999-12-31 23:59:59.997000 备：9999-12-31 23:59:59.997</t>
        </is>
      </c>
      <c r="AX13" s="0" t="inlineStr">
        <is>
          <t>6行 0列，源：7 备：15</t>
        </is>
      </c>
      <c r="AZ13" s="0" t="inlineStr">
        <is>
          <t>2行 0列，源：3 备：11</t>
        </is>
      </c>
      <c r="BA13" s="0" t="inlineStr">
        <is>
          <t>5行 0列，源：18 备：7</t>
        </is>
      </c>
      <c r="BC13" s="0" t="inlineStr">
        <is>
          <t>2行 4列，源：2026-04-17 17:17:22.449000 备：2026-04-17 17:17:22.449</t>
        </is>
      </c>
      <c r="BD13" s="0" t="inlineStr">
        <is>
          <t>5行 1列，源：2020-02-29 备：9999-12-31</t>
        </is>
      </c>
      <c r="BE13" s="0" t="inlineStr">
        <is>
          <t>1行 2列，源：1900-01-01 00:00:00 备：2026-04-17 17:17:24.6</t>
        </is>
      </c>
      <c r="BF13" s="0" t="inlineStr">
        <is>
          <t>2行 4列，源：2026-04-17 17:17:33.413000 备：2026-04-17 17:17:33.413</t>
        </is>
      </c>
      <c r="BG13" s="0" t="inlineStr">
        <is>
          <t>0行 10列，源：None 备：</t>
        </is>
      </c>
      <c r="BH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I13" s="0" t="inlineStr">
        <is>
          <t>1行 2列，源：1900-01-01 00:00:00 备：2026-04-17 17:17:33.4</t>
        </is>
      </c>
      <c r="BJ13" s="0" t="inlineStr">
        <is>
          <t>1行 3列，源：123456.0 备：0</t>
        </is>
      </c>
      <c r="BL13" s="0" t="inlineStr">
        <is>
          <t>2行 0列，源：3 备：158</t>
        </is>
      </c>
      <c r="BN13" s="0" t="inlineStr">
        <is>
          <t>4行 2列，源：2046-05-11 14:30:45.100000 备：2046-05-11 14:30:45.1</t>
        </is>
      </c>
      <c r="BO13" s="0" t="inlineStr">
        <is>
          <t>2行 0列，源：3 备：11</t>
        </is>
      </c>
      <c r="BP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13" s="0" t="inlineStr">
        <is>
          <t>2行 3列，源：None 备：</t>
        </is>
      </c>
      <c r="BT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3" s="0" t="inlineStr">
        <is>
          <t>1行 2列，源：1900-01-01 00:00:00.0 +00:00 备：2013-03-12 02:00:00.0 -04:25</t>
        </is>
      </c>
      <c r="BX13" s="0" t="inlineStr">
        <is>
          <t>1行 2列，源：1900-01-01 00:00:00.0 +00:00 备：2013-03-12 02:00:00.0 -04:25</t>
        </is>
      </c>
      <c r="BY13" s="0" t="inlineStr">
        <is>
          <t>1行 2列，源：1900-01-01 00:00:00.0 +00:00 备：2013-03-12 02:00:00.0 -04:25</t>
        </is>
      </c>
      <c r="BZ13"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3" s="0" t="inlineStr">
        <is>
          <t>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13" s="0" t="inlineStr">
        <is>
          <t>1行 2列，源：1900-01-01 00:00:00.0 +00:00 备：2013-03-12 02:00:00.0 -04:25</t>
        </is>
      </c>
      <c r="CC13"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3" s="0" t="inlineStr">
        <is>
          <t>2行 2列，源：None 备：</t>
        </is>
      </c>
      <c r="CE13" s="0" t="inlineStr">
        <is>
          <t>2行 1列，源：2000-05-11 00:30:45 +09:00 备：2025-05-12 00:00:00 -14:00</t>
        </is>
      </c>
      <c r="CF13" s="0" t="inlineStr">
        <is>
          <t>1行 2列，源：00:00:00 备：12:30:45.1</t>
        </is>
      </c>
      <c r="CG13" s="0" t="inlineStr">
        <is>
          <t>6行 0列，源：7 备：127</t>
        </is>
      </c>
      <c r="CH13" s="0" t="inlineStr">
        <is>
          <t>1行 1列，源：2063-05-11 10:30:45 -04:00 备：9999-12-31 23:59:59 +00:00</t>
        </is>
      </c>
      <c r="CI13" s="0" t="inlineStr">
        <is>
          <t>5行 1列，源：2020-02-29 备：9999-12-31</t>
        </is>
      </c>
      <c r="CK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13" s="0" t="inlineStr">
        <is>
          <t>1行 1列，源：12:30:45 备：</t>
        </is>
      </c>
      <c r="CM13" s="0" t="inlineStr">
        <is>
          <t>1行 3列，源：2147483647.0 备：</t>
        </is>
      </c>
      <c r="CN13" s="0" t="inlineStr">
        <is>
          <t>5行 1列，源：2020-02-29 备：1970-01-01</t>
        </is>
      </c>
      <c r="CO13" s="0" t="inlineStr">
        <is>
          <t>2行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P13" s="0" t="inlineStr">
        <is>
          <t>6行 0列，源：7 备：2</t>
        </is>
      </c>
      <c r="CQ13" s="0" t="inlineStr">
        <is>
          <t>5行 0列，源：12 备：9</t>
        </is>
      </c>
      <c r="CT13" s="0" t="inlineStr">
        <is>
          <t>1行 4列，源：9.223372036854776e+18 备：9223372036854775807</t>
        </is>
      </c>
      <c r="CW13" s="0" t="inlineStr">
        <is>
          <t>6行 0列，源：7 备：5</t>
        </is>
      </c>
      <c r="DA13" s="0" t="inlineStr">
        <is>
          <t>1行 3列，源：2147483647.0 备：</t>
        </is>
      </c>
      <c r="DB13" s="0" t="inlineStr">
        <is>
          <t>5行 1列，源：2020-02-29 19:27:31.123000 备：2000-05-01 23:59:59.993</t>
        </is>
      </c>
      <c r="DC13" s="0" t="inlineStr">
        <is>
          <t>0行 13列，源：None 备：</t>
        </is>
      </c>
      <c r="DE13" s="0" t="inlineStr">
        <is>
          <t xml:space="preserve">6行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DG13" s="0" t="inlineStr">
        <is>
          <t>5行 0列，源：9 备：18</t>
        </is>
      </c>
      <c r="DH13" s="0" t="inlineStr">
        <is>
          <t>2行 0列，源：3 备：11</t>
        </is>
      </c>
      <c r="DJ13" s="0" t="inlineStr">
        <is>
          <t>1行 2列，源：00:00:00 备：12:30:45.1</t>
        </is>
      </c>
      <c r="DL13" s="0" t="inlineStr">
        <is>
          <t>1行 2列，源：00:00:00 备：12:30:45.1</t>
        </is>
      </c>
      <c r="DM13" s="0" t="inlineStr">
        <is>
          <t>0行 11列，源：None 备：</t>
        </is>
      </c>
      <c r="DN13" s="0" t="inlineStr">
        <is>
          <t>2行 0列，源：3 备：158</t>
        </is>
      </c>
      <c r="DP13" s="0" t="inlineStr">
        <is>
          <t>2行 4列，源：2026-04-17 16:55:35.769000 备：2026-04-17 16:55:35.769</t>
        </is>
      </c>
      <c r="DQ13" s="0" t="inlineStr">
        <is>
          <t>2行 3列，源：b'' 备：</t>
        </is>
      </c>
      <c r="DT13" s="0" t="inlineStr">
        <is>
          <t>1行 2列，源：00:00:00 备：12:30:45.1</t>
        </is>
      </c>
      <c r="DU13" s="0" t="inlineStr">
        <is>
          <t>2行 3列，源：b'' 备：</t>
        </is>
      </c>
      <c r="DV13" s="0" t="inlineStr">
        <is>
          <t>1行 7列，源：None 备：</t>
        </is>
      </c>
      <c r="DX13" s="0" t="inlineStr">
        <is>
          <t>1行 3列，源：2147483647.0 备：-123456789</t>
        </is>
      </c>
      <c r="EA13" s="0" t="inlineStr">
        <is>
          <t>5行 1列，源：None 备：</t>
        </is>
      </c>
      <c r="EC13" s="0" t="inlineStr">
        <is>
          <t>1行 2列，源：00:00:00 备：12:30:45.1</t>
        </is>
      </c>
      <c r="ED13" s="0" t="inlineStr">
        <is>
          <t>2行 3列，源：b'' 备：</t>
        </is>
      </c>
      <c r="EE13" s="0" t="inlineStr">
        <is>
          <t>11行 0列，源：12 备：5</t>
        </is>
      </c>
      <c r="EG13" s="0" t="inlineStr">
        <is>
          <t>2行 1列，源：23:59:59 备：12:30:45</t>
        </is>
      </c>
      <c r="EH13" s="0" t="inlineStr">
        <is>
          <t>1行 3列，源：2147483647.0 备：-123456789</t>
        </is>
      </c>
      <c r="EK13" s="0" t="inlineStr">
        <is>
          <t>2行 0列，源：9 备：12</t>
        </is>
      </c>
      <c r="EN13" s="0" t="inlineStr">
        <is>
          <t>1行 1列，源：09:12:34 备：12:30:45</t>
        </is>
      </c>
      <c r="EO13" s="0" t="inlineStr">
        <is>
          <t>2行 3列，源：b'' 备：</t>
        </is>
      </c>
      <c r="EP13" s="0" t="inlineStr">
        <is>
          <t>1行 3列，源：2147483647.0 备：-123456789</t>
        </is>
      </c>
      <c r="EQ13" s="0" t="inlineStr">
        <is>
          <t>6行 0列，源：7 备：2</t>
        </is>
      </c>
      <c r="ER13" s="0" t="inlineStr">
        <is>
          <t>6行 0列，源：7 备：126</t>
        </is>
      </c>
      <c r="ES13" s="0" t="inlineStr">
        <is>
          <t>1行 3列，源：2147483647.0 备：-123456789</t>
        </is>
      </c>
      <c r="ET13" s="0" t="inlineStr">
        <is>
          <t>1行 2列，源：1900-01-01 00:00:00.0 +00:00 备：2013-03-12 02:00:00.0 -04:25</t>
        </is>
      </c>
      <c r="EV13" s="0" t="inlineStr">
        <is>
          <t>6行 0列，源：7 备：2</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c_ntext列源备映射错误，源端为ntext 2147483646位	期望更改为text	实际备端为ntext 2147483646位</t>
        </is>
      </c>
      <c r="AA14" s="0" t="inlineStr">
        <is>
          <t>2行 8列，源：None 备：</t>
        </is>
      </c>
      <c r="AB14" s="0" t="inlineStr">
        <is>
          <t>12行 0列，源：13 备：8</t>
        </is>
      </c>
      <c r="AC14" s="0" t="inlineStr">
        <is>
          <t>6行 1列，源：2000-05-11 14:30:00 备：1900-01-01 00:00:00</t>
        </is>
      </c>
      <c r="AD14" s="0" t="inlineStr">
        <is>
          <t>3行 0列，源：4 备：3</t>
        </is>
      </c>
      <c r="AF14" s="0" t="inlineStr">
        <is>
          <t>6行 1列，源：2079-06-05 23:59:00 备：2026-04-17 17:16:00</t>
        </is>
      </c>
      <c r="AH14" s="0" t="inlineStr">
        <is>
          <t>1行 2列，源：2003-11-05 02:00:00.0 -05:10 备：2025-05-12 00:00:00.0 -14:00</t>
        </is>
      </c>
      <c r="AI14" s="0" t="inlineStr">
        <is>
          <t>2行 1列，源：  备：1</t>
        </is>
      </c>
      <c r="AM14" s="0" t="inlineStr">
        <is>
          <t>2行 0列，源：3 备：11</t>
        </is>
      </c>
      <c r="AO14" s="0" t="inlineStr">
        <is>
          <t>6行 0列，源：7 备：15</t>
        </is>
      </c>
      <c r="AP14" s="0" t="inlineStr">
        <is>
          <t>6行 0列，源：7 备：123</t>
        </is>
      </c>
      <c r="AQ14" s="0" t="inlineStr">
        <is>
          <t>3行 0列，源：4 备：3</t>
        </is>
      </c>
      <c r="AR14" s="0" t="inlineStr">
        <is>
          <t>6行 0列，源：7 备：15</t>
        </is>
      </c>
      <c r="AS14" s="0" t="inlineStr">
        <is>
          <t>2行 0列，源：3 备：11</t>
        </is>
      </c>
      <c r="AT14" s="0" t="inlineStr">
        <is>
          <t>6行 1列，源：2000-05-11 14:30:29 备：1997-04-04 23:59:59.997</t>
        </is>
      </c>
      <c r="AU14" s="0" t="inlineStr">
        <is>
          <t>3行 0列，源：4 备：3</t>
        </is>
      </c>
      <c r="AV14" s="0" t="inlineStr">
        <is>
          <t>6行 0列，源：7 备：15</t>
        </is>
      </c>
      <c r="AX14" s="0" t="inlineStr">
        <is>
          <t>6行 1列，源：2020-02-29 19:27:31.123000 备：2001-04-09 23:59:59.993</t>
        </is>
      </c>
      <c r="AZ14" s="0" t="inlineStr">
        <is>
          <t>2行 1列，源：  备：1</t>
        </is>
      </c>
      <c r="BA14" s="0" t="inlineStr">
        <is>
          <t>5行 1列，源：2004-12-24 23:59:59.990000 备：2000-05-11 14:30:29.000</t>
        </is>
      </c>
      <c r="BC14" s="0" t="inlineStr">
        <is>
          <t>2行 5列，源：2026-04-17 17:17:22.448700 备：2026-04-17 17:17:22.4487</t>
        </is>
      </c>
      <c r="BD14" s="0" t="inlineStr">
        <is>
          <t>6行 0列，源：7 备：5</t>
        </is>
      </c>
      <c r="BE14" s="0" t="inlineStr">
        <is>
          <t>1行 3列，源：1900-01-01 00:00:00 备：2026-04-17 17:17:24.63</t>
        </is>
      </c>
      <c r="BF14" s="0" t="inlineStr">
        <is>
          <t>2行 5列，源：2026-04-17 17:17:33.413300 备：2026-04-17 17:17:33.4133</t>
        </is>
      </c>
      <c r="BG14" s="0" t="inlineStr">
        <is>
          <t>0行 11列，源：None 备：</t>
        </is>
      </c>
      <c r="BH14" s="0" t="inlineStr">
        <is>
          <t>3行 0列，源：4 备：3</t>
        </is>
      </c>
      <c r="BI14" s="0" t="inlineStr">
        <is>
          <t>1行 3列，源：1900-01-01 00:00:00 备：2026-04-17 17:17:33.41</t>
        </is>
      </c>
      <c r="BJ14" s="0" t="inlineStr">
        <is>
          <t>1行 4列，源：1000000.0 备：0</t>
        </is>
      </c>
      <c r="BL14" s="0" t="inlineStr">
        <is>
          <t>2行 1列，源：A 备：试</t>
        </is>
      </c>
      <c r="BN14" s="0" t="inlineStr">
        <is>
          <t>4行 3列，源：2046-05-11 14:30:45.120000 备：2046-05-11 14:30:45.12</t>
        </is>
      </c>
      <c r="BO14" s="0" t="inlineStr">
        <is>
          <t>2行 1列，源：  备：1</t>
        </is>
      </c>
      <c r="BP14" s="0" t="inlineStr">
        <is>
          <t>3行 0列，源：4 备：124</t>
        </is>
      </c>
      <c r="BS14" s="0" t="inlineStr">
        <is>
          <t>3行 0列，源：4 备：3</t>
        </is>
      </c>
      <c r="BT14" s="0" t="inlineStr">
        <is>
          <t>3行 0列，源：4 备：3</t>
        </is>
      </c>
      <c r="BV14" s="0" t="inlineStr">
        <is>
          <t>1行 3列，源：1900-01-01 00:00:00.00 +00:00 备：2013-03-12 02:00:00.00 -04:25</t>
        </is>
      </c>
      <c r="BX14" s="0" t="inlineStr">
        <is>
          <t>1行 3列，源：1900-01-01 00:00:00.00 +00:00 备：2013-03-12 02:00:00.00 -04:25</t>
        </is>
      </c>
      <c r="BY14" s="0" t="inlineStr">
        <is>
          <t>1行 3列，源：1900-01-01 00:00:00.00 +00:00 备：2013-03-12 02:00:00.00 -04:25</t>
        </is>
      </c>
      <c r="BZ14" s="0" t="inlineStr">
        <is>
          <t xml:space="preserve">5行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CA14" s="0" t="inlineStr">
        <is>
          <t>3行 0列，源：4 备：104</t>
        </is>
      </c>
      <c r="CB14" s="0" t="inlineStr">
        <is>
          <t>1行 3列，源：1900-01-01 00:00:00.00 +00:00 备：2013-03-12 02:00:00.00 -04:25</t>
        </is>
      </c>
      <c r="CC14" s="0" t="inlineStr">
        <is>
          <t xml:space="preserve">4行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4" s="0" t="inlineStr">
        <is>
          <t>2行 4列，源：None 备：</t>
        </is>
      </c>
      <c r="CE14" s="0" t="inlineStr">
        <is>
          <t>2行 2列，源：2000-05-11 00:30:45.1 +09:00 备：2025-05-12 00:00:00.0 -14:00</t>
        </is>
      </c>
      <c r="CF14" s="0" t="inlineStr">
        <is>
          <t>1行 3列，源：00:00:00 备：12:30:45.12</t>
        </is>
      </c>
      <c r="CG14" s="0" t="inlineStr">
        <is>
          <t>7行 0列，源：8 备：128</t>
        </is>
      </c>
      <c r="CH14" s="0" t="inlineStr">
        <is>
          <t>1行 2列，源：2063-05-11 10:30:45.1 -04:00 备：9999-12-31 23:59:59.9 +00:00</t>
        </is>
      </c>
      <c r="CI14" s="0" t="inlineStr">
        <is>
          <t>6行 0列，源：7 备：5</t>
        </is>
      </c>
      <c r="CK14" s="0" t="inlineStr">
        <is>
          <t>3行 0列，源：4 备：3</t>
        </is>
      </c>
      <c r="CL14" s="0" t="inlineStr">
        <is>
          <t>1行 2列，源：12:30:45 备：00:00:01.1</t>
        </is>
      </c>
      <c r="CM14" s="0" t="inlineStr">
        <is>
          <t>1行 4列，源：9.223372036854776e+18 备：</t>
        </is>
      </c>
      <c r="CN14" s="0" t="inlineStr">
        <is>
          <t>6行 0列，源：7 备：108</t>
        </is>
      </c>
      <c r="CO14" s="0" t="inlineStr">
        <is>
          <t>3行 0列，源：4 备：3</t>
        </is>
      </c>
      <c r="CP14" s="0" t="inlineStr">
        <is>
          <t>6行 1列，源：2000-05-11 14:30:00 备：1900-01-01 00:00:00</t>
        </is>
      </c>
      <c r="CQ14" s="0" t="inlineStr">
        <is>
          <t>5行 1列，源：1990-11-26 00:01:00 备：1981-05-11 14:31:00</t>
        </is>
      </c>
      <c r="CT14" s="0" t="inlineStr">
        <is>
          <t>1行 15列，源：1.79e+308 备：1.7900000000000e+308</t>
        </is>
      </c>
      <c r="CW14" s="0" t="inlineStr">
        <is>
          <t>6行 1列，源：1970-01-01 备：2026-04-17</t>
        </is>
      </c>
      <c r="DA14" s="0" t="inlineStr">
        <is>
          <t>1行 4列，源：9.223372036854776e+18 备：</t>
        </is>
      </c>
      <c r="DB14" s="0" t="inlineStr">
        <is>
          <t>6行 0列，源：7 备：15</t>
        </is>
      </c>
      <c r="DC14" s="0" t="inlineStr">
        <is>
          <t>0行 14列，源：None 备：</t>
        </is>
      </c>
      <c r="DG14" s="0" t="inlineStr">
        <is>
          <t>5行 1列，源：1981-05-11 14:30:59 备：2004-12-24 23:59:59.990</t>
        </is>
      </c>
      <c r="DH14" s="0" t="inlineStr">
        <is>
          <t>2行 1列，源：  备：1</t>
        </is>
      </c>
      <c r="DJ14" s="0" t="inlineStr">
        <is>
          <t>1行 3列，源：00:00:00 备：12:30:45.12</t>
        </is>
      </c>
      <c r="DL14" s="0" t="inlineStr">
        <is>
          <t>1行 3列，源：00:00:00 备：12:30:45.12</t>
        </is>
      </c>
      <c r="DM14" s="0" t="inlineStr">
        <is>
          <t>0行 12列，源：None 备：</t>
        </is>
      </c>
      <c r="DN14" s="0" t="inlineStr">
        <is>
          <t>2行 1列，源：A 备：试</t>
        </is>
      </c>
      <c r="DP14" s="0" t="inlineStr">
        <is>
          <t>2行 5列，源：2026-04-17 16:55:35.768700 备：2026-04-17 16:55:35.7687</t>
        </is>
      </c>
      <c r="DQ14" s="0" t="inlineStr">
        <is>
          <t>3行 0列，源：4 备：3</t>
        </is>
      </c>
      <c r="DT14" s="0" t="inlineStr">
        <is>
          <t>1行 3列，源：00:00:00 备：12:30:45.12</t>
        </is>
      </c>
      <c r="DU14" s="0" t="inlineStr">
        <is>
          <t>3行 0列，源：4 备：124</t>
        </is>
      </c>
      <c r="DV14" s="0" t="inlineStr">
        <is>
          <t>1行 8列，源：None 备：</t>
        </is>
      </c>
      <c r="DX14" s="0" t="inlineStr">
        <is>
          <t>1行 4列，源：9.223372036854776e+18 备：-123456789012345</t>
        </is>
      </c>
      <c r="EA14" s="0" t="inlineStr">
        <is>
          <t>5行 2列，源：None 备：</t>
        </is>
      </c>
      <c r="EC14" s="0" t="inlineStr">
        <is>
          <t>1行 3列，源：00:00:00 备：12:30:45.12</t>
        </is>
      </c>
      <c r="ED14" s="0" t="inlineStr">
        <is>
          <t>3行 0列，源：4 备：3</t>
        </is>
      </c>
      <c r="EE14" s="0" t="inlineStr">
        <is>
          <t>12行 0列，源：13 备：6</t>
        </is>
      </c>
      <c r="EG14" s="0" t="inlineStr">
        <is>
          <t>2行 2列，源：23:59:59.900000 备：12:30:45.1</t>
        </is>
      </c>
      <c r="EH14" s="0" t="inlineStr">
        <is>
          <t>1行 4列，源：9.223372036854776e+18 备：-123456789012345</t>
        </is>
      </c>
      <c r="EK14" s="0" t="inlineStr">
        <is>
          <t>2行 1列，源：12:30:45 备：23:59:59</t>
        </is>
      </c>
      <c r="EN14" s="0" t="inlineStr">
        <is>
          <t>1行 3列，源：09:12:34.120000 备：12:30:45.12</t>
        </is>
      </c>
      <c r="EO14" s="0" t="inlineStr">
        <is>
          <t>3行 0列，源：4 备：104</t>
        </is>
      </c>
      <c r="EP14" s="0" t="inlineStr">
        <is>
          <t>1行 4列，源：9.223372036854776e+18 备：-123456789012345</t>
        </is>
      </c>
      <c r="EQ14" s="0" t="inlineStr">
        <is>
          <t>6行 1列，源：2000-05-11 14:30:00 备：1900-01-01 00:00:00</t>
        </is>
      </c>
      <c r="ER14" s="0" t="inlineStr">
        <is>
          <t>6行 1列，源：2000-05-11 14:30:00 备：2020-03-01 00:00:00</t>
        </is>
      </c>
      <c r="ES14" s="0" t="inlineStr">
        <is>
          <t>1行 4列，源：9.223372036854776e+18 备：-123456789012345</t>
        </is>
      </c>
      <c r="ET14" s="0" t="inlineStr">
        <is>
          <t>1行 3列，源：1900-01-01 00:00:00.00 +00:00 备：2013-03-12 02:00:00.00 -04:25</t>
        </is>
      </c>
      <c r="EV14" s="0" t="inlineStr">
        <is>
          <t>6行 1列，源：2000-05-11 14:30:00 备：1900-01-01 00:00:00</t>
        </is>
      </c>
    </row>
    <row r="15">
      <c r="A15" s="0" t="inlineStr">
        <is>
          <t>info_datetimeoffset_dml_single_pk_urp</t>
        </is>
      </c>
      <c r="K15" s="0" t="inlineStr">
        <is>
          <t>[0;34m info_datetimeoffset_dml_single_pk_urp [0m源备字段数相同，源端字段：9 	备端字段9</t>
        </is>
      </c>
      <c r="W15" s="1">
        <f>HYPERLINK("#2026041905hbase4!AA2","NO 源备存在差异，共12个")</f>
        <v/>
      </c>
      <c r="X15" s="0">
        <f>A15</f>
        <v/>
      </c>
      <c r="AB15" s="0" t="inlineStr">
        <is>
          <t>13行 0列，源：14 备：9</t>
        </is>
      </c>
      <c r="AC15" s="0" t="inlineStr">
        <is>
          <t>7行 0列，源：8 备：27</t>
        </is>
      </c>
      <c r="AD15" s="0" t="inlineStr">
        <is>
          <t>3行 1列，源：b' ' 备：</t>
        </is>
      </c>
      <c r="AF15" s="0" t="inlineStr">
        <is>
          <t>7行 0列，源：8 备：3</t>
        </is>
      </c>
      <c r="AH15" s="0" t="inlineStr">
        <is>
          <t>1行 3列，源：2003-11-05 02:00:00.00 -05:10 备：2025-05-12 00:00:00.00 -14:00</t>
        </is>
      </c>
      <c r="AI15" s="0" t="inlineStr">
        <is>
          <t>2行 1列，源：  备：1</t>
        </is>
      </c>
      <c r="AM15" s="0" t="inlineStr">
        <is>
          <t>2行 2列，源：nan 备：20000</t>
        </is>
      </c>
      <c r="AO15" s="0" t="inlineStr">
        <is>
          <t>6行 1列，源：2000-05-11 14:30:29 备：2001-04-09 23:59:59.993</t>
        </is>
      </c>
      <c r="AP15" s="0" t="inlineStr">
        <is>
          <t>6行 1列，源：2000-05-11 14:30:29 备：2025-01-01 00:00:00.233</t>
        </is>
      </c>
      <c r="AQ15" s="0" t="inlineStr">
        <is>
          <t>3行 1列，源：b' ' 备：</t>
        </is>
      </c>
      <c r="AR15" s="0" t="inlineStr">
        <is>
          <t>6行 1列，源：2000-05-11 14:30:29 备：2001-04-09 23:59:59.993</t>
        </is>
      </c>
      <c r="AS15" s="0" t="inlineStr">
        <is>
          <t>2行 2列，源：0.0 备：0</t>
        </is>
      </c>
      <c r="AT15" s="0" t="inlineStr">
        <is>
          <t>7行 0列，源：8 备：110</t>
        </is>
      </c>
      <c r="AU15" s="0" t="inlineStr">
        <is>
          <t>4行 0列，源：5 备：4</t>
        </is>
      </c>
      <c r="AV15" s="0" t="inlineStr">
        <is>
          <t>6行 1列，源：9999-12-31 23:59:59.997000 备：9999-12-31 23:59:59.997</t>
        </is>
      </c>
      <c r="AX15" s="0" t="inlineStr">
        <is>
          <t>7行 0列，源：8 备：16</t>
        </is>
      </c>
      <c r="AZ15" s="0" t="inlineStr">
        <is>
          <t>2行 1列，源：  备：1</t>
        </is>
      </c>
      <c r="BC15" s="0" t="inlineStr">
        <is>
          <t>2行 6列，源：2026-04-17 17:17:22.448700 备：2026-04-17 17:17:22.44870</t>
        </is>
      </c>
      <c r="BD15" s="0" t="inlineStr">
        <is>
          <t>6行 1列，源：1970-01-01 备：2026-04-17</t>
        </is>
      </c>
      <c r="BE15" s="0" t="inlineStr">
        <is>
          <t>1行 4列，源：1900-01-01 00:00:00 备：2026-04-17 17:17:24.631</t>
        </is>
      </c>
      <c r="BF15" s="0" t="inlineStr">
        <is>
          <t>2行 6列，源：2026-04-17 17:17:33.413300 备：2026-04-17 17:17:33.41330</t>
        </is>
      </c>
      <c r="BG15" s="0" t="inlineStr">
        <is>
          <t>0行 12列，源：None 备：</t>
        </is>
      </c>
      <c r="BH15" s="0" t="inlineStr">
        <is>
          <t>3行 1列，源：b' ' 备：00</t>
        </is>
      </c>
      <c r="BI15" s="0" t="inlineStr">
        <is>
          <t>1行 4列，源：1900-01-01 00:00:00 备：2026-04-17 17:17:33.413</t>
        </is>
      </c>
      <c r="BJ15" s="0" t="inlineStr">
        <is>
          <t>1行 15列，源：123.456789 备：123.4567890000000</t>
        </is>
      </c>
      <c r="BL15" s="0" t="inlineStr">
        <is>
          <t>2行 1列，源：A 备：试</t>
        </is>
      </c>
      <c r="BN15" s="0" t="inlineStr">
        <is>
          <t>4行 4列，源：2046-05-11 14:30:45.123000 备：2046-05-11 14:30:45.123</t>
        </is>
      </c>
      <c r="BO15" s="0" t="inlineStr">
        <is>
          <t>2行 1列，源：  备：1</t>
        </is>
      </c>
      <c r="BP15" s="0" t="inlineStr">
        <is>
          <t>3行 1列，源：b' ' 备：20</t>
        </is>
      </c>
      <c r="BS15" s="0" t="inlineStr">
        <is>
          <t>4行 0列，源：5 备：4</t>
        </is>
      </c>
      <c r="BT15" s="0" t="inlineStr">
        <is>
          <t>3行 1列，源：b' ' 备：00</t>
        </is>
      </c>
      <c r="BV15" s="0" t="inlineStr">
        <is>
          <t>1行 4列，源：1900-01-01 00:00:00.000 +00:00 备：2013-03-12 02:00:00.000 -04:25</t>
        </is>
      </c>
      <c r="BX15" s="0" t="inlineStr">
        <is>
          <t>1行 4列，源：1900-01-01 00:00:00.000 +00:00 备：2013-03-12 02:00:00.000 -04:25</t>
        </is>
      </c>
      <c r="BY15" s="0" t="inlineStr">
        <is>
          <t>1行 4列，源：1900-01-01 00:00:00.000 +00:00 备：2013-03-12 02:00:00.000 -04:25</t>
        </is>
      </c>
      <c r="CA15" s="0" t="inlineStr">
        <is>
          <t>3行 1列，源：b' ' 备：20</t>
        </is>
      </c>
      <c r="CB15" s="0" t="inlineStr">
        <is>
          <t>1行 4列，源：1900-01-01 00:00:00.000 +00:00 备：2013-03-12 02:00:00.000 -04:25</t>
        </is>
      </c>
      <c r="CC15"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5" s="0" t="inlineStr">
        <is>
          <t>2行 6列，源：None 备：</t>
        </is>
      </c>
      <c r="CE15" s="0" t="inlineStr">
        <is>
          <t>2行 3列，源：2000-05-11 00:30:45.12 +09:00 备：2025-05-12 00:00:00.00 -14:00</t>
        </is>
      </c>
      <c r="CF15" s="0" t="inlineStr">
        <is>
          <t>1行 4列，源：00:00:00 备：12:30:45.123</t>
        </is>
      </c>
      <c r="CG15" s="0" t="inlineStr">
        <is>
          <t>8行 0列，源：9 备：130</t>
        </is>
      </c>
      <c r="CH15" s="0" t="inlineStr">
        <is>
          <t>1行 3列，源：2063-05-11 10:30:45.12 -04:00 备：9999-12-31 23:59:59.99 +00:00</t>
        </is>
      </c>
      <c r="CI15" s="0" t="inlineStr">
        <is>
          <t>6行 1列，源：1970-01-01 备：2026-04-17</t>
        </is>
      </c>
      <c r="CK15" s="0" t="inlineStr">
        <is>
          <t>3行 1列，源：b'X' 备：58</t>
        </is>
      </c>
      <c r="CL15" s="0" t="inlineStr">
        <is>
          <t>1行 3列，源：12:30:45 备：</t>
        </is>
      </c>
      <c r="CM15" s="0" t="inlineStr">
        <is>
          <t>1行 15列，源：1.79e+308 备：</t>
        </is>
      </c>
      <c r="CN15" s="0" t="inlineStr">
        <is>
          <t>6行 1列，源：1970-01-01 备：0001-01-02</t>
        </is>
      </c>
      <c r="CO15" s="0" t="inlineStr">
        <is>
          <t>3行 1列，源：b' ' 备：58</t>
        </is>
      </c>
      <c r="CP15" s="0" t="inlineStr">
        <is>
          <t>7行 0列，源：8 备：3</t>
        </is>
      </c>
      <c r="CT15" s="0" t="inlineStr">
        <is>
          <t>1行 16列，源：3.3999999521443642e+38 备：339999995214436424907732413799364296704.000000</t>
        </is>
      </c>
      <c r="CW15" s="0" t="inlineStr">
        <is>
          <t>7行 0列，源：8 备：6</t>
        </is>
      </c>
      <c r="DA15" s="0" t="inlineStr">
        <is>
          <t>1行 15列，源：1.79e+308 备：</t>
        </is>
      </c>
      <c r="DB15" s="0" t="inlineStr">
        <is>
          <t>6行 1列，源：2000-05-11 14:30:29 备：2001-04-09 23:59:59.993</t>
        </is>
      </c>
      <c r="DC15" s="0" t="inlineStr">
        <is>
          <t>0行 15列，源：None 备：</t>
        </is>
      </c>
      <c r="DG15" s="0" t="inlineStr">
        <is>
          <t>6行 0列，源：11 备：21</t>
        </is>
      </c>
      <c r="DH15" s="0" t="inlineStr">
        <is>
          <t>2行 1列，源：  备：1</t>
        </is>
      </c>
      <c r="DJ15" s="0" t="inlineStr">
        <is>
          <t>1行 4列，源：00:00:00 备：12:30:45.123</t>
        </is>
      </c>
      <c r="DL15" s="0" t="inlineStr">
        <is>
          <t>1行 4列，源：00:00:00 备：12:30:45.123</t>
        </is>
      </c>
      <c r="DM15" s="0" t="inlineStr">
        <is>
          <t>0行 13列，源：None 备：</t>
        </is>
      </c>
      <c r="DN15" s="0" t="inlineStr">
        <is>
          <t>2行 1列，源：A 备：试</t>
        </is>
      </c>
      <c r="DP15" s="0" t="inlineStr">
        <is>
          <t>2行 6列，源：2026-04-17 16:55:35.768700 备：2026-04-17 16:55:35.76870</t>
        </is>
      </c>
      <c r="DQ15" s="0" t="inlineStr">
        <is>
          <t>3行 1列，源：b' ' 备：</t>
        </is>
      </c>
      <c r="DT15" s="0" t="inlineStr">
        <is>
          <t>1行 4列，源：00:00:00 备：12:30:45.123</t>
        </is>
      </c>
      <c r="DU15" s="0" t="inlineStr">
        <is>
          <t>3行 1列，源：b' ' 备：20</t>
        </is>
      </c>
      <c r="DV15" s="0" t="inlineStr">
        <is>
          <t>1行 9列，源：None 备：</t>
        </is>
      </c>
      <c r="DX15" s="0" t="inlineStr">
        <is>
          <t>1行 15列，源：1.79e+308 备：</t>
        </is>
      </c>
      <c r="EA15" s="0" t="inlineStr">
        <is>
          <t>5行 3列，源：None 备：</t>
        </is>
      </c>
      <c r="EC15" s="0" t="inlineStr">
        <is>
          <t>1行 4列，源：00:00:00 备：12:30:45.123</t>
        </is>
      </c>
      <c r="ED15" s="0" t="inlineStr">
        <is>
          <t>3行 1列，源：b' ' 备：</t>
        </is>
      </c>
      <c r="EE15" s="0" t="inlineStr">
        <is>
          <t>13行 0列，源：14 备：7</t>
        </is>
      </c>
      <c r="EG15" s="0" t="inlineStr">
        <is>
          <t>2行 3列，源：23:59:59.990000 备：12:30:45.12</t>
        </is>
      </c>
      <c r="EH15" s="0" t="inlineStr">
        <is>
          <t>1行 15列，源：1.79e+308 备：</t>
        </is>
      </c>
      <c r="EK15" s="0" t="inlineStr">
        <is>
          <t>2行 2列，源：12:30:45.100000 备：23:59:59.1</t>
        </is>
      </c>
      <c r="EN15" s="0" t="inlineStr">
        <is>
          <t>1行 5列，源：09:12:34.123500 备：12:30:45.1235</t>
        </is>
      </c>
      <c r="EO15" s="0" t="inlineStr">
        <is>
          <t>3行 1列，源：b' ' 备：20</t>
        </is>
      </c>
      <c r="EP15" s="0" t="inlineStr">
        <is>
          <t>1行 15列，源：1.79e+308 备：</t>
        </is>
      </c>
      <c r="EQ15" s="0" t="inlineStr">
        <is>
          <t>7行 0列，源：8 备：3</t>
        </is>
      </c>
      <c r="ER15" s="0" t="inlineStr">
        <is>
          <t>7行 0列，源：8 备：127</t>
        </is>
      </c>
      <c r="ES15" s="0" t="inlineStr">
        <is>
          <t>1行 15列，源：1.79e+308 备：</t>
        </is>
      </c>
      <c r="ET15" s="0" t="inlineStr">
        <is>
          <t>1行 4列，源：1900-01-01 00:00:00.000 +00:00 备：2013-03-12 02:00:00.000 -04:25</t>
        </is>
      </c>
      <c r="EV15" s="0" t="inlineStr">
        <is>
          <t>7行 0列，源：8 备：3</t>
        </is>
      </c>
    </row>
    <row r="16">
      <c r="B16" s="0" t="inlineStr">
        <is>
          <t>YES</t>
        </is>
      </c>
      <c r="C16" s="0" t="inlineStr">
        <is>
          <t>NULL</t>
        </is>
      </c>
      <c r="D16" s="0" t="inlineStr">
        <is>
          <t>NULL</t>
        </is>
      </c>
      <c r="E16" s="0" t="inlineStr">
        <is>
          <t>NULL</t>
        </is>
      </c>
      <c r="F16" s="0" t="inlineStr">
        <is>
          <t>NULL</t>
        </is>
      </c>
      <c r="G16" s="0" t="inlineStr">
        <is>
          <t>NULL</t>
        </is>
      </c>
      <c r="H16" s="0" t="inlineStr">
        <is>
          <t>NULL</t>
        </is>
      </c>
      <c r="I16" s="0" t="inlineStr">
        <is>
          <t>YES!PK__info_dat__3213E83F0D45F8E0</t>
        </is>
      </c>
      <c r="J16" s="0" t="inlineStr">
        <is>
          <t>YES! 主键相关索引</t>
        </is>
      </c>
      <c r="K16" s="0" t="inlineStr">
        <is>
          <t xml:space="preserve"> NO!  	 id列源备映射错误，源端为int None位	期望更改为text	实际备端为int None位</t>
        </is>
      </c>
      <c r="AC16" s="0" t="inlineStr">
        <is>
          <t>7行 1列，源：2068-05-11 14:31:00 备：2000-05-11 14:30:00</t>
        </is>
      </c>
      <c r="AD16" s="0" t="inlineStr">
        <is>
          <t>3行 2列，源：b'          ' 备：</t>
        </is>
      </c>
      <c r="AF16" s="0" t="inlineStr">
        <is>
          <t>7行 1列，源：2068-05-11 14:31:00 备：2079-06-05 23:59:00</t>
        </is>
      </c>
      <c r="AH16" s="0" t="inlineStr">
        <is>
          <t>1行 4列，源：2003-11-05 02:00:00.000 -05:10 备：2025-05-12 00:00:00.000 -14:00</t>
        </is>
      </c>
      <c r="AI16" s="0" t="inlineStr">
        <is>
          <t>2行 2列，源：                     备：12345678901234567890</t>
        </is>
      </c>
      <c r="AM16" s="0" t="inlineStr">
        <is>
          <t>2行 5列，源：None 备：</t>
        </is>
      </c>
      <c r="AO16" s="0" t="inlineStr">
        <is>
          <t>7行 0列，源：8 备：16</t>
        </is>
      </c>
      <c r="AP16" s="0" t="inlineStr">
        <is>
          <t>7行 0列，源：8 备：13</t>
        </is>
      </c>
      <c r="AQ16" s="0" t="inlineStr">
        <is>
          <t>3行 2列，源：b'          ' 备：</t>
        </is>
      </c>
      <c r="AR16" s="0" t="inlineStr">
        <is>
          <t>7行 0列，源：8 备：16</t>
        </is>
      </c>
      <c r="AS16" s="0" t="inlineStr">
        <is>
          <t>2行 6列，源：None 备：</t>
        </is>
      </c>
      <c r="AT16" s="0" t="inlineStr">
        <is>
          <t>7行 1列，源：2068-05-11 14:30:30 备：1996-03-03 23:59:59.997</t>
        </is>
      </c>
      <c r="AU16" s="0" t="inlineStr">
        <is>
          <t xml:space="preserve">4行 1列，源：测 备： </t>
        </is>
      </c>
      <c r="AV16" s="0" t="inlineStr">
        <is>
          <t>7行 0列，源：8 备：16</t>
        </is>
      </c>
      <c r="AX16" s="0" t="inlineStr">
        <is>
          <t>7行 1列，源：2020-02-29 19:27:31.123000 备：2002-06-11 23:59:59.993</t>
        </is>
      </c>
      <c r="AZ16" s="0" t="inlineStr">
        <is>
          <t>2行 2列，源：                     备：12345678901234567890</t>
        </is>
      </c>
      <c r="BC16" s="0" t="inlineStr">
        <is>
          <t>4行 2列，源：9999-12-31 23:59:59.900000 备：9999-12-31 23:59:59.9</t>
        </is>
      </c>
      <c r="BD16" s="0" t="inlineStr">
        <is>
          <t>7行 0列，源：8 备：6</t>
        </is>
      </c>
      <c r="BE16" s="0" t="inlineStr">
        <is>
          <t>1行 5列，源：1900-01-01 00:00:00 备：2026-04-17 17:17:24.6306</t>
        </is>
      </c>
      <c r="BF16" s="0" t="inlineStr">
        <is>
          <t>4行 2列，源：9999-12-31 23:59:59.900000 备：9999-12-31 23:59:59.9</t>
        </is>
      </c>
      <c r="BG16" s="0" t="inlineStr">
        <is>
          <t>0行 13列，源：None 备：</t>
        </is>
      </c>
      <c r="BH16" s="0" t="inlineStr">
        <is>
          <t>3行 2列，源：b'                    ' 备：0000000000000000000000000000000000000000</t>
        </is>
      </c>
      <c r="BI16" s="0" t="inlineStr">
        <is>
          <t>1行 5列，源：1900-01-01 00:00:00 备：2026-04-17 17:17:33.4133</t>
        </is>
      </c>
      <c r="BJ16" s="0" t="inlineStr">
        <is>
          <t>1行 16列，源：1.2345669834560371e-20 备：</t>
        </is>
      </c>
      <c r="BL16" s="0" t="inlineStr">
        <is>
          <t xml:space="preserve">2行 2列，源：THIS IS A TESTCASEYF 备：更新生僻字               </t>
        </is>
      </c>
      <c r="BN16" s="0" t="inlineStr">
        <is>
          <t>4行 5列，源：2046-05-11 14:30:45.123500 备：2046-05-11 14:30:45.1235</t>
        </is>
      </c>
      <c r="BO16" s="0" t="inlineStr">
        <is>
          <t>2行 2列，源：                     备：12345678901234567890</t>
        </is>
      </c>
      <c r="BP16" s="0" t="inlineStr">
        <is>
          <t>3行 2列，源：b'                    ' 备：2020202020202020202020202020202020202020</t>
        </is>
      </c>
      <c r="BS16" s="0" t="inlineStr">
        <is>
          <t xml:space="preserve">4行 1列，源：测 备： </t>
        </is>
      </c>
      <c r="BT16" s="0" t="inlineStr">
        <is>
          <t>3行 2列，源：b'                    ' 备：0000000000000000000000000000000000000000</t>
        </is>
      </c>
      <c r="BV16" s="0" t="inlineStr">
        <is>
          <t>1行 5列，源：1900-01-01 00:00:00.0000 +00:00 备：2013-03-12 02:00:00.0000 -04:25</t>
        </is>
      </c>
      <c r="BX16" s="0" t="inlineStr">
        <is>
          <t>1行 5列，源：1900-01-01 00:00:00.0000 +00:00 备：2013-03-12 02:00:00.0000 -04:25</t>
        </is>
      </c>
      <c r="BY16" s="0" t="inlineStr">
        <is>
          <t>1行 5列，源：1900-01-01 00:00:00.0000 +00:00 备：2013-03-12 02:00:00.0000 -04:25</t>
        </is>
      </c>
      <c r="CA16" s="0" t="inlineStr">
        <is>
          <t>3行 2列，源：b'                    ' 备：2020202020202020202020202020202020202020</t>
        </is>
      </c>
      <c r="CB16" s="0" t="inlineStr">
        <is>
          <t>1行 5列，源：1900-01-01 00:00:00.0000 +00:00 备：2013-03-12 02:00:00.0000 -04:25</t>
        </is>
      </c>
      <c r="CC16" s="0" t="inlineStr">
        <is>
          <t xml:space="preserve">5行 3列，源：!@#$%^&amp;*()+{}:"&lt;&gt;?];\n!@#$%^&amp;*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CD16" s="0" t="inlineStr">
        <is>
          <t>2行 8列，源：None 备：</t>
        </is>
      </c>
      <c r="CE16" s="0" t="inlineStr">
        <is>
          <t>2行 4列，源：2000-05-11 00:30:45.123 +09:00 备：2025-05-12 00:00:00.000 -14:00</t>
        </is>
      </c>
      <c r="CF16" s="0" t="inlineStr">
        <is>
          <t>1行 5列，源：00:00:00 备：12:30:45.1235</t>
        </is>
      </c>
      <c r="CG16" s="0" t="inlineStr">
        <is>
          <t>8行 1列，源：9999-12-30 备：1990-05-11</t>
        </is>
      </c>
      <c r="CH16" s="0" t="inlineStr">
        <is>
          <t>1行 4列，源：2063-05-11 10:30:45.123 -04:00 备：9999-12-31 23:59:59.999 +00:00</t>
        </is>
      </c>
      <c r="CI16" s="0" t="inlineStr">
        <is>
          <t>7行 0列，源：8 备：6</t>
        </is>
      </c>
      <c r="CK16" s="0" t="inlineStr">
        <is>
          <t>3行 2列，源：b'This is a test strin' 备：546869732069732061207465737420737472696E</t>
        </is>
      </c>
      <c r="CL16" s="0" t="inlineStr">
        <is>
          <t>1行 4列，源：12:30:45 备：00:00:01.123</t>
        </is>
      </c>
      <c r="CM16" s="0" t="inlineStr">
        <is>
          <t>1行 16列，源：3.3999999521443642e+38 备：</t>
        </is>
      </c>
      <c r="CN16" s="0" t="inlineStr">
        <is>
          <t>7行 0列，源：8 备：11</t>
        </is>
      </c>
      <c r="CO16" s="0" t="inlineStr">
        <is>
          <t>3行 2列，源：b'                    ' 备：546869732069732061207465737420737472696E</t>
        </is>
      </c>
      <c r="CP16" s="0" t="inlineStr">
        <is>
          <t>7行 1列，源：2068-05-11 14:31:00 备：1900-01-01 00:00:00</t>
        </is>
      </c>
      <c r="CT16" s="0" t="inlineStr">
        <is>
          <t>1行 19列，源：True 备：1</t>
        </is>
      </c>
      <c r="CW16" s="0" t="inlineStr">
        <is>
          <t>7行 1列，源：0001-01-02 备：2020-02-29</t>
        </is>
      </c>
      <c r="DA16" s="0" t="inlineStr">
        <is>
          <t>1行 16列，源：3.3999999521443642e+38 备：</t>
        </is>
      </c>
      <c r="DB16" s="0" t="inlineStr">
        <is>
          <t>7行 0列，源：8 备：16</t>
        </is>
      </c>
      <c r="DC16" s="0" t="inlineStr">
        <is>
          <t>0行 16列，源：None 备：</t>
        </is>
      </c>
      <c r="DG16" s="0" t="inlineStr">
        <is>
          <t>6行 1列，源：1997-04-04 23:59:59.997000 备：2023-05-11 00:00:00.123</t>
        </is>
      </c>
      <c r="DH16" s="0" t="inlineStr">
        <is>
          <t>2行 2列，源：                     备：12345678901234567890</t>
        </is>
      </c>
      <c r="DJ16" s="0" t="inlineStr">
        <is>
          <t>1行 5列，源：00:00:00 备：12:30:45.1235</t>
        </is>
      </c>
      <c r="DL16" s="0" t="inlineStr">
        <is>
          <t>1行 5列，源：00:00:00 备：12:30:45.1235</t>
        </is>
      </c>
      <c r="DM16" s="0" t="inlineStr">
        <is>
          <t>0行 14列，源：None 备：</t>
        </is>
      </c>
      <c r="DN16" s="0" t="inlineStr">
        <is>
          <t>2行 2列，源：THIS IS A TESTCASEYF 备：更新生僻字</t>
        </is>
      </c>
      <c r="DP16" s="0" t="inlineStr">
        <is>
          <t>4行 2列，源：9999-12-31 23:59:59.900000 备：9999-12-31 23:59:59.9</t>
        </is>
      </c>
      <c r="DQ16" s="0" t="inlineStr">
        <is>
          <t>3行 2列，源：b'          ' 备：</t>
        </is>
      </c>
      <c r="DT16" s="0" t="inlineStr">
        <is>
          <t>1行 5列，源：00:00:00 备：12:30:45.1235</t>
        </is>
      </c>
      <c r="DU16" s="0" t="inlineStr">
        <is>
          <t>3行 2列，源：b'          ' 备：20202020202020202020</t>
        </is>
      </c>
      <c r="DV16" s="0" t="inlineStr">
        <is>
          <t>1行 10列，源：None 备：</t>
        </is>
      </c>
      <c r="DX16" s="0" t="inlineStr">
        <is>
          <t>1行 16列，源：3.3999999521443642e+38 备：</t>
        </is>
      </c>
      <c r="EA16" s="0" t="inlineStr">
        <is>
          <t>5行 4列，源：None 备：</t>
        </is>
      </c>
      <c r="EC16" s="0" t="inlineStr">
        <is>
          <t>1行 5列，源：00:00:00 备：12:30:45.1235</t>
        </is>
      </c>
      <c r="ED16" s="0" t="inlineStr">
        <is>
          <t>3行 2列，源：b'          ' 备：</t>
        </is>
      </c>
      <c r="EE16" s="0" t="inlineStr">
        <is>
          <t>14行 0列，源：15 备：8</t>
        </is>
      </c>
      <c r="EG16" s="0" t="inlineStr">
        <is>
          <t>2行 4列，源：23:59:59.999000 备：12:30:45.123</t>
        </is>
      </c>
      <c r="EH16" s="0" t="inlineStr">
        <is>
          <t>1行 16列，源：3.3999999521443642e+38 备：</t>
        </is>
      </c>
      <c r="EK16" s="0" t="inlineStr">
        <is>
          <t>2行 3列，源：12:30:45.120000 备：23:59:59.12</t>
        </is>
      </c>
      <c r="EN16" s="0" t="inlineStr">
        <is>
          <t>1行 7列，源：09:12:34.123457 备：12:30:45.123457</t>
        </is>
      </c>
      <c r="EO16" s="0" t="inlineStr">
        <is>
          <t>3行 2列，源：b'          ' 备：20202020202020202020</t>
        </is>
      </c>
      <c r="EP16" s="0" t="inlineStr">
        <is>
          <t>1行 16列，源：3.3999999521443642e+38 备：</t>
        </is>
      </c>
      <c r="EQ16" s="0" t="inlineStr">
        <is>
          <t>7行 1列，源：2068-05-11 14:31:00 备：1900-01-01 00:00:00</t>
        </is>
      </c>
      <c r="ER16" s="0" t="inlineStr">
        <is>
          <t>7行 1列，源：2068-05-11 14:31:00 备：2000-05-11 14:30:00</t>
        </is>
      </c>
      <c r="ES16" s="0" t="inlineStr">
        <is>
          <t>1行 16列，源：3.3999999521443642e+38 备：</t>
        </is>
      </c>
      <c r="ET16" s="0" t="inlineStr">
        <is>
          <t>1行 5列，源：1900-01-01 00:00:00.0000 +00:00 备：2013-03-12 02:00:00.0000 -04:25</t>
        </is>
      </c>
      <c r="EV16" s="0" t="inlineStr">
        <is>
          <t>7行 1列，源：2068-05-11 14:31:00 备：1900-01-01 00:00:00</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c_dtoffset_0列源备映射错误，源端为datetimeoffset None位	期望更改为text	实际备端为datetimeoffset None位</t>
        </is>
      </c>
      <c r="AC17" s="0" t="inlineStr">
        <is>
          <t>8行 0列，源：9 备：28</t>
        </is>
      </c>
      <c r="AD17" s="0" t="inlineStr">
        <is>
          <t>3行 3列，源：b'                                                                                                                                                                                                        ' 备：</t>
        </is>
      </c>
      <c r="AF17" s="0" t="inlineStr">
        <is>
          <t>8行 0列，源：9 备：4</t>
        </is>
      </c>
      <c r="AH17" s="0" t="inlineStr">
        <is>
          <t>1行 5列，源：2003-11-05 02:00:00.0000 -05:10 备：2025-05-12 00:00:00.0000 -14:00</t>
        </is>
      </c>
      <c r="AI17" s="0" t="inlineStr">
        <is>
          <t>2行 2列，源：                     备：12345678901234567890</t>
        </is>
      </c>
      <c r="AM17" s="0" t="inlineStr">
        <is>
          <t>2行 6列，源：None 备：</t>
        </is>
      </c>
      <c r="AO17" s="0" t="inlineStr">
        <is>
          <t>7行 1列，源：2068-05-11 14:30:30 备：2002-06-11 23:59:59.993</t>
        </is>
      </c>
      <c r="AP17" s="0" t="inlineStr">
        <is>
          <t>7行 1列，源：2068-05-11 14:30:30 备：1999-06-06 23:59:59.997</t>
        </is>
      </c>
      <c r="AQ17" s="0" t="inlineStr">
        <is>
          <t>3行 3列，源：b'                                                                                                                                                                                                        ' 备：</t>
        </is>
      </c>
      <c r="AR17" s="0" t="inlineStr">
        <is>
          <t>7行 1列，源：2068-05-11 14:30:30 备：2002-06-11 23:59:59.993</t>
        </is>
      </c>
      <c r="AS17" s="0" t="inlineStr">
        <is>
          <t>2行 7列，源：None 备：</t>
        </is>
      </c>
      <c r="AT17" s="0" t="inlineStr">
        <is>
          <t>8行 0列，源：9 备：111</t>
        </is>
      </c>
      <c r="AU17" s="0" t="inlineStr">
        <is>
          <t xml:space="preserve">4行 1列，源：测 备： </t>
        </is>
      </c>
      <c r="AV17" s="0" t="inlineStr">
        <is>
          <t>7行 1列，源：9999-12-31 23:59:59.997000 备：9999-12-31 23:59:59.997</t>
        </is>
      </c>
      <c r="AX17" s="0" t="inlineStr">
        <is>
          <t>8行 0列，源：9 备：17</t>
        </is>
      </c>
      <c r="AZ17" s="0" t="inlineStr">
        <is>
          <t>2行 2列，源：                     备：12345678901234567890</t>
        </is>
      </c>
      <c r="BC17" s="0" t="inlineStr">
        <is>
          <t>4行 3列，源：9999-12-31 23:59:59.990000 备：9999-12-31 23:59:59.99</t>
        </is>
      </c>
      <c r="BD17" s="0" t="inlineStr">
        <is>
          <t>7行 1列，源：0001-01-02 备：2020-02-29</t>
        </is>
      </c>
      <c r="BE17" s="0" t="inlineStr">
        <is>
          <t>1行 6列，源：1900-01-01 00:00:00 备：2026-04-17 17:17:24.63065</t>
        </is>
      </c>
      <c r="BF17" s="0" t="inlineStr">
        <is>
          <t>4行 3列，源：9999-12-31 23:59:59.990000 备：9999-12-31 23:59:59.99</t>
        </is>
      </c>
      <c r="BG17" s="0" t="inlineStr">
        <is>
          <t>0行 14列，源：None 备：</t>
        </is>
      </c>
      <c r="BH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I17" s="0" t="inlineStr">
        <is>
          <t>1行 6列，源：1900-01-01 00:00:00 备：2026-04-17 17:17:33.41330</t>
        </is>
      </c>
      <c r="BJ17" s="0" t="inlineStr">
        <is>
          <t>1行 19列，源：True 备：1</t>
        </is>
      </c>
      <c r="BL17" s="0" t="inlineStr">
        <is>
          <t xml:space="preserve">2行 2列，源：THIS IS A TESTCASEYF 备：更新生僻字               </t>
        </is>
      </c>
      <c r="BN17" s="0" t="inlineStr">
        <is>
          <t>4行 6列，源：2046-05-11 14:30:45.123460 备：2046-05-11 14:30:45.12346</t>
        </is>
      </c>
      <c r="BO17" s="0" t="inlineStr">
        <is>
          <t>2行 2列，源：                     备：12345678901234567890</t>
        </is>
      </c>
      <c r="BP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S17" s="0" t="inlineStr">
        <is>
          <t xml:space="preserve">4行 1列，源：测 备： </t>
        </is>
      </c>
      <c r="BT17" s="0" t="inlineStr">
        <is>
          <t>3行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7" s="0" t="inlineStr">
        <is>
          <t>1行 6列，源：1900-01-01 00:00:00.00000 +00:00 备：2013-03-12 02:00:00.00000 -04:25</t>
        </is>
      </c>
      <c r="BX17" s="0" t="inlineStr">
        <is>
          <t>1行 6列，源：1900-01-01 00:00:00.00000 +00:00 备：2013-03-12 02:00:00.00000 -04:25</t>
        </is>
      </c>
      <c r="BY17" s="0" t="inlineStr">
        <is>
          <t>1行 6列，源：1900-01-01 00:00:00.00000 +00:00 备：2013-03-12 02:00:00.00000 -04:25</t>
        </is>
      </c>
      <c r="CA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B17" s="0" t="inlineStr">
        <is>
          <t>1行 6列，源：1900-01-01 00:00:00.00000 +00:00 备：2013-03-12 02:00:00.00000 -04:25</t>
        </is>
      </c>
      <c r="CD17" s="0" t="inlineStr">
        <is>
          <t>3行 0列，源：4 备：12</t>
        </is>
      </c>
      <c r="CE17" s="0" t="inlineStr">
        <is>
          <t>2行 5列，源：2000-05-11 00:30:45.1235 +09:00 备：2025-05-12 00:00:00.0000 -14:00</t>
        </is>
      </c>
      <c r="CF17" s="0" t="inlineStr">
        <is>
          <t>1行 6列，源：00:00:00 备：12:30:45.12346</t>
        </is>
      </c>
      <c r="CG17" s="0" t="inlineStr">
        <is>
          <t>9行 0列，源：10 备：177</t>
        </is>
      </c>
      <c r="CH17" s="0" t="inlineStr">
        <is>
          <t>1行 5列，源：2063-05-11 10:30:45.1235 -04:00 备：9999-12-31 23:59:59.9999 +00:00</t>
        </is>
      </c>
      <c r="CI17" s="0" t="inlineStr">
        <is>
          <t>7行 1列，源：0001-01-02 备：2020-02-29</t>
        </is>
      </c>
      <c r="CK17" s="0" t="inlineStr">
        <is>
          <t>3行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17" s="0" t="inlineStr">
        <is>
          <t>1行 5列，源：12:30:45 备：</t>
        </is>
      </c>
      <c r="CM17" s="0" t="inlineStr">
        <is>
          <t>1行 19列，源：True 备：</t>
        </is>
      </c>
      <c r="CN17" s="0" t="inlineStr">
        <is>
          <t>7行 1列，源：0001-01-02 备：2068-06-01</t>
        </is>
      </c>
      <c r="CO17" s="0" t="inlineStr">
        <is>
          <t>3行 3列，源：b'                                                                                                                                                                                                        '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P17" s="0" t="inlineStr">
        <is>
          <t>8行 0列，源：9 备：4</t>
        </is>
      </c>
      <c r="CT17" s="0" t="inlineStr">
        <is>
          <t>2行 1列，源：0.0 备：0</t>
        </is>
      </c>
      <c r="CW17" s="0" t="inlineStr">
        <is>
          <t>8行 0列，源：9 备：7</t>
        </is>
      </c>
      <c r="DA17" s="0" t="inlineStr">
        <is>
          <t>1行 19列，源：True 备：</t>
        </is>
      </c>
      <c r="DB17" s="0" t="inlineStr">
        <is>
          <t>7行 1列，源：2068-05-11 14:30:30 备：2002-06-11 23:59:59.993</t>
        </is>
      </c>
      <c r="DC17" s="0" t="inlineStr">
        <is>
          <t>0行 17列，源：None 备：</t>
        </is>
      </c>
      <c r="DG17" s="0" t="inlineStr">
        <is>
          <t>7行 0列，源：12 备：22</t>
        </is>
      </c>
      <c r="DH17" s="0" t="inlineStr">
        <is>
          <t>2行 2列，源：                     备：12345678901234567890</t>
        </is>
      </c>
      <c r="DJ17" s="0" t="inlineStr">
        <is>
          <t>1行 6列，源：00:00:00 备：12:30:45.12346</t>
        </is>
      </c>
      <c r="DL17" s="0" t="inlineStr">
        <is>
          <t>1行 6列，源：00:00:00 备：12:30:45.12346</t>
        </is>
      </c>
      <c r="DM17" s="0" t="inlineStr">
        <is>
          <t>0行 15列，源：None 备：</t>
        </is>
      </c>
      <c r="DN17" s="0" t="inlineStr">
        <is>
          <t>2行 2列，源：THIS IS A TESTCASEYF 备：更新生僻字</t>
        </is>
      </c>
      <c r="DP17" s="0" t="inlineStr">
        <is>
          <t>4行 3列，源：9999-12-31 23:59:59.990000 备：9999-12-31 23:59:59.99</t>
        </is>
      </c>
      <c r="DQ17" s="0" t="inlineStr">
        <is>
          <t>3行 3列，源：b'                                                                                                                                                                                                        ' 备：</t>
        </is>
      </c>
      <c r="DT17" s="0" t="inlineStr">
        <is>
          <t>1行 6列，源：00:00:00 备：12:30:45.12346</t>
        </is>
      </c>
      <c r="DU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V17" s="0" t="inlineStr">
        <is>
          <t>1行 11列，源：None 备：</t>
        </is>
      </c>
      <c r="DX17" s="0" t="inlineStr">
        <is>
          <t>1行 19列，源：True 备：</t>
        </is>
      </c>
      <c r="EA17" s="0" t="inlineStr">
        <is>
          <t>5行 5列，源：None 备：</t>
        </is>
      </c>
      <c r="EC17" s="0" t="inlineStr">
        <is>
          <t>1行 6列，源：00:00:00 备：12:30:45.12346</t>
        </is>
      </c>
      <c r="ED17" s="0" t="inlineStr">
        <is>
          <t>3行 3列，源：b'                                                                                                                                                                                                        ' 备：</t>
        </is>
      </c>
      <c r="EE17" s="0" t="inlineStr">
        <is>
          <t>15行 0列，源：16 备：9</t>
        </is>
      </c>
      <c r="EG17" s="0" t="inlineStr">
        <is>
          <t>2行 5列，源：23:59:59.999900 备：12:30:45.1235</t>
        </is>
      </c>
      <c r="EH17" s="0" t="inlineStr">
        <is>
          <t>1行 19列，源：True 备：</t>
        </is>
      </c>
      <c r="EK17" s="0" t="inlineStr">
        <is>
          <t>2行 4列，源：12:30:45.123000 备：23:59:59.123</t>
        </is>
      </c>
      <c r="EN17" s="0" t="inlineStr">
        <is>
          <t>2行 0列，源：9 备：12</t>
        </is>
      </c>
      <c r="EO17" s="0" t="inlineStr">
        <is>
          <t>3行 3列，源：b'                                                                                                                                                                                                        '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P17" s="0" t="inlineStr">
        <is>
          <t>1行 19列，源：True 备：</t>
        </is>
      </c>
      <c r="EQ17" s="0" t="inlineStr">
        <is>
          <t>8行 0列，源：9 备：4</t>
        </is>
      </c>
      <c r="ER17" s="0" t="inlineStr">
        <is>
          <t>8行 0列，源：9 备：128</t>
        </is>
      </c>
      <c r="ES17" s="0" t="inlineStr">
        <is>
          <t>1行 19列，源：True 备：</t>
        </is>
      </c>
      <c r="ET17" s="0" t="inlineStr">
        <is>
          <t>1行 6列，源：1900-01-01 00:00:00.00000 +00:00 备：2013-03-12 02:00:00.00000 -04:25</t>
        </is>
      </c>
      <c r="EV17" s="0" t="inlineStr">
        <is>
          <t>8行 0列，源：9 备：4</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c_dtoffset_1列源备映射错误，源端为datetimeoffset None位	期望更改为text	实际备端为datetimeoffset None位</t>
        </is>
      </c>
      <c r="AC18" s="0" t="inlineStr">
        <is>
          <t>8行 1列，源：1981-05-11 14:31:00 备：2068-05-11 14:31:00</t>
        </is>
      </c>
      <c r="AD18" s="0" t="inlineStr">
        <is>
          <t>4行 0列，源：5 备：4</t>
        </is>
      </c>
      <c r="AF18" s="0" t="inlineStr">
        <is>
          <t>8行 1列，源：2079-06-05 23:59:00 备：2079-06-06 23:59:00</t>
        </is>
      </c>
      <c r="AH18" s="0" t="inlineStr">
        <is>
          <t>1行 6列，源：2003-11-05 02:00:00.00000 -05:10 备：2025-05-12 00:00:00.00000 -14:00</t>
        </is>
      </c>
      <c r="AI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8" s="0" t="inlineStr">
        <is>
          <t>2行 7列，源：None 备：</t>
        </is>
      </c>
      <c r="AO18" s="0" t="inlineStr">
        <is>
          <t>8行 0列，源：9 备：17</t>
        </is>
      </c>
      <c r="AP18" s="0" t="inlineStr">
        <is>
          <t>8行 0列，源：9 备：14</t>
        </is>
      </c>
      <c r="AQ18" s="0" t="inlineStr">
        <is>
          <t>4行 0列，源：5 备：4</t>
        </is>
      </c>
      <c r="AR18" s="0" t="inlineStr">
        <is>
          <t>8行 0列，源：9 备：17</t>
        </is>
      </c>
      <c r="AS18" s="0" t="inlineStr">
        <is>
          <t>2行 8列，源：None 备：</t>
        </is>
      </c>
      <c r="AT18" s="0" t="inlineStr">
        <is>
          <t>8行 1列，源：1981-05-11 14:30:59 备：1997-04-04 23:59:59.997</t>
        </is>
      </c>
      <c r="AU18" s="0" t="inlineStr">
        <is>
          <t xml:space="preserve">4行 2列，源：这是一个中文字符串            备：                    </t>
        </is>
      </c>
      <c r="AV18" s="0" t="inlineStr">
        <is>
          <t>8行 0列，源：9 备：17</t>
        </is>
      </c>
      <c r="AX18" s="0" t="inlineStr">
        <is>
          <t>8行 1列，源：2020-02-29 19:27:31.123000 备：2003-11-04 23:59:59.990</t>
        </is>
      </c>
      <c r="AZ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C18" s="0" t="inlineStr">
        <is>
          <t>4行 4列，源：9999-12-31 23:59:59.999000 备：9999-12-31 23:59:59.999</t>
        </is>
      </c>
      <c r="BD18" s="0" t="inlineStr">
        <is>
          <t>8行 0列，源：9 备：7</t>
        </is>
      </c>
      <c r="BE18" s="0" t="inlineStr">
        <is>
          <t>1行 7列，源：1900-01-01 00:00:00 备：2026-04-17 17:17:24.630647</t>
        </is>
      </c>
      <c r="BF18" s="0" t="inlineStr">
        <is>
          <t>4行 4列，源：9999-12-31 23:59:59.999000 备：9999-12-31 23:59:59.999</t>
        </is>
      </c>
      <c r="BG18" s="0" t="inlineStr">
        <is>
          <t>0行 15列，源：nan 备：</t>
        </is>
      </c>
      <c r="BH18" s="0" t="inlineStr">
        <is>
          <t>4行 0列，源：5 备：4</t>
        </is>
      </c>
      <c r="BI18" s="0" t="inlineStr">
        <is>
          <t>1行 7列，源：1900-01-01 00:00:00 备：2026-04-17 17:17:33.413301</t>
        </is>
      </c>
      <c r="BJ18" s="0" t="inlineStr">
        <is>
          <t>2行 0列，源：3 备：11</t>
        </is>
      </c>
      <c r="BL18"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P18" s="0" t="inlineStr">
        <is>
          <t>4行 0列，源：5 备：125</t>
        </is>
      </c>
      <c r="BS18" s="0" t="inlineStr">
        <is>
          <t xml:space="preserve">4行 2列，源：这是一个中文字符串 备：          </t>
        </is>
      </c>
      <c r="BT18" s="0" t="inlineStr">
        <is>
          <t>4行 0列，源：5 备：4</t>
        </is>
      </c>
      <c r="BV18" s="0" t="inlineStr">
        <is>
          <t>1行 7列，源：1900-01-01 00:00:00.000000 +00:00 备：2013-03-12 02:00:00.000000 -04:25</t>
        </is>
      </c>
      <c r="BX18" s="0" t="inlineStr">
        <is>
          <t>1行 7列，源：1900-01-01 00:00:00.000000 +00:00 备：2013-03-12 02:00:00.000000 -04:25</t>
        </is>
      </c>
      <c r="BY18" s="0" t="inlineStr">
        <is>
          <t>1行 7列，源：1900-01-01 00:00:00.000000 +00:00 备：2013-03-12 02:00:00.000000 -04:25</t>
        </is>
      </c>
      <c r="CA18" s="0" t="inlineStr">
        <is>
          <t>4行 0列，源：5 备：105</t>
        </is>
      </c>
      <c r="CB18" s="0" t="inlineStr">
        <is>
          <t>1行 7列，源：1900-01-01 00:00:00.000000 +00:00 备：2013-03-12 02:00:00.000000 -04:25</t>
        </is>
      </c>
      <c r="CD18" s="0" t="inlineStr">
        <is>
          <t>3行 2列，源：None 备：</t>
        </is>
      </c>
      <c r="CE18" s="0" t="inlineStr">
        <is>
          <t>2行 6列，源：2000-05-11 00:30:45.12346 +09:00 备：2025-05-12 00:00:00.00000 -14:00</t>
        </is>
      </c>
      <c r="CF18" s="0" t="inlineStr">
        <is>
          <t>1行 7列，源：00:00:00 备：12:30:45.123456</t>
        </is>
      </c>
      <c r="CG18" s="0" t="inlineStr">
        <is>
          <t>9行 1列，源：1990-05-11 备：1970-01-01</t>
        </is>
      </c>
      <c r="CH18" s="0" t="inlineStr">
        <is>
          <t>1行 6列，源：2063-05-11 10:30:45.12346 -04:00 备：9999-12-31 23:59:59.99999 +00:00</t>
        </is>
      </c>
      <c r="CI18" s="0" t="inlineStr">
        <is>
          <t>8行 0列，源：9 备：7</t>
        </is>
      </c>
      <c r="CK18" s="0" t="inlineStr">
        <is>
          <t>4行 0列，源：5 备：4</t>
        </is>
      </c>
      <c r="CL18" s="0" t="inlineStr">
        <is>
          <t>1行 6列，源：12:30:45 备：00:00:01.12346</t>
        </is>
      </c>
      <c r="CM18" s="0" t="inlineStr">
        <is>
          <t>2行 0列，源：3 备：11</t>
        </is>
      </c>
      <c r="CN18" s="0" t="inlineStr">
        <is>
          <t>8行 0列，源：9 备：110</t>
        </is>
      </c>
      <c r="CO18" s="0" t="inlineStr">
        <is>
          <t>4行 0列，源：5 备：4</t>
        </is>
      </c>
      <c r="CP18" s="0" t="inlineStr">
        <is>
          <t>8行 1列，源：1981-05-11 14:31:00 备：2079-06-06 23:59:00</t>
        </is>
      </c>
      <c r="CT18" s="0" t="inlineStr">
        <is>
          <t>2行 2列，源：0.0 备：0</t>
        </is>
      </c>
      <c r="CW18" s="0" t="inlineStr">
        <is>
          <t>8行 1列，源：1990-12-31 备：1970-01-01</t>
        </is>
      </c>
      <c r="DA18" s="0" t="inlineStr">
        <is>
          <t>2行 0列，源：5 备：12</t>
        </is>
      </c>
      <c r="DB18" s="0" t="inlineStr">
        <is>
          <t>8行 0列，源：9 备：17</t>
        </is>
      </c>
      <c r="DC18" s="0" t="inlineStr">
        <is>
          <t>0行 18列，源：None 备：</t>
        </is>
      </c>
      <c r="DG18" s="0" t="inlineStr">
        <is>
          <t>7行 1列，源：1998-05-05 23:59:59.997000 备：2024-05-11 12:00:00.567</t>
        </is>
      </c>
      <c r="DH18"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J18" s="0" t="inlineStr">
        <is>
          <t>1行 7列，源：00:00:00 备：12:30:45.123456</t>
        </is>
      </c>
      <c r="DL18" s="0" t="inlineStr">
        <is>
          <t>1行 7列，源：00:00:00 备：12:30:45.123456</t>
        </is>
      </c>
      <c r="DM18" s="0" t="inlineStr">
        <is>
          <t>0行 16列，源：None 备：</t>
        </is>
      </c>
      <c r="DN18"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8" s="0" t="inlineStr">
        <is>
          <t>4行 4列，源：9999-12-31 23:59:59.999000 备：9999-12-31 23:59:59.999</t>
        </is>
      </c>
      <c r="DQ18" s="0" t="inlineStr">
        <is>
          <t>4行 0列，源：5 备：4</t>
        </is>
      </c>
      <c r="DT18" s="0" t="inlineStr">
        <is>
          <t>1行 7列，源：00:00:00 备：12:30:45.123456</t>
        </is>
      </c>
      <c r="DU18" s="0" t="inlineStr">
        <is>
          <t>4行 0列，源：5 备：125</t>
        </is>
      </c>
      <c r="DV18" s="0" t="inlineStr">
        <is>
          <t>1行 12列，源：None 备：</t>
        </is>
      </c>
      <c r="DX18" s="0" t="inlineStr">
        <is>
          <t>2行 0列，源：3 备：11</t>
        </is>
      </c>
      <c r="EA18" s="0" t="inlineStr">
        <is>
          <t>5行 6列，源：None 备：</t>
        </is>
      </c>
      <c r="EC18" s="0" t="inlineStr">
        <is>
          <t>1行 7列，源：00:00:00 备：12:30:45.123456</t>
        </is>
      </c>
      <c r="ED18" s="0" t="inlineStr">
        <is>
          <t>4行 0列，源：5 备：4</t>
        </is>
      </c>
      <c r="EG18" s="0" t="inlineStr">
        <is>
          <t>2行 6列，源：23:59:59.999990 备：12:30:45.12346</t>
        </is>
      </c>
      <c r="EH18" s="0" t="inlineStr">
        <is>
          <t>2行 0列，源：3 备：101</t>
        </is>
      </c>
      <c r="EK18" s="0" t="inlineStr">
        <is>
          <t>2行 5列，源：12:30:45.123500 备：23:59:59.1235</t>
        </is>
      </c>
      <c r="EN18" s="0" t="inlineStr">
        <is>
          <t>2行 1列，源：12:30:45 备：23:59:59</t>
        </is>
      </c>
      <c r="EO18" s="0" t="inlineStr">
        <is>
          <t>4行 0列，源：5 备：105</t>
        </is>
      </c>
      <c r="EP18" s="0" t="inlineStr">
        <is>
          <t>2行 0列，源：3 备：11</t>
        </is>
      </c>
      <c r="EQ18" s="0" t="inlineStr">
        <is>
          <t>8行 1列，源：1981-05-11 14:31:00 备：2079-06-06 23:59:00</t>
        </is>
      </c>
      <c r="ER18" s="0" t="inlineStr">
        <is>
          <t>8行 1列，源：1981-05-11 14:31:00 备：2068-05-11 14:31:00</t>
        </is>
      </c>
      <c r="ES18" s="0" t="inlineStr">
        <is>
          <t>2行 0列，源：3 备：101</t>
        </is>
      </c>
      <c r="ET18" s="0" t="inlineStr">
        <is>
          <t>1行 7列，源：1900-01-01 00:00:00.000000 +00:00 备：2013-03-12 02:00:00.000000 -04:25</t>
        </is>
      </c>
      <c r="EV18" s="0" t="inlineStr">
        <is>
          <t>8行 1列，源：1981-05-11 14:31:00 备：2079-06-06 23:59:00</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c_dtoffset_2列源备映射错误，源端为datetimeoffset None位	期望更改为text	实际备端为datetimeoffset None位</t>
        </is>
      </c>
      <c r="AC19" s="0" t="inlineStr">
        <is>
          <t>9行 0列，源：10 备：29</t>
        </is>
      </c>
      <c r="AD19" s="0" t="inlineStr">
        <is>
          <t>4行 1列，源：b'A' 备：20</t>
        </is>
      </c>
      <c r="AF19" s="0" t="inlineStr">
        <is>
          <t>9行 0列，源：10 备：5</t>
        </is>
      </c>
      <c r="AH19" s="0" t="inlineStr">
        <is>
          <t>1行 7列，源：2003-11-05 02:00:00.000000 -05:10 备：2025-05-12 00:00:00.000000 -14:00</t>
        </is>
      </c>
      <c r="AI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AM19" s="0" t="inlineStr">
        <is>
          <t>2行 8列，源：None 备：</t>
        </is>
      </c>
      <c r="AO19" s="0" t="inlineStr">
        <is>
          <t>8行 1列，源：1981-05-11 14:30:59 备：2003-11-04 23:59:59.990</t>
        </is>
      </c>
      <c r="AP19" s="0" t="inlineStr">
        <is>
          <t>8行 1列，源：1981-05-11 14:30:59 备：2000-05-01 23:59:59.993</t>
        </is>
      </c>
      <c r="AQ19" s="0" t="inlineStr">
        <is>
          <t>4行 1列，源：b'A' 备：20</t>
        </is>
      </c>
      <c r="AR19" s="0" t="inlineStr">
        <is>
          <t>8行 1列，源：1981-05-11 14:30:59 备：2003-11-04 23:59:59.990</t>
        </is>
      </c>
      <c r="AS19" s="0" t="inlineStr">
        <is>
          <t>2行 10列，源：None 备：</t>
        </is>
      </c>
      <c r="AT19" s="0" t="inlineStr">
        <is>
          <t>9行 0列，源：10 备：112</t>
        </is>
      </c>
      <c r="AU19" s="0" t="inlineStr">
        <is>
          <t xml:space="preserve">4行 2列，源：这是一个中文字符串            备：                    </t>
        </is>
      </c>
      <c r="AV19" s="0" t="inlineStr">
        <is>
          <t>8行 1列，源：9999-12-31 23:59:59.997000 备：9999-12-31 23:59:59.997</t>
        </is>
      </c>
      <c r="AX19" s="0" t="inlineStr">
        <is>
          <t>9行 0列，源：10 备：18</t>
        </is>
      </c>
      <c r="AZ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C19" s="0" t="inlineStr">
        <is>
          <t>4行 5列，源：9999-12-31 23:59:59.999900 备：9999-12-31 23:59:59.9999</t>
        </is>
      </c>
      <c r="BD19" s="0" t="inlineStr">
        <is>
          <t>8行 1列，源：9999-12-30 备：1970-01-01</t>
        </is>
      </c>
      <c r="BE19" s="0" t="inlineStr">
        <is>
          <t>1行 8列，源：1900-01-01 00:00:00 备：2026-04-17 17:17:24.6306467</t>
        </is>
      </c>
      <c r="BF19" s="0" t="inlineStr">
        <is>
          <t>4行 5列，源：9999-12-31 23:59:59.999900 备：9999-12-31 23:59:59.9999</t>
        </is>
      </c>
      <c r="BG19" s="0" t="inlineStr">
        <is>
          <t>0行 16列，源：nan 备：</t>
        </is>
      </c>
      <c r="BH19" s="0" t="inlineStr">
        <is>
          <t>4行 1列，源：b'A' 备：20</t>
        </is>
      </c>
      <c r="BI19" s="0" t="inlineStr">
        <is>
          <t>1行 8列，源：1900-01-01 00:00:00 备：2026-04-17 17:17:33.4133005</t>
        </is>
      </c>
      <c r="BJ19" s="0" t="inlineStr">
        <is>
          <t>2行 1列，源：100.0 备：200</t>
        </is>
      </c>
      <c r="BL19" s="0" t="inlineStr">
        <is>
          <t xml:space="preserve">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BP19" s="0" t="inlineStr">
        <is>
          <t>4行 1列，源：b'A' 备：41</t>
        </is>
      </c>
      <c r="BS19" s="0" t="inlineStr">
        <is>
          <t xml:space="preserve">4行 2列，源：这是一个中文字符串 备：          </t>
        </is>
      </c>
      <c r="BT19" s="0" t="inlineStr">
        <is>
          <t>4行 1列，源：b'A' 备：20</t>
        </is>
      </c>
      <c r="BV19" s="0" t="inlineStr">
        <is>
          <t>1行 8列，源：1900-01-01 00:00:00.0000000 +00:00 备：2013-03-12 02:00:00.0000000 -04:25</t>
        </is>
      </c>
      <c r="BX19" s="0" t="inlineStr">
        <is>
          <t>1行 8列，源：1900-01-01 00:00:00.0000000 +00:00 备：2013-03-12 02:00:00.0000000 -04:25</t>
        </is>
      </c>
      <c r="BY19" s="0" t="inlineStr">
        <is>
          <t>1行 8列，源：1900-01-01 00:00:00.0000000 +00:00 备：2013-03-12 02:00:00.0000000 -04:25</t>
        </is>
      </c>
      <c r="CA19" s="0" t="inlineStr">
        <is>
          <t>4行 1列，源：b'A' 备：41</t>
        </is>
      </c>
      <c r="CB19" s="0" t="inlineStr">
        <is>
          <t>1行 8列，源：1900-01-01 00:00:00.0000000 +00:00 备：2013-03-12 02:00:00.0000000 -04:25</t>
        </is>
      </c>
      <c r="CD19" s="0" t="inlineStr">
        <is>
          <t>3行 4列，源：None 备：</t>
        </is>
      </c>
      <c r="CE19" s="0" t="inlineStr">
        <is>
          <t>2行 7列，源：2000-05-11 00:30:45.123457 +09:00 备：2025-05-12 00:00:00.000000 -14:00</t>
        </is>
      </c>
      <c r="CF19" s="0" t="inlineStr">
        <is>
          <t>1行 8列，源：00:00:00 备：12:30:45.1234560</t>
        </is>
      </c>
      <c r="CG19" s="0" t="inlineStr">
        <is>
          <t>10行 0列，源：11 备：178</t>
        </is>
      </c>
      <c r="CH19" s="0" t="inlineStr">
        <is>
          <t>1行 7列，源：2063-05-11 10:30:45.123457 -04:00 备：9999-12-31 23:59:59.999999 +00:00</t>
        </is>
      </c>
      <c r="CI19" s="0" t="inlineStr">
        <is>
          <t>8行 1列，源：9999-12-30 备：1970-01-01</t>
        </is>
      </c>
      <c r="CK19" s="0" t="inlineStr">
        <is>
          <t>4行 1列，源：b'X' 备：58</t>
        </is>
      </c>
      <c r="CL19" s="0" t="inlineStr">
        <is>
          <t>1行 7列，源：12:30:45 备：</t>
        </is>
      </c>
      <c r="CM19" s="0" t="inlineStr">
        <is>
          <t>2行 1列，源：0.0 备：</t>
        </is>
      </c>
      <c r="CN19" s="0" t="inlineStr">
        <is>
          <t>8行 1列，源：9999-12-30 备：1990-05-11</t>
        </is>
      </c>
      <c r="CO19" s="0" t="inlineStr">
        <is>
          <t>4行 1列，源：b'A' 备：20</t>
        </is>
      </c>
      <c r="CP19" s="0" t="inlineStr">
        <is>
          <t>9行 0列，源：10 备：5</t>
        </is>
      </c>
      <c r="CT19" s="0" t="inlineStr">
        <is>
          <t>2行 3列，源：0.0 备：0</t>
        </is>
      </c>
      <c r="CW19" s="0" t="inlineStr">
        <is>
          <t>9行 0列，源：10 备：8</t>
        </is>
      </c>
      <c r="DA19" s="0" t="inlineStr">
        <is>
          <t>2行 1列，源：123.0 备：</t>
        </is>
      </c>
      <c r="DB19" s="0" t="inlineStr">
        <is>
          <t>8行 1列，源：1981-05-11 14:30:59 备：2003-11-04 23:59:59.990</t>
        </is>
      </c>
      <c r="DC19" s="0" t="inlineStr">
        <is>
          <t>0行 19列，源：None 备：</t>
        </is>
      </c>
      <c r="DG19" s="0" t="inlineStr">
        <is>
          <t>8行 0列，源：13 备：23</t>
        </is>
      </c>
      <c r="DH19" s="0" t="inlineStr">
        <is>
          <t>2行 3列，源：                                                                                                                                                                                                                                                                                                                                                                                                                                                                                                                                                                                                                                                                                                                                                                                                                                                                                                                                                                                                                                                                                                                                                                                                                                                                                                                                                                                                                                                                                                                                                                                                                                                                                                                                                                                                                                                                                                                                                                                                                                                                                                                                                                                                                                                                                                                                                                                                                                                                                                                                                                                                                                                                                                                                                                                                                                                                                                                                                                                                                                                                                                                                                                                                                                                                                                                                                                                                                                                                                                                                                                                                                                                                                                                                                                                                                                                                                                                                                                                                                                                                                                                                                                 备：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t>
        </is>
      </c>
      <c r="DJ19" s="0" t="inlineStr">
        <is>
          <t>1行 8列，源：00:00:00 备：12:30:45.1234560</t>
        </is>
      </c>
      <c r="DL19" s="0" t="inlineStr">
        <is>
          <t>1行 8列，源：00:00:00 备：12:30:45.1234560</t>
        </is>
      </c>
      <c r="DM19" s="0" t="inlineStr">
        <is>
          <t>0行 17列，源：None 备：</t>
        </is>
      </c>
      <c r="DN19" s="0" t="inlineStr">
        <is>
          <t>2行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19" s="0" t="inlineStr">
        <is>
          <t>4行 5列，源：9999-12-31 23:59:59.999900 备：9999-12-31 23:59:59.9999</t>
        </is>
      </c>
      <c r="DQ19" s="0" t="inlineStr">
        <is>
          <t>4行 1列，源：b'A' 备：20</t>
        </is>
      </c>
      <c r="DT19" s="0" t="inlineStr">
        <is>
          <t>1行 8列，源：00:00:00 备：12:30:45.1234560</t>
        </is>
      </c>
      <c r="DU19" s="0" t="inlineStr">
        <is>
          <t>4行 1列，源：b'A' 备：41</t>
        </is>
      </c>
      <c r="DV19" s="0" t="inlineStr">
        <is>
          <t>1行 13列，源：None 备：</t>
        </is>
      </c>
      <c r="DX19" s="0" t="inlineStr">
        <is>
          <t>2行 1列，源：nan 备：200</t>
        </is>
      </c>
      <c r="EA19" s="0" t="inlineStr">
        <is>
          <t>5行 7列，源：None 备：</t>
        </is>
      </c>
      <c r="EC19" s="0" t="inlineStr">
        <is>
          <t>1行 8列，源：00:00:00 备：12:30:45.1234560</t>
        </is>
      </c>
      <c r="ED19" s="0" t="inlineStr">
        <is>
          <t>4行 1列，源：b'A' 备：20</t>
        </is>
      </c>
      <c r="EG19" s="0" t="inlineStr">
        <is>
          <t>2行 7列，源：23:59:59.999999 备：12:30:45.123457</t>
        </is>
      </c>
      <c r="EH19" s="0" t="inlineStr">
        <is>
          <t>2行 1列，源：nan 备：</t>
        </is>
      </c>
      <c r="EK19" s="0" t="inlineStr">
        <is>
          <t>2行 6列，源：12:30:45.123450 备：23:59:59.12346</t>
        </is>
      </c>
      <c r="EN19" s="0" t="inlineStr">
        <is>
          <t>2行 2列，源：12:30:45.100000 备：23:59:59.1</t>
        </is>
      </c>
      <c r="EO19" s="0" t="inlineStr">
        <is>
          <t>4行 1列，源：b'A' 备：41</t>
        </is>
      </c>
      <c r="EP19" s="0" t="inlineStr">
        <is>
          <t>2行 1列，源：nan 备：200</t>
        </is>
      </c>
      <c r="EQ19" s="0" t="inlineStr">
        <is>
          <t>9行 0列，源：10 备：5</t>
        </is>
      </c>
      <c r="ER19" s="0" t="inlineStr">
        <is>
          <t>9行 0列，源：10 备：13</t>
        </is>
      </c>
      <c r="ES19" s="0" t="inlineStr">
        <is>
          <t>2行 1列，源：nan 备：</t>
        </is>
      </c>
      <c r="ET19" s="0" t="inlineStr">
        <is>
          <t>1行 8列，源：1900-01-01 00:00:00.0000000 +00:00 备：2013-03-12 02:00:00.0000000 -04:25</t>
        </is>
      </c>
      <c r="EV19" s="0" t="inlineStr">
        <is>
          <t>9行 0列，源：10 备：5</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c_dtoffset_3列源备映射错误，源端为datetimeoffset None位	期望更改为text	实际备端为datetimeoffset None位</t>
        </is>
      </c>
      <c r="AC20" s="0" t="inlineStr">
        <is>
          <t>9行 1列，源：2079-06-05 23:59:00 备：1981-05-11 14:31:00</t>
        </is>
      </c>
      <c r="AD20" s="0" t="inlineStr">
        <is>
          <t>4行 2列，源：b'Variable length bina' 备：20202020202020202020</t>
        </is>
      </c>
      <c r="AF20" s="0" t="inlineStr">
        <is>
          <t>10行 0列，源：11 备：6</t>
        </is>
      </c>
      <c r="AH20" s="0" t="inlineStr">
        <is>
          <t>1行 8列，源：2003-11-05 02:00:00.0000000 -05:10 备：2025-05-11 23:59:59.9999999 -14:00</t>
        </is>
      </c>
      <c r="AI20" s="0" t="inlineStr">
        <is>
          <t>3行 0列，源：4 备：12</t>
        </is>
      </c>
      <c r="AM20" s="0" t="inlineStr">
        <is>
          <t>2行 10列，源：None 备：</t>
        </is>
      </c>
      <c r="AO20" s="0" t="inlineStr">
        <is>
          <t>9行 0列，源：10 备：18</t>
        </is>
      </c>
      <c r="AP20" s="0" t="inlineStr">
        <is>
          <t>9行 0列，源：10 备：15</t>
        </is>
      </c>
      <c r="AQ20" s="0" t="inlineStr">
        <is>
          <t>4行 2列，源：b'Variable length bina' 备：20202020202020202020</t>
        </is>
      </c>
      <c r="AR20" s="0" t="inlineStr">
        <is>
          <t>9行 0列，源：10 备：18</t>
        </is>
      </c>
      <c r="AS20" s="0" t="inlineStr">
        <is>
          <t>2行 11列，源：None 备：</t>
        </is>
      </c>
      <c r="AT20" s="0" t="inlineStr">
        <is>
          <t>9行 1列，源：1996-03-03 23:59:59.997000 备：1998-05-05 23:59:59.997</t>
        </is>
      </c>
      <c r="AU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AV20" s="0" t="inlineStr">
        <is>
          <t>9行 0列，源：10 备：18</t>
        </is>
      </c>
      <c r="AX20" s="0" t="inlineStr">
        <is>
          <t>9行 1列，源：1996-03-03 23:59:59.997000 备：2004-12-24 23:59:59.990</t>
        </is>
      </c>
      <c r="AZ20" s="0" t="inlineStr">
        <is>
          <t>3行 0列，源：4 备：12</t>
        </is>
      </c>
      <c r="BC20" s="0" t="inlineStr">
        <is>
          <t>4行 6列，源：9999-12-31 23:59:59.999990 备：9999-12-31 23:59:59.99999</t>
        </is>
      </c>
      <c r="BD20" s="0" t="inlineStr">
        <is>
          <t>9行 0列，源：10 备：8</t>
        </is>
      </c>
      <c r="BE20" s="0" t="inlineStr">
        <is>
          <t>2行 0列，源：3 备：125</t>
        </is>
      </c>
      <c r="BF20" s="0" t="inlineStr">
        <is>
          <t>4行 6列，源：9999-12-31 23:59:59.999990 备：9999-12-31 23:59:59.99999</t>
        </is>
      </c>
      <c r="BG20" s="0" t="inlineStr">
        <is>
          <t>0行 17列，源：None 备：</t>
        </is>
      </c>
      <c r="BH20" s="0" t="inlineStr">
        <is>
          <t>4行 2列，源：b'Variable length bina' 备：2020202020202020202020202020202020202020</t>
        </is>
      </c>
      <c r="BI20" s="0" t="inlineStr">
        <is>
          <t>2行 0列，源：3 备：105</t>
        </is>
      </c>
      <c r="BJ20" s="0" t="inlineStr">
        <is>
          <t>2行 2列，源：0.0 备：0</t>
        </is>
      </c>
      <c r="BL20" s="0" t="inlineStr">
        <is>
          <t>3行 0列，源：4 备：178</t>
        </is>
      </c>
      <c r="BO20" s="0" t="inlineStr">
        <is>
          <t>3行 0列，源：4 备：12</t>
        </is>
      </c>
      <c r="BP20" s="0" t="inlineStr">
        <is>
          <t>4行 2列，源：b'Variable length bina' 备：5661726961626C65206C656E6774682062696E61</t>
        </is>
      </c>
      <c r="BS20"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T20" s="0" t="inlineStr">
        <is>
          <t>4行 2列，源：b'Variable length bina' 备：2020202020202020202020202020202020202020</t>
        </is>
      </c>
      <c r="BV20" s="0" t="inlineStr">
        <is>
          <t>2行 0列，源：3 备：11</t>
        </is>
      </c>
      <c r="BX20" s="0" t="inlineStr">
        <is>
          <t>2行 0列，源：3 备：11</t>
        </is>
      </c>
      <c r="BY20" s="0" t="inlineStr">
        <is>
          <t>2行 0列，源：3 备：11</t>
        </is>
      </c>
      <c r="CA20" s="0" t="inlineStr">
        <is>
          <t>4行 2列，源：b'Variable length bina' 备：5661726961626C65206C656E6774682062696E61</t>
        </is>
      </c>
      <c r="CB20" s="0" t="inlineStr">
        <is>
          <t>2行 0列，源：3 备：102</t>
        </is>
      </c>
      <c r="CD20" s="0" t="inlineStr">
        <is>
          <t>3行 6列，源：None 备：</t>
        </is>
      </c>
      <c r="CE20" s="0" t="inlineStr">
        <is>
          <t>2行 8列，源：2000-05-11 00:30:45.1234567 +09:00 备：2025-05-11 23:59:59.9999999 -14:00</t>
        </is>
      </c>
      <c r="CF20" s="0" t="inlineStr">
        <is>
          <t>2行 0列，源：3 备：11</t>
        </is>
      </c>
      <c r="CG20" s="0" t="inlineStr">
        <is>
          <t>10行 1列，源：2068-06-01 备：0001-01-02</t>
        </is>
      </c>
      <c r="CH20" s="0" t="inlineStr">
        <is>
          <t>1行 8列，源：2063-05-11 10:30:45.1234567 -04:00 备：9999-12-31 23:59:59.9999999 +00:00</t>
        </is>
      </c>
      <c r="CI20" s="0" t="inlineStr">
        <is>
          <t>9行 0列，源：10 备：8</t>
        </is>
      </c>
      <c r="CK20" s="0" t="inlineStr">
        <is>
          <t>4行 2列，源：b'This is a test strin' 备：546869732069732061207465737420737472696E</t>
        </is>
      </c>
      <c r="CL20" s="0" t="inlineStr">
        <is>
          <t>1行 8列，源：12:30:45 备：00:00:01.1234567</t>
        </is>
      </c>
      <c r="CM20" s="0" t="inlineStr">
        <is>
          <t>2行 2列，源：0.0 备：</t>
        </is>
      </c>
      <c r="CN20" s="0" t="inlineStr">
        <is>
          <t>9行 0列，源：10 备：2</t>
        </is>
      </c>
      <c r="CO20" s="0" t="inlineStr">
        <is>
          <t>4行 2列，源：b'Variable length bina' 备：2020202020202020202020202020202020202020</t>
        </is>
      </c>
      <c r="CP20" s="0" t="inlineStr">
        <is>
          <t>9行 1列，源：2079-06-05 23:59:00 备：2026-04-17 16:52:00</t>
        </is>
      </c>
      <c r="CT20" s="0" t="inlineStr">
        <is>
          <t>2行 4列，源：0.0 备：0</t>
        </is>
      </c>
      <c r="CW20" s="0" t="inlineStr">
        <is>
          <t>9行 1列，源：1990-12-31 备：0001-01-02</t>
        </is>
      </c>
      <c r="DA20" s="0" t="inlineStr">
        <is>
          <t>2行 2列，源：12345.0 备：</t>
        </is>
      </c>
      <c r="DB20" s="0" t="inlineStr">
        <is>
          <t>9行 0列，源：10 备：18</t>
        </is>
      </c>
      <c r="DC20" s="0" t="inlineStr">
        <is>
          <t>1行 1列，源：None 备：</t>
        </is>
      </c>
      <c r="DG20" s="0" t="inlineStr">
        <is>
          <t>8行 1列，源：1999-06-06 23:59:59.997000 备：2025-01-01 00:00:00.233</t>
        </is>
      </c>
      <c r="DH20" s="0" t="inlineStr">
        <is>
          <t>3行 0列，源：4 备：12</t>
        </is>
      </c>
      <c r="DJ20" s="0" t="inlineStr">
        <is>
          <t>2行 0列，源：3 备：11</t>
        </is>
      </c>
      <c r="DL20" s="0" t="inlineStr">
        <is>
          <t>2行 0列，源：3 备：11</t>
        </is>
      </c>
      <c r="DM20" s="0" t="inlineStr">
        <is>
          <t>0行 18列，源：None 备：</t>
        </is>
      </c>
      <c r="DN20" s="0" t="inlineStr">
        <is>
          <t>3行 0列，源：4 备：178</t>
        </is>
      </c>
      <c r="DP20" s="0" t="inlineStr">
        <is>
          <t>4行 6列，源：9999-12-31 23:59:59.999990 备：9999-12-31 23:59:59.99999</t>
        </is>
      </c>
      <c r="DQ20" s="0" t="inlineStr">
        <is>
          <t>4行 2列，源：b'Variable length bina' 备：20202020202020202020</t>
        </is>
      </c>
      <c r="DT20" s="0" t="inlineStr">
        <is>
          <t>2行 0列，源：3 备：11</t>
        </is>
      </c>
      <c r="DU20" s="0" t="inlineStr">
        <is>
          <t>4行 2列，源：b'Variable length bina' 备：5661726961626C65206C656E6774682062696E61</t>
        </is>
      </c>
      <c r="DV20" s="0" t="inlineStr">
        <is>
          <t>1行 14列，源：None 备：</t>
        </is>
      </c>
      <c r="DX20" s="0" t="inlineStr">
        <is>
          <t>2行 2列，源：nan 备：20000</t>
        </is>
      </c>
      <c r="EA20" s="0" t="inlineStr">
        <is>
          <t>5行 8列，源：None 备：</t>
        </is>
      </c>
      <c r="EC20" s="0" t="inlineStr">
        <is>
          <t>2行 0列，源：3 备：109</t>
        </is>
      </c>
      <c r="ED20" s="0" t="inlineStr">
        <is>
          <t>4行 2列，源：b'Variable length bina' 备：20202020202020202020</t>
        </is>
      </c>
      <c r="EG20" s="0" t="inlineStr">
        <is>
          <t>2行 8列，源：23:59:59.999999 备：12:30:45.1234567</t>
        </is>
      </c>
      <c r="EH20" s="0" t="inlineStr">
        <is>
          <t>2行 2列，源：nan 备：</t>
        </is>
      </c>
      <c r="EK20" s="0" t="inlineStr">
        <is>
          <t>2行 7列，源：12:30:45.123450 备：23:59:59.123457</t>
        </is>
      </c>
      <c r="EN20" s="0" t="inlineStr">
        <is>
          <t>2行 3列，源：12:30:45.120000 备：23:59:59.12</t>
        </is>
      </c>
      <c r="EO20" s="0" t="inlineStr">
        <is>
          <t>4行 2列，源：b'Variable length bina' 备：5661726961626C65206C656E6774682062696E61</t>
        </is>
      </c>
      <c r="EP20" s="0" t="inlineStr">
        <is>
          <t>2行 2列，源：nan 备：20000</t>
        </is>
      </c>
      <c r="EQ20" s="0" t="inlineStr">
        <is>
          <t>9行 1列，源：2079-06-05 23:59:00 备：2026-04-17 17:15:00</t>
        </is>
      </c>
      <c r="ER20" s="0" t="inlineStr">
        <is>
          <t>9行 1列，源：2079-06-05 23:59:00 备：2025-05-11 12:00:00</t>
        </is>
      </c>
      <c r="ES20" s="0" t="inlineStr">
        <is>
          <t>2行 2列，源：nan 备：</t>
        </is>
      </c>
      <c r="ET20" s="0" t="inlineStr">
        <is>
          <t>2行 0列，源：3 备：11</t>
        </is>
      </c>
      <c r="EV20" s="0" t="inlineStr">
        <is>
          <t>9行 1列，源：2079-06-05 23:59:00 备：2026-04-17 17:16:00</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c_dtoffset_4列源备映射错误，源端为datetimeoffset None位	期望更改为text	实际备端为datetimeoffset None位</t>
        </is>
      </c>
      <c r="AC21" s="0" t="inlineStr">
        <is>
          <t>10行 0列，源：11 备：3</t>
        </is>
      </c>
      <c r="A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F21" s="0" t="inlineStr">
        <is>
          <t>10行 1列，源：1900-01-02 00:00:00 备：2020-03-01 00:00:00</t>
        </is>
      </c>
      <c r="AH21" s="0" t="inlineStr">
        <is>
          <t>2行 0列，源：12 备：13</t>
        </is>
      </c>
      <c r="AI21" s="0" t="inlineStr">
        <is>
          <t>3行 1列，源：  备：2</t>
        </is>
      </c>
      <c r="AM21" s="0" t="inlineStr">
        <is>
          <t>2行 11列，源：None 备：</t>
        </is>
      </c>
      <c r="AO21" s="0" t="inlineStr">
        <is>
          <t>9行 1列，源：1996-03-03 23:59:59.997000 备：2004-12-24 23:59:59.990</t>
        </is>
      </c>
      <c r="AP21" s="0" t="inlineStr">
        <is>
          <t>9行 1列，源：1996-03-03 23:59:59.997000 备：2001-04-09 23:59:59.993</t>
        </is>
      </c>
      <c r="AQ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AR21" s="0" t="inlineStr">
        <is>
          <t>9行 1列，源：1996-03-03 23:59:59.997000 备：2004-12-24 23:59:59.990</t>
        </is>
      </c>
      <c r="AS21" s="0" t="inlineStr">
        <is>
          <t>2行 12列，源：None 备：</t>
        </is>
      </c>
      <c r="AT21" s="0" t="inlineStr">
        <is>
          <t>10行 0列，源：11 备：113</t>
        </is>
      </c>
      <c r="AU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AV21" s="0" t="inlineStr">
        <is>
          <t>9行 1列，源：9999-12-31 23:59:59.997000 备：9999-12-31 23:59:59.997</t>
        </is>
      </c>
      <c r="AX21" s="0" t="inlineStr">
        <is>
          <t>10行 0列，源：11 备：19</t>
        </is>
      </c>
      <c r="AZ21" s="0" t="inlineStr">
        <is>
          <t>3行 1列，源：  备：2</t>
        </is>
      </c>
      <c r="BC21" s="0" t="inlineStr">
        <is>
          <t>5行 2列，源：1945-05-11 14:30:45.100000 备：1945-05-11 14:30:45.1</t>
        </is>
      </c>
      <c r="BD21" s="0" t="inlineStr">
        <is>
          <t>9行 1列，源：1990-05-11 备：0001-01-02</t>
        </is>
      </c>
      <c r="BE21" s="0" t="inlineStr">
        <is>
          <t>2行 1列，源：2026-04-17 17:17:25 备：9999-12-31 23:59:59</t>
        </is>
      </c>
      <c r="BF21" s="0" t="inlineStr">
        <is>
          <t>5行 2列，源：1945-05-11 14:30:45.100000 备：1945-05-11 14:30:45.1</t>
        </is>
      </c>
      <c r="BG21" s="0" t="inlineStr">
        <is>
          <t>0行 18列，源：None 备：</t>
        </is>
      </c>
      <c r="BH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I21" s="0" t="inlineStr">
        <is>
          <t>2行 1列，源：2026-04-17 17:17:33 备：9999-12-31 23:59:59</t>
        </is>
      </c>
      <c r="BJ21" s="0" t="inlineStr">
        <is>
          <t>2行 3列，源：0.0 备：0</t>
        </is>
      </c>
      <c r="BL21" s="0" t="inlineStr">
        <is>
          <t>3行 1列，源：6 备：试</t>
        </is>
      </c>
      <c r="BO21" s="0" t="inlineStr">
        <is>
          <t>3行 1列，源：  备：2</t>
        </is>
      </c>
      <c r="BP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S21" s="0" t="inlineStr">
        <is>
          <t xml:space="preserve">4行 3列，源：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备：          </t>
        </is>
      </c>
      <c r="BT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V21" s="0" t="inlineStr">
        <is>
          <t>2行 1列，源：2026-04-17 17:18:21 +08:00 备：2003-11-05 02:00:00 -05:10</t>
        </is>
      </c>
      <c r="BX21" s="0" t="inlineStr">
        <is>
          <t>2行 1列，源：2026-04-17 17:18:23 +08:00 备：2003-11-05 02:00:00 -05:10</t>
        </is>
      </c>
      <c r="BY21" s="0" t="inlineStr">
        <is>
          <t>2行 1列，源：2026-04-17 17:18:32 +08:00 备：2003-11-05 02:00:00 -05:10</t>
        </is>
      </c>
      <c r="CA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B21" s="0" t="inlineStr">
        <is>
          <t>2行 1列，源：2026-04-17 17:18:32 +08:00 备：1900-01-01 00:00:00 +00:00</t>
        </is>
      </c>
      <c r="CD21" s="0" t="inlineStr">
        <is>
          <t>3行 8列，源：None 备：</t>
        </is>
      </c>
      <c r="CE21" s="0" t="inlineStr">
        <is>
          <t>3行 0列，源：4 备：12</t>
        </is>
      </c>
      <c r="CF21" s="0" t="inlineStr">
        <is>
          <t>2行 1列，源：23:59:59 备：12:30:45</t>
        </is>
      </c>
      <c r="CG21" s="0" t="inlineStr">
        <is>
          <t>11行 0列，源：21 备：180</t>
        </is>
      </c>
      <c r="CH21" s="0" t="inlineStr">
        <is>
          <t>2行 0列，源：10 备：6</t>
        </is>
      </c>
      <c r="CI21" s="0" t="inlineStr">
        <is>
          <t>9行 1列，源：1990-05-11 备：0001-01-02</t>
        </is>
      </c>
      <c r="CK21" s="0" t="inlineStr">
        <is>
          <t>4行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21" s="0" t="inlineStr">
        <is>
          <t>2行 0列，源：5 备：3</t>
        </is>
      </c>
      <c r="CM21" s="0" t="inlineStr">
        <is>
          <t>2行 3列，源：0.0 备：</t>
        </is>
      </c>
      <c r="CN21" s="0" t="inlineStr">
        <is>
          <t>9行 1列，源：1990-05-11 备：1900-01-01</t>
        </is>
      </c>
      <c r="CO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P21" s="0" t="inlineStr">
        <is>
          <t>10行 0列，源：11 备：6</t>
        </is>
      </c>
      <c r="CT21" s="0" t="inlineStr">
        <is>
          <t>2行 15列，源：0.0 备：0.0000000000000</t>
        </is>
      </c>
      <c r="CW21" s="0" t="inlineStr">
        <is>
          <t>10行 0列，源：11 备：9</t>
        </is>
      </c>
      <c r="DA21" s="0" t="inlineStr">
        <is>
          <t>2行 3列，源：1234567890.0 备：</t>
        </is>
      </c>
      <c r="DB21" s="0" t="inlineStr">
        <is>
          <t>9行 1列，源：1996-03-03 23:59:59.997000 备：2004-12-24 23:59:59.990</t>
        </is>
      </c>
      <c r="DC21" s="0" t="inlineStr">
        <is>
          <t>1行 2列，源：None 备：</t>
        </is>
      </c>
      <c r="DG21" s="0" t="inlineStr">
        <is>
          <t>9行 0列，源：15 备：3</t>
        </is>
      </c>
      <c r="DH21" s="0" t="inlineStr">
        <is>
          <t>3行 1列，源：  备：2</t>
        </is>
      </c>
      <c r="DJ21" s="0" t="inlineStr">
        <is>
          <t>2行 1列，源：23:59:59 备：12:30:45</t>
        </is>
      </c>
      <c r="DL21" s="0" t="inlineStr">
        <is>
          <t>2行 1列，源：23:59:59 备：12:30:45</t>
        </is>
      </c>
      <c r="DM21" s="0" t="inlineStr">
        <is>
          <t>0行 19列，源：None 备：</t>
        </is>
      </c>
      <c r="DN21" s="0" t="inlineStr">
        <is>
          <t>3行 1列，源：6 备：试</t>
        </is>
      </c>
      <c r="DP21" s="0" t="inlineStr">
        <is>
          <t>5行 2列，源：1945-05-11 14:30:45.100000 备：1945-05-11 14:30:45.1</t>
        </is>
      </c>
      <c r="DQ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T21" s="0" t="inlineStr">
        <is>
          <t>2行 1列，源：23:59:59 备：12:30:45</t>
        </is>
      </c>
      <c r="DU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V21" s="0" t="inlineStr">
        <is>
          <t>1行 15列，源：None 备：</t>
        </is>
      </c>
      <c r="DX21" s="0" t="inlineStr">
        <is>
          <t>2行 3列，源：nan 备：2000000000</t>
        </is>
      </c>
      <c r="EC21" s="0" t="inlineStr">
        <is>
          <t>2行 1列，源：23:59:59 备：12:30:45</t>
        </is>
      </c>
      <c r="ED21" s="0" t="inlineStr">
        <is>
          <t>4行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G21" s="0" t="inlineStr">
        <is>
          <t>3行 0列，源：4 备：12</t>
        </is>
      </c>
      <c r="EH21" s="0" t="inlineStr">
        <is>
          <t>2行 3列，源：nan 备：</t>
        </is>
      </c>
      <c r="EK21" s="0" t="inlineStr">
        <is>
          <t>2行 8列，源：12:30:45.123450 备：23:59:59.1234567</t>
        </is>
      </c>
      <c r="EN21" s="0" t="inlineStr">
        <is>
          <t>2行 4列，源：12:30:45.123000 备：23:59:59.123</t>
        </is>
      </c>
      <c r="EO21" s="0" t="inlineStr">
        <is>
          <t>4行 3列，源：b'TestTestTestTestTestTestTestTestTestTestTestTestTestTestTestTestTestTestTestTestTestTestTestTestTestTestTestTestTestTestTestTestTestTestTestTestTestTestTestTestTestTestTestTestTestTestTestTestTestTest'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P21" s="0" t="inlineStr">
        <is>
          <t>2行 3列，源：nan 备：2000000000</t>
        </is>
      </c>
      <c r="EQ21" s="0" t="inlineStr">
        <is>
          <t>10行 0列，源：11 备：6</t>
        </is>
      </c>
      <c r="ER21" s="0" t="inlineStr">
        <is>
          <t>10行 0列，源：11 备：130</t>
        </is>
      </c>
      <c r="ES21" s="0" t="inlineStr">
        <is>
          <t>2行 3列，源：nan 备：</t>
        </is>
      </c>
      <c r="ET21" s="0" t="inlineStr">
        <is>
          <t>2行 1列，源：2026-04-17 16:56:53 +08:00 备：2003-11-05 02:00:00 -05:10</t>
        </is>
      </c>
      <c r="EV21" s="0" t="inlineStr">
        <is>
          <t>10行 0列，源：11 备：6</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c_dtoffset_5列源备映射错误，源端为datetimeoffset None位	期望更改为text	实际备端为datetimeoffset None位</t>
        </is>
      </c>
      <c r="AC22" s="0" t="inlineStr">
        <is>
          <t>10行 1列，源：1900-01-02 00:00:00 备：1900-01-01 00:00:00</t>
        </is>
      </c>
      <c r="AD22" s="0" t="inlineStr">
        <is>
          <t>5行 0列，源：6 备：5</t>
        </is>
      </c>
      <c r="AF22" s="0" t="inlineStr">
        <is>
          <t>11行 0列，源：12 备：7</t>
        </is>
      </c>
      <c r="AH22" s="0" t="inlineStr">
        <is>
          <t>2行 1列，源：2025-05-12 00:00:00 -14:00 备：1971-05-11 00:00:00 +14:00</t>
        </is>
      </c>
      <c r="AI22" s="0" t="inlineStr">
        <is>
          <t>3行 1列，源：  备：2</t>
        </is>
      </c>
      <c r="AM22" s="0" t="inlineStr">
        <is>
          <t>2行 12列，源：None 备：</t>
        </is>
      </c>
      <c r="AO22" s="0" t="inlineStr">
        <is>
          <t>10行 0列，源：11 备：19</t>
        </is>
      </c>
      <c r="AP22" s="0" t="inlineStr">
        <is>
          <t>10行 0列，源：11 备：152</t>
        </is>
      </c>
      <c r="AQ22" s="0" t="inlineStr">
        <is>
          <t>5行 0列，源：6 备：5</t>
        </is>
      </c>
      <c r="AR22" s="0" t="inlineStr">
        <is>
          <t>10行 0列，源：11 备：19</t>
        </is>
      </c>
      <c r="AS22" s="0" t="inlineStr">
        <is>
          <t>2行 13列，源：None 备：</t>
        </is>
      </c>
      <c r="AT22" s="0" t="inlineStr">
        <is>
          <t>10行 1列，源：1997-04-04 23:59:59.997000 备：1999-06-06 23:59:59.997</t>
        </is>
      </c>
      <c r="AU22" s="0" t="inlineStr">
        <is>
          <t>5行 0列，源：6 备：5</t>
        </is>
      </c>
      <c r="AV22" s="0" t="inlineStr">
        <is>
          <t>10行 0列，源：11 备：19</t>
        </is>
      </c>
      <c r="AX22" s="0" t="inlineStr">
        <is>
          <t>10行 1列，源：2020-02-29 19:27:31.123000 备：1753-01-02 00:00:00.000</t>
        </is>
      </c>
      <c r="AZ22" s="0" t="inlineStr">
        <is>
          <t>3行 1列，源：  备：2</t>
        </is>
      </c>
      <c r="BC22" s="0" t="inlineStr">
        <is>
          <t>5行 3列，源：1945-05-11 14:30:45.120000 备：1945-05-11 14:30:45.12</t>
        </is>
      </c>
      <c r="BD22" s="0" t="inlineStr">
        <is>
          <t>10行 0列，源：11 备：9</t>
        </is>
      </c>
      <c r="BE22" s="0" t="inlineStr">
        <is>
          <t>2行 2列，源：2026-04-17 17:17:24.600000 备：9999-12-31 23:59:59.9</t>
        </is>
      </c>
      <c r="BF22" s="0" t="inlineStr">
        <is>
          <t>5行 3列，源：1945-05-11 14:30:45.120000 备：1945-05-11 14:30:45.12</t>
        </is>
      </c>
      <c r="BG22" s="0" t="inlineStr">
        <is>
          <t>0行 19列，源：None 备：</t>
        </is>
      </c>
      <c r="BH22" s="0" t="inlineStr">
        <is>
          <t>5行 0列，源：6 备：5</t>
        </is>
      </c>
      <c r="BI22" s="0" t="inlineStr">
        <is>
          <t>2行 2列，源：2026-04-17 17:17:33.400000 备：9999-12-31 23:59:59.9</t>
        </is>
      </c>
      <c r="BJ22" s="0" t="inlineStr">
        <is>
          <t>2行 4列，源：0.0 备：0</t>
        </is>
      </c>
      <c r="BL22" s="0" t="inlineStr">
        <is>
          <t>3行 1列，源：6 备：试</t>
        </is>
      </c>
      <c r="BO22" s="0" t="inlineStr">
        <is>
          <t>3行 1列，源：  备：2</t>
        </is>
      </c>
      <c r="BP22" s="0" t="inlineStr">
        <is>
          <t>5行 0列，源：6 备：126</t>
        </is>
      </c>
      <c r="BS22" s="0" t="inlineStr">
        <is>
          <t>5行 0列，源：6 备：5</t>
        </is>
      </c>
      <c r="BT22" s="0" t="inlineStr">
        <is>
          <t>5行 0列，源：6 备：5</t>
        </is>
      </c>
      <c r="BV22" s="0" t="inlineStr">
        <is>
          <t>2行 2列，源：2026-04-17 17:18:20.6 +08:00 备：2003-11-05 02:00:00.0 -05:10</t>
        </is>
      </c>
      <c r="BX22" s="0" t="inlineStr">
        <is>
          <t>2行 2列，源：2026-04-17 17:18:22.8 +08:00 备：2003-11-05 02:00:00.0 -05:10</t>
        </is>
      </c>
      <c r="BY22" s="0" t="inlineStr">
        <is>
          <t>2行 2列，源：2026-04-17 17:18:31.5 +08:00 备：2003-11-05 02:00:00.0 -05:10</t>
        </is>
      </c>
      <c r="CA22" s="0" t="inlineStr">
        <is>
          <t>5行 0列，源：6 备：106</t>
        </is>
      </c>
      <c r="CB22" s="0" t="inlineStr">
        <is>
          <t>2行 2列，源：2026-04-17 17:18:31.5 +08:00 备：1900-01-01 00:00:00.0 +00:00</t>
        </is>
      </c>
      <c r="CD22" s="0" t="inlineStr">
        <is>
          <t>4行 0列，源：5 备：13</t>
        </is>
      </c>
      <c r="CE22" s="0" t="inlineStr">
        <is>
          <t>3行 1列，源：0001-01-01 00:00:00 +00:00 备：2025-05-12 00:00:00 -14:00</t>
        </is>
      </c>
      <c r="CF22" s="0" t="inlineStr">
        <is>
          <t>2行 2列，源：23:59:59.900000 备：12:30:45.1</t>
        </is>
      </c>
      <c r="CG22" s="0" t="inlineStr">
        <is>
          <t>11行 1列，源：None 备：1990-05-11</t>
        </is>
      </c>
      <c r="CH22" s="0" t="inlineStr">
        <is>
          <t>2行 1列，源：2013-03-12 02:00:00 -04:25 备：2063-05-11 10:30:45 -04:00</t>
        </is>
      </c>
      <c r="CI22" s="0" t="inlineStr">
        <is>
          <t>10行 0列，源：11 备：9</t>
        </is>
      </c>
      <c r="CK22" s="0" t="inlineStr">
        <is>
          <t>5行 0列，源：6 备：5</t>
        </is>
      </c>
      <c r="CL22" s="0" t="inlineStr">
        <is>
          <t>2行 1列，源：12:30:45 备：23:59:59</t>
        </is>
      </c>
      <c r="CM22" s="0" t="inlineStr">
        <is>
          <t>2行 4列，源：0.0 备：</t>
        </is>
      </c>
      <c r="CN22" s="0" t="inlineStr">
        <is>
          <t>10行 0列，源：11 备：204</t>
        </is>
      </c>
      <c r="CO22" s="0" t="inlineStr">
        <is>
          <t>5行 0列，源：6 备：5</t>
        </is>
      </c>
      <c r="CP22" s="0" t="inlineStr">
        <is>
          <t>10行 1列，源：1900-01-02 00:00:00 备：2020-03-01 00:00:00</t>
        </is>
      </c>
      <c r="CT22" s="0" t="inlineStr">
        <is>
          <t>2行 16列，源：0.0 备：0.000000</t>
        </is>
      </c>
      <c r="DA22" s="0" t="inlineStr">
        <is>
          <t>2行 4列，源：1234567890123456.0 备：</t>
        </is>
      </c>
      <c r="DB22" s="0" t="inlineStr">
        <is>
          <t>10行 0列，源：11 备：19</t>
        </is>
      </c>
      <c r="DC22" s="0" t="inlineStr">
        <is>
          <t>1行 3列，源：None 备：</t>
        </is>
      </c>
      <c r="DG22" s="0" t="inlineStr">
        <is>
          <t>9行 1列，源：2001-04-09 23:59:59.993000 备：1753-01-01 00:00:00.000</t>
        </is>
      </c>
      <c r="DH22" s="0" t="inlineStr">
        <is>
          <t>3行 1列，源：  备：2</t>
        </is>
      </c>
      <c r="DJ22" s="0" t="inlineStr">
        <is>
          <t>2行 2列，源：23:59:59.900000 备：12:30:45.1</t>
        </is>
      </c>
      <c r="DL22" s="0" t="inlineStr">
        <is>
          <t>2行 2列，源：23:59:59.900000 备：12:30:45.1</t>
        </is>
      </c>
      <c r="DM22" s="0" t="inlineStr">
        <is>
          <t>0行 20列，源：None 备：</t>
        </is>
      </c>
      <c r="DN22" s="0" t="inlineStr">
        <is>
          <t>3行 1列，源：6 备：试</t>
        </is>
      </c>
      <c r="DP22" s="0" t="inlineStr">
        <is>
          <t>5行 3列，源：1945-05-11 14:30:45.120000 备：1945-05-11 14:30:45.12</t>
        </is>
      </c>
      <c r="DQ22" s="0" t="inlineStr">
        <is>
          <t>5行 0列，源：6 备：5</t>
        </is>
      </c>
      <c r="DT22" s="0" t="inlineStr">
        <is>
          <t>2行 2列，源：23:59:59.900000 备：12:30:45.1</t>
        </is>
      </c>
      <c r="DU22" s="0" t="inlineStr">
        <is>
          <t>5行 0列，源：6 备：126</t>
        </is>
      </c>
      <c r="DV22" s="0" t="inlineStr">
        <is>
          <t>1行 16列，源：None 备：</t>
        </is>
      </c>
      <c r="DX22" s="0" t="inlineStr">
        <is>
          <t>2行 4列，源：nan 备：2000000000000000</t>
        </is>
      </c>
      <c r="EC22" s="0" t="inlineStr">
        <is>
          <t>2行 2列，源：23:59:59.900000 备：12:30:45.1</t>
        </is>
      </c>
      <c r="ED22" s="0" t="inlineStr">
        <is>
          <t>5行 0列，源：6 备：5</t>
        </is>
      </c>
      <c r="EG22" s="0" t="inlineStr">
        <is>
          <t>3行 1列，源：09:12:34 备：23:59:59</t>
        </is>
      </c>
      <c r="EH22" s="0" t="inlineStr">
        <is>
          <t>2行 4列，源：nan 备：</t>
        </is>
      </c>
      <c r="EK22" s="0" t="inlineStr">
        <is>
          <t>3行 0列，源：10 备：13</t>
        </is>
      </c>
      <c r="EN22" s="0" t="inlineStr">
        <is>
          <t>2行 5列，源：12:30:45.123500 备：23:59:59.1235</t>
        </is>
      </c>
      <c r="EO22" s="0" t="inlineStr">
        <is>
          <t>5行 0列，源：6 备：106</t>
        </is>
      </c>
      <c r="EP22" s="0" t="inlineStr">
        <is>
          <t>2行 4列，源：nan 备：2000000000000000</t>
        </is>
      </c>
      <c r="EQ22" s="0" t="inlineStr">
        <is>
          <t>10行 1列，源：1900-01-02 00:00:00 备：2020-03-01 00:00:00</t>
        </is>
      </c>
      <c r="ER22" s="0" t="inlineStr">
        <is>
          <t>10行 1列，源：1900-01-02 00:00:00 备：2079-06-05 23:59:00</t>
        </is>
      </c>
      <c r="ES22" s="0" t="inlineStr">
        <is>
          <t>2行 4列，源：nan 备：</t>
        </is>
      </c>
      <c r="ET22" s="0" t="inlineStr">
        <is>
          <t>2行 2列，源：2026-04-17 16:56:52.8 +08:00 备：2003-11-05 02:00:00.0 -05:10</t>
        </is>
      </c>
      <c r="EV22" s="0" t="inlineStr">
        <is>
          <t>10行 1列，源：1900-01-02 00:00:00 备：2020-03-01 00:00:00</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c_dtoffset_6列源备映射错误，源端为datetimeoffset None位	期望更改为text	实际备端为datetimeoffset None位</t>
        </is>
      </c>
      <c r="AC23" s="0" t="inlineStr">
        <is>
          <t>11行 0列，源：12 备：30</t>
        </is>
      </c>
      <c r="AD23" s="0" t="inlineStr">
        <is>
          <t>5行 1列，源：b'J' 备：41</t>
        </is>
      </c>
      <c r="AF23" s="0" t="inlineStr">
        <is>
          <t>11行 1列，源：1981-05-11 14:31:00 备：2079-06-05 23:59:00</t>
        </is>
      </c>
      <c r="AH23" s="0" t="inlineStr">
        <is>
          <t>2行 2列，源：2025-05-12 00:00:00.0 -14:00 备：1971-05-11 00:00:00.0 +14:00</t>
        </is>
      </c>
      <c r="AI23" s="0" t="inlineStr">
        <is>
          <t xml:space="preserve">3行 2列，源：                     备：123456789           </t>
        </is>
      </c>
      <c r="AM23" s="0" t="inlineStr">
        <is>
          <t>2行 13列，源：None 备：</t>
        </is>
      </c>
      <c r="AO23" s="0" t="inlineStr">
        <is>
          <t>10行 1列，源：1997-04-04 23:59:59.997000 备：1753-01-02 00:00:00.000</t>
        </is>
      </c>
      <c r="AP23" s="0" t="inlineStr">
        <is>
          <t>10行 1列，源：1997-04-04 23:59:59.997000 备：1900-01-01 00:00:00.000</t>
        </is>
      </c>
      <c r="AQ23" s="0" t="inlineStr">
        <is>
          <t>5行 1列，源：b'J' 备：41</t>
        </is>
      </c>
      <c r="AR23" s="0" t="inlineStr">
        <is>
          <t>10行 1列，源：1997-04-04 23:59:59.997000 备：1753-01-02 00:00:00.000</t>
        </is>
      </c>
      <c r="AS23" s="0" t="inlineStr">
        <is>
          <t>2行 14列，源：None 备：</t>
        </is>
      </c>
      <c r="AT23" s="0" t="inlineStr">
        <is>
          <t>11行 0列，源：12 备：114</t>
        </is>
      </c>
      <c r="AU23" s="0" t="inlineStr">
        <is>
          <t>5行 1列，源：T 备：测</t>
        </is>
      </c>
      <c r="AV23" s="0" t="inlineStr">
        <is>
          <t>10行 1列，源：9999-12-31 23:59:59.997000 备：9999-12-31 23:59:59.997</t>
        </is>
      </c>
      <c r="AX23" s="0" t="inlineStr">
        <is>
          <t>11行 0列，源：12 备：2</t>
        </is>
      </c>
      <c r="AZ23" s="0" t="inlineStr">
        <is>
          <t xml:space="preserve">3行 2列，源：                     备：123456789           </t>
        </is>
      </c>
      <c r="BC23" s="0" t="inlineStr">
        <is>
          <t>5行 4列，源：1945-05-11 14:30:45.123000 备：1945-05-11 14:30:45.123</t>
        </is>
      </c>
      <c r="BD23" s="0" t="inlineStr">
        <is>
          <t>10行 1列，源：2068-06-01 备：9999-12-30</t>
        </is>
      </c>
      <c r="BE23" s="0" t="inlineStr">
        <is>
          <t>2行 3列，源：2026-04-17 17:17:24.630000 备：9999-12-31 23:59:59.99</t>
        </is>
      </c>
      <c r="BF23" s="0" t="inlineStr">
        <is>
          <t>5行 4列，源：1945-05-11 14:30:45.123000 备：1945-05-11 14:30:45.123</t>
        </is>
      </c>
      <c r="BG23" s="0" t="inlineStr">
        <is>
          <t>1行 0列，源：10 备：12</t>
        </is>
      </c>
      <c r="BH23" s="0" t="inlineStr">
        <is>
          <t>5行 1列，源：b'\x8f' 备：41</t>
        </is>
      </c>
      <c r="BI23" s="0" t="inlineStr">
        <is>
          <t>2行 3列，源：2026-04-17 17:17:33.410000 备：9999-12-31 23:59:59.99</t>
        </is>
      </c>
      <c r="BJ23" s="0" t="inlineStr">
        <is>
          <t>2行 5列，源：None 备：99999</t>
        </is>
      </c>
      <c r="BL23" s="0" t="inlineStr">
        <is>
          <t xml:space="preserve">3行 2列，源：12345678901234567890 备：更新生僻字               </t>
        </is>
      </c>
      <c r="BO23" s="0" t="inlineStr">
        <is>
          <t>3行 2列，源：           备：123456789</t>
        </is>
      </c>
      <c r="BP23" s="0" t="inlineStr">
        <is>
          <t>5行 1列，源：b'p' 备：70</t>
        </is>
      </c>
      <c r="BS23" s="0" t="inlineStr">
        <is>
          <t>5行 1列，源：T 备：测</t>
        </is>
      </c>
      <c r="BT23" s="0" t="inlineStr">
        <is>
          <t>5行 1列，源：b'\xaf' 备：41</t>
        </is>
      </c>
      <c r="BV23" s="0" t="inlineStr">
        <is>
          <t>2行 3列，源：2026-04-17 17:18:20.57 +08:00 备：2003-11-05 02:00:00.00 -05:10</t>
        </is>
      </c>
      <c r="BX23" s="0" t="inlineStr">
        <is>
          <t>2行 3列，源：2026-04-17 17:18:22.75 +08:00 备：2003-11-05 02:00:00.00 -05:10</t>
        </is>
      </c>
      <c r="BY23" s="0" t="inlineStr">
        <is>
          <t>2行 3列，源：2026-04-17 17:18:31.54 +08:00 备：2003-11-05 02:00:00.00 -05:10</t>
        </is>
      </c>
      <c r="CA23" s="0" t="inlineStr">
        <is>
          <t>5行 1列，源：b'\xaf' 备：AF</t>
        </is>
      </c>
      <c r="CB23" s="0" t="inlineStr">
        <is>
          <t>2行 3列，源：2026-04-17 17:18:31.54 +08:00 备：1900-01-01 00:00:00.00 +00:00</t>
        </is>
      </c>
      <c r="CD23" s="0" t="inlineStr">
        <is>
          <t>4行 2列，源：None 备：</t>
        </is>
      </c>
      <c r="CE23" s="0" t="inlineStr">
        <is>
          <t>3行 2列，源：0001-01-01 00:00:00.0 +00:00 备：2025-05-12 00:00:00.0 -14:00</t>
        </is>
      </c>
      <c r="CF23" s="0" t="inlineStr">
        <is>
          <t>2行 3列，源：23:59:59.990000 备：12:30:45.12</t>
        </is>
      </c>
      <c r="CG23" s="0" t="inlineStr">
        <is>
          <t>12行 0列，源：22 备：2</t>
        </is>
      </c>
      <c r="CH23" s="0" t="inlineStr">
        <is>
          <t>2行 2列，源：2013-03-12 02:00:00.0 -04:25 备：2063-05-11 10:30:45.1 -04:00</t>
        </is>
      </c>
      <c r="CI23" s="0" t="inlineStr">
        <is>
          <t>10行 1列，源：2068-06-01 备：9999-12-30</t>
        </is>
      </c>
      <c r="CK23" s="0" t="inlineStr">
        <is>
          <t>5行 1列，源：b'X' 备：58</t>
        </is>
      </c>
      <c r="CL23" s="0" t="inlineStr">
        <is>
          <t>2行 2列，源：12:30:45.100000 备：23:59:59.9</t>
        </is>
      </c>
      <c r="CM23" s="0" t="inlineStr">
        <is>
          <t>2行 15列，源：0.0 备：0.0000000000000</t>
        </is>
      </c>
      <c r="CN23" s="0" t="inlineStr">
        <is>
          <t>10行 1列，源：2068-06-01 备：9999-12-31</t>
        </is>
      </c>
      <c r="CO23" s="0" t="inlineStr">
        <is>
          <t>5行 1列，源：b'T' 备：41</t>
        </is>
      </c>
      <c r="CP23" s="0" t="inlineStr">
        <is>
          <t>11行 0列，源：12 备：7</t>
        </is>
      </c>
      <c r="CT23" s="0" t="inlineStr">
        <is>
          <t>2行 19列，源：False 备：0</t>
        </is>
      </c>
      <c r="DA23" s="0" t="inlineStr">
        <is>
          <t>2行 15列，源：6.62607015e-34 备：</t>
        </is>
      </c>
      <c r="DB23" s="0" t="inlineStr">
        <is>
          <t>10行 1列，源：1997-04-04 23:59:59.997000 备：1753-01-02 00:00:00.000</t>
        </is>
      </c>
      <c r="DC23" s="0" t="inlineStr">
        <is>
          <t>1行 4列，源：None 备：</t>
        </is>
      </c>
      <c r="DG23" s="0" t="inlineStr">
        <is>
          <t>10行 0列，源：16 备：4</t>
        </is>
      </c>
      <c r="DH23" s="0" t="inlineStr">
        <is>
          <t>3行 2列，源：           备：123456789</t>
        </is>
      </c>
      <c r="DJ23" s="0" t="inlineStr">
        <is>
          <t>2行 3列，源：23:59:59.990000 备：12:30:45.12</t>
        </is>
      </c>
      <c r="DL23" s="0" t="inlineStr">
        <is>
          <t>2行 3列，源：23:59:59.990000 备：12:30:45.12</t>
        </is>
      </c>
      <c r="DM23" s="0" t="inlineStr">
        <is>
          <t>0行 21列，源：None 备：</t>
        </is>
      </c>
      <c r="DN23" s="0" t="inlineStr">
        <is>
          <t>3行 2列，源：12345678901234567890 备：更新生僻字</t>
        </is>
      </c>
      <c r="DP23" s="0" t="inlineStr">
        <is>
          <t>5行 4列，源：1945-05-11 14:30:45.123000 备：1945-05-11 14:30:45.123</t>
        </is>
      </c>
      <c r="DQ23" s="0" t="inlineStr">
        <is>
          <t>5行 1列，源：b'\xeb' 备：41</t>
        </is>
      </c>
      <c r="DT23" s="0" t="inlineStr">
        <is>
          <t>2行 3列，源：23:59:59.990000 备：12:30:45.12</t>
        </is>
      </c>
      <c r="DU23" s="0" t="inlineStr">
        <is>
          <t>5行 1列，源：b'\xa1' 备：A1</t>
        </is>
      </c>
      <c r="DV23" s="0" t="inlineStr">
        <is>
          <t>1行 17列，源：None 备：</t>
        </is>
      </c>
      <c r="DX23" s="0" t="inlineStr">
        <is>
          <t>2行 5列，源：None 备：</t>
        </is>
      </c>
      <c r="EC23" s="0" t="inlineStr">
        <is>
          <t>2行 3列，源：23:59:59.990000 备：12:30:45.12</t>
        </is>
      </c>
      <c r="ED23" s="0" t="inlineStr">
        <is>
          <t>5行 1列，源：b'\\' 备：41</t>
        </is>
      </c>
      <c r="EG23" s="0" t="inlineStr">
        <is>
          <t>3行 2列，源：12:30:45 备：23:59:59.1</t>
        </is>
      </c>
      <c r="EH23" s="0" t="inlineStr">
        <is>
          <t>2行 5列，源：None 备：-999999999999999999</t>
        </is>
      </c>
      <c r="EK23" s="0" t="inlineStr">
        <is>
          <t>3行 1列，源：12:30:45 备：</t>
        </is>
      </c>
      <c r="EN23" s="0" t="inlineStr">
        <is>
          <t>2行 6列，源：12:30:45.123450 备：23:59:59.12346</t>
        </is>
      </c>
      <c r="EO23" s="0" t="inlineStr">
        <is>
          <t>5行 1列，源：b'\\' 备：5C</t>
        </is>
      </c>
      <c r="EP23" s="0" t="inlineStr">
        <is>
          <t>2行 5列，源：None 备：</t>
        </is>
      </c>
      <c r="EQ23" s="0" t="inlineStr">
        <is>
          <t>11行 0列，源：12 备：7</t>
        </is>
      </c>
      <c r="ER23" s="0" t="inlineStr">
        <is>
          <t>11行 0列，源：12 备：133</t>
        </is>
      </c>
      <c r="ES23" s="0" t="inlineStr">
        <is>
          <t>2行 5列，源：None 备：-999999999999999999</t>
        </is>
      </c>
      <c r="ET23" s="0" t="inlineStr">
        <is>
          <t>2行 3列，源：2026-04-17 16:56:52.83 +08:00 备：2003-11-05 02:00:00.00 -05:10</t>
        </is>
      </c>
      <c r="EV23" s="0" t="inlineStr">
        <is>
          <t>11行 0列，源：12 备：7</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c_dtoffset列源备映射错误，源端为datetimeoffset None位	期望更改为text	实际备端为datetimeoffset None位</t>
        </is>
      </c>
      <c r="AC24" s="0" t="inlineStr">
        <is>
          <t>11行 1列，源：1990-11-26 00:01:00 备：2079-06-05 23:59:00</t>
        </is>
      </c>
      <c r="AD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F24" s="0" t="inlineStr">
        <is>
          <t>12行 0列，源：13 备：8</t>
        </is>
      </c>
      <c r="AH24" s="0" t="inlineStr">
        <is>
          <t>2行 3列，源：2025-05-12 00:00:00.00 -14:00 备：1971-05-11 00:00:00.00 +14:00</t>
        </is>
      </c>
      <c r="AI24" s="0" t="inlineStr">
        <is>
          <t xml:space="preserve">3行 2列，源：                     备：123456789           </t>
        </is>
      </c>
      <c r="AM24" s="0" t="inlineStr">
        <is>
          <t>2行 14列，源：None 备：</t>
        </is>
      </c>
      <c r="AO24" s="0" t="inlineStr">
        <is>
          <t>11行 0列，源：12 备：2</t>
        </is>
      </c>
      <c r="AP24" s="0" t="inlineStr">
        <is>
          <t>11行 0列，源：12 备：153</t>
        </is>
      </c>
      <c r="AQ24" s="0" t="inlineStr">
        <is>
          <t>5行 2列，源：b'l\xcf\xaf6\xfeE\x17L\xc6\n+\xb5?\x0cZ@\x02U\n2\xc3\xe6\x84%F&gt;\xc0\x07\xb0:\x1a\xbc^\xbd\x9f9=\xceU\x14\x84\xcb&gt;!\xdb\x13\x86\xeeH#n\xc1g\xb4`3\xc5\x92\xdc\x84\x83\xa8\x8c\x02\xab\xda\xc0$\xab\xee\xaa\xd8\x82\xfc\x85Lf\xc7\xf4Hg\x8d\x08\x8a\xae\xce-IV\xa8\x8a\x04W\x80\x8c\x11$\xf6wi' 备：5661726961626C65206C656E6774682062696E61</t>
        </is>
      </c>
      <c r="AR24" s="0" t="inlineStr">
        <is>
          <t>11行 0列，源：12 备：2</t>
        </is>
      </c>
      <c r="AS24" s="0" t="inlineStr">
        <is>
          <t>2行 15列，源：123.456789 备：0.0000000000000</t>
        </is>
      </c>
      <c r="AT24" s="0" t="inlineStr">
        <is>
          <t>11行 1列，源：1998-05-05 23:59:59.997000 备：2000-05-01 23:59:59.993</t>
        </is>
      </c>
      <c r="AU24" s="0" t="inlineStr">
        <is>
          <t>5行 1列，源：T 备：测</t>
        </is>
      </c>
      <c r="AV24" s="0" t="inlineStr">
        <is>
          <t>11行 0列，源：12 备：2</t>
        </is>
      </c>
      <c r="AX24" s="0" t="inlineStr">
        <is>
          <t>11行 1列，源：1998-05-05 23:59:59.997000 备：1753-01-01 00:00:00.000</t>
        </is>
      </c>
      <c r="AZ24" s="0" t="inlineStr">
        <is>
          <t xml:space="preserve">3行 2列，源：                     备：123456789           </t>
        </is>
      </c>
      <c r="BC24" s="0" t="inlineStr">
        <is>
          <t>5行 5列，源：1945-05-11 14:30:45.123500 备：1945-05-11 14:30:45.1235</t>
        </is>
      </c>
      <c r="BE24" s="0" t="inlineStr">
        <is>
          <t>2行 4列，源：2026-04-17 17:17:24.631000 备：9999-12-31 23:59:59.999</t>
        </is>
      </c>
      <c r="BF24" s="0" t="inlineStr">
        <is>
          <t>5行 5列，源：1945-05-11 14:30:45.123500 备：1945-05-11 14:30:45.1235</t>
        </is>
      </c>
      <c r="BG24" s="0" t="inlineStr">
        <is>
          <t>1行 1列，源：99.0 备：</t>
        </is>
      </c>
      <c r="BH24" s="0" t="inlineStr">
        <is>
          <t>5行 2列，源：b'm\xe5\x01\xb2cd\xd6Q\xa85\x16\x18\x0c[A\xbb\x194\xc3\xc1' 备：5661726961626C65206C656E6774682062696E61</t>
        </is>
      </c>
      <c r="BI24" s="0" t="inlineStr">
        <is>
          <t>2行 4列，源：2026-04-17 17:17:33.413000 备：9999-12-31 23:59:59.999</t>
        </is>
      </c>
      <c r="BJ24" s="0" t="inlineStr">
        <is>
          <t>2行 6列，源：None 备：</t>
        </is>
      </c>
      <c r="BL24" s="0" t="inlineStr">
        <is>
          <t xml:space="preserve">3行 2列，源：12345678901234567890 备：更新生僻字               </t>
        </is>
      </c>
      <c r="BO24" s="0" t="inlineStr">
        <is>
          <t>3行 2列，源：           备：123456789</t>
        </is>
      </c>
      <c r="BP24" s="0" t="inlineStr">
        <is>
          <t>5行 2列，源：b'2s\x91\xb2\xca\xeb\xbb38{\xf9;\xc6\x13v/\x88l"\x82' 备：327391B2CAEBBB33387BF93BC613762F886C2282</t>
        </is>
      </c>
      <c r="BS24" s="0" t="inlineStr">
        <is>
          <t>5行 1列，源：T 备：测</t>
        </is>
      </c>
      <c r="BT24" s="0" t="inlineStr">
        <is>
          <t>5行 2列，源：b'h\x00\x85\xcb\x87\xdd\x92\xbb\x17\x9eD}\x9fS\xb74\x1c^d\x80' 备：5661726961626C65206C656E6774682062696E61</t>
        </is>
      </c>
      <c r="BV24" s="0" t="inlineStr">
        <is>
          <t>2行 4列，源：2026-04-17 17:18:20.568 +08:00 备：2003-11-05 02:00:00.000 -05:10</t>
        </is>
      </c>
      <c r="BX24" s="0" t="inlineStr">
        <is>
          <t>2行 4列，源：2026-04-17 17:18:22.755 +08:00 备：2003-11-05 02:00:00.000 -05:10</t>
        </is>
      </c>
      <c r="BY24" s="0" t="inlineStr">
        <is>
          <t>2行 4列，源：2026-04-17 17:18:31.537 +08:00 备：2003-11-05 02:00:00.000 -05:10</t>
        </is>
      </c>
      <c r="CA24" s="0" t="inlineStr">
        <is>
          <t>5行 2列，源：b'h\x00\x85\xcb\x87\xdd\x92\xbb\x17\x9eD}\x9fS\xb74\x1c^d\x80' 备：680085CB87DD92BB179E447D9F53B7341C5E6480</t>
        </is>
      </c>
      <c r="CB24" s="0" t="inlineStr">
        <is>
          <t>2行 4列，源：2026-04-17 17:18:31.537 +08:00 备：1900-01-01 00:00:00.000 +00:00</t>
        </is>
      </c>
      <c r="CD24" s="0" t="inlineStr">
        <is>
          <t>4行 4列，源：None 备：</t>
        </is>
      </c>
      <c r="CE24" s="0" t="inlineStr">
        <is>
          <t>3行 3列，源：0001-01-01 00:00:00.00 +00:00 备：2025-05-12 00:00:00.00 -14:00</t>
        </is>
      </c>
      <c r="CF24" s="0" t="inlineStr">
        <is>
          <t>2行 4列，源：23:59:59.999000 备：12:30:45.123</t>
        </is>
      </c>
      <c r="CG24" s="0" t="inlineStr">
        <is>
          <t>13行 0列，源：23 备：21</t>
        </is>
      </c>
      <c r="CH24" s="0" t="inlineStr">
        <is>
          <t>2行 3列，源：2013-03-12 02:00:00.00 -04:25 备：2063-05-11 10:30:45.12 -04:00</t>
        </is>
      </c>
      <c r="CK24" s="0" t="inlineStr">
        <is>
          <t>5行 2列，源：b'This is a test strin' 备：546869732069732061207465737420737472696E</t>
        </is>
      </c>
      <c r="CL24" s="0" t="inlineStr">
        <is>
          <t>2行 3列，源：12:30:45.100000 备：23:59:59.99</t>
        </is>
      </c>
      <c r="CM24" s="0" t="inlineStr">
        <is>
          <t>2行 16列，源：0.0 备：0.000000</t>
        </is>
      </c>
      <c r="CN24" s="0" t="inlineStr">
        <is>
          <t>11行 0列，源：57 备：205</t>
        </is>
      </c>
      <c r="CO24" s="0" t="inlineStr">
        <is>
          <t>5行 2列，源：b'\xe2cm7\x9aGOp\xfaB\xdb\x80L\x88J&gt;`\xe3w\xd0' 备：5661726961626C65206C656E6774682062696E61</t>
        </is>
      </c>
      <c r="CP24" s="0" t="inlineStr">
        <is>
          <t>11行 1列，源：1990-11-26 00:01:00 备：2000-05-11 14:30:00</t>
        </is>
      </c>
      <c r="CT24" s="0" t="inlineStr">
        <is>
          <t>3行 1列，源：nan 备：</t>
        </is>
      </c>
      <c r="DA24" s="0" t="inlineStr">
        <is>
          <t>2行 16列，源：299792448.0 备：</t>
        </is>
      </c>
      <c r="DB24" s="0" t="inlineStr">
        <is>
          <t>11行 0列，源：12 备：2</t>
        </is>
      </c>
      <c r="DC24" s="0" t="inlineStr">
        <is>
          <t>1行 5列，源：None 备：</t>
        </is>
      </c>
      <c r="DG24" s="0" t="inlineStr">
        <is>
          <t>10行 1列，源：2002-06-11 23:59:59.993000 备：9999-12-31 23:59:59.997</t>
        </is>
      </c>
      <c r="DH24" s="0" t="inlineStr">
        <is>
          <t>3行 2列，源：           备：123456789</t>
        </is>
      </c>
      <c r="DJ24" s="0" t="inlineStr">
        <is>
          <t>2行 4列，源：23:59:59.999000 备：12:30:45.123</t>
        </is>
      </c>
      <c r="DL24" s="0" t="inlineStr">
        <is>
          <t>2行 4列，源：23:59:59.999000 备：12:30:45.123</t>
        </is>
      </c>
      <c r="DM24" s="0" t="inlineStr">
        <is>
          <t>0行 22列，源：None 备：</t>
        </is>
      </c>
      <c r="DN24" s="0" t="inlineStr">
        <is>
          <t>3行 2列，源：12345678901234567890 备：更新生僻字</t>
        </is>
      </c>
      <c r="DP24" s="0" t="inlineStr">
        <is>
          <t>5行 5列，源：1945-05-11 14:30:45.123500 备：1945-05-11 14:30:45.1235</t>
        </is>
      </c>
      <c r="DQ24" s="0" t="inlineStr">
        <is>
          <t>5行 2列，源：b'N\xdc!%\xc4\xd9\xb57u\xd4\x0ft\x94^\x07y\xa3\xed\ro\xa6-)\xa7G/c\x01\xaf\x92Ux:|)\x05\x10\xba|{\xf5\x18\xe0\xdd\x05\xcaDk6\x9d.;\\\xd1\x19"\'\x8e\x9fA\x1f\xcd\xcf\xf5r\x98\x90\xcd\x92\xae\xa7E\xac6\xdb\xd0\x95\xb9\xf0:\x10A\xafzz\xd1\x86\x14\xa4\xa3+&gt;\xa7\x1d\x8d4\xc7\xff\x9b\x1a' 备：5661726961626C65206C656E6774682062696E61</t>
        </is>
      </c>
      <c r="DT24" s="0" t="inlineStr">
        <is>
          <t>2行 4列，源：23:59:59.999000 备：12:30:45.123</t>
        </is>
      </c>
      <c r="DU24" s="0" t="inlineStr">
        <is>
          <t>5行 2列，源：b'\xad~\xd4\x1b\x1d\x00\xf9+E\xf2\\\xf2"\x9e$\xd4w\xc6;_~\xf7\xcd\xf5\x1e0\xe1a=\xe5I\x85R\xfdv\xf5VkK\x80?\xcb\xeb\x0b\x7f\xb9\x18=\xc9\xcb\xca\xfa\xb6\xb9 \xae\x14\xda0.:\xecKk\xe4\x92\xe0+\x0f\xf4\x85\x06]\x94\xb18\xbf\x11\x87\\\xf2\xc7N#\tN:\x16\xd0U\x8eG\xc5\xa6\x0eFF\xaa\xd9K' 备：AD7ED41B1D00F92B45F25CF2229E24D477C63B5F7EF7CDF51E30E1613DE5498552FD76F5566B4B803FCBEB0B7FB9183DC9CBCAFAB6B920AE14DA302E3AEC4B6BE492E02B0FF485065D94B138BF11875CF2C74E23094E3A16D0558E47C5A60E4646AAD94B</t>
        </is>
      </c>
      <c r="DV24" s="0" t="inlineStr">
        <is>
          <t>1行 18列，源：None 备：</t>
        </is>
      </c>
      <c r="DX24" s="0" t="inlineStr">
        <is>
          <t>2行 6列，源：None 备：</t>
        </is>
      </c>
      <c r="EC24" s="0" t="inlineStr">
        <is>
          <t>2行 4列，源：23:59:59.999000 备：12:30:45.123</t>
        </is>
      </c>
      <c r="ED24" s="0" t="inlineStr">
        <is>
          <t>5行 2列，源：b'mC\xac\x05\xc6\x08)\xcb5\xa6]H\xc3U\xae\xa1\x03\x1a\xd7f\xe6\xf6\\I\xceM,\xbe\xe4\x9d\x10N:\xc8\xc8}Mj\xcez\xd6\x1d\xf1O\x0e\xc0*$\x14\xaa\xc5\x1d?\xf9\xad]q\x1eq\xda\x9b\xf7\xa5\xa1o\xac;\xcbT*\x12\xc8,\xc1\xe5\xfe\x1b\x8fN\x14v\xc6\xd9w\xda\xc6\xfaFx\xc8\xc3=k\xb6w\xae\xbde\xf6,' 备：5661726961626C65206C656E6774682062696E61</t>
        </is>
      </c>
      <c r="EG24" s="0" t="inlineStr">
        <is>
          <t>3行 3列，源：09:12:34.120000 备：23:59:59.12</t>
        </is>
      </c>
      <c r="EH24" s="0" t="inlineStr">
        <is>
          <t>2行 6列，源：None 备：-99999999999999999999999999999999999999</t>
        </is>
      </c>
      <c r="EK24" s="0" t="inlineStr">
        <is>
          <t>3行 2列，源：12:30:45.100000 备：00:00:01.1</t>
        </is>
      </c>
      <c r="EN24" s="0" t="inlineStr">
        <is>
          <t>2行 7列，源：12:30:45.123450 备：23:59:59.123457</t>
        </is>
      </c>
      <c r="EO24" s="0" t="inlineStr">
        <is>
          <t>5行 2列，源：b'mC\xac\x05\xc6\x08)\xcb5\xa6]H\xc3U\xae\xa1\x03\x1a\xd7f\xe6\xf6\\I\xceM,\xbe\xe4\x9d\x10N:\xc8\xc8}Mj\xcez\xd6\x1d\xf1O\x0e\xc0*$\x14\xaa\xc5\x1d?\xf9\xad]q\x1eq\xda\x9b\xf7\xa5\xa1o\xac;\xcbT*\x12\xc8,\xc1\xe5\xfe\x1b\x8fN\x14v\xc6\xd9w\xda\xc6\xfaFx\xc8\xc3=k\xb6w\xae\xbde\xf6,' 备：6D43AC05C60829CB35A65D48C355AEA1031AD766E6F65C49CE4D2CBEE49D104E3AC8C87D4D6ACE7AD61DF14F0EC02A2414AAC51D3FF9AD5D711E71DA9BF7A5A16FAC3BCB542A12C82CC1E5FE1B8F4E1476C6D977DAC6FA4678C8C33D6BB677AEBD65F62C</t>
        </is>
      </c>
      <c r="EP24" s="0" t="inlineStr">
        <is>
          <t>2行 6列，源：None 备：</t>
        </is>
      </c>
      <c r="EQ24" s="0" t="inlineStr">
        <is>
          <t>11行 1列，源：1990-11-26 00:01:00 备：2000-05-11 14:30:00</t>
        </is>
      </c>
      <c r="ER24" s="0" t="inlineStr">
        <is>
          <t>11行 1列，源：1990-11-26 00:01:00 备：2025-05-11 12:00:00</t>
        </is>
      </c>
      <c r="ES24" s="0" t="inlineStr">
        <is>
          <t>2行 6列，源：None 备：-99999999999999999999999999999999999999</t>
        </is>
      </c>
      <c r="ET24" s="0" t="inlineStr">
        <is>
          <t>2行 4列，源：2026-04-17 16:56:52.828 +08:00 备：2003-11-05 02:00:00.000 -05:10</t>
        </is>
      </c>
      <c r="EV24" s="0" t="inlineStr">
        <is>
          <t>11行 1列，源：1990-11-26 00:01:00 备：2000-05-11 14:30:00</t>
        </is>
      </c>
    </row>
    <row r="25">
      <c r="A25" s="0" t="inlineStr">
        <is>
          <t>info_sdt_dml_batch1_pk_urp1</t>
        </is>
      </c>
      <c r="K25" s="0" t="inlineStr">
        <is>
          <t>[0;34m info_sdt_dml_batch1_pk_urp1 [0m源备字段数相同，源端字段：2 	备端字段2</t>
        </is>
      </c>
      <c r="W25" s="3">
        <f>HYPERLINK("#2026041905hbase4!AB2","NO 源备存在差异，共13个")</f>
        <v/>
      </c>
      <c r="X25" s="0">
        <f>A25</f>
        <v/>
      </c>
      <c r="AC25" s="0" t="inlineStr">
        <is>
          <t>12行 0列，源：13 备：31</t>
        </is>
      </c>
      <c r="AD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F25" s="0" t="inlineStr">
        <is>
          <t>12行 1列，源：1981-05-11 14:31:00 备：2068-05-11 14:31:00</t>
        </is>
      </c>
      <c r="AH25" s="0" t="inlineStr">
        <is>
          <t>2行 4列，源：2025-05-12 00:00:00.000 -14:00 备：1971-05-11 00:00:00.000 +14:00</t>
        </is>
      </c>
      <c r="AI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5" s="0" t="inlineStr">
        <is>
          <t>2行 15列，源：1.23456789012345e-30 备：0.0000000000000</t>
        </is>
      </c>
      <c r="AO25" s="0" t="inlineStr">
        <is>
          <t>11行 1列，源：1998-05-05 23:59:59.997000 备：1900-01-01 00:00:00.000</t>
        </is>
      </c>
      <c r="AP25" s="0" t="inlineStr">
        <is>
          <t>11行 1列，源：1998-05-05 23:59:59.997000 备：1753-01-01 00:00:00.000</t>
        </is>
      </c>
      <c r="AQ25" s="0" t="inlineStr">
        <is>
          <t>5行 3列，源：b'\xb2\xa7\x1e\xf4\ti\x8e=?\x97\xff\xfe\x1f%$ \x12=]\xcc\xcfe\xa88\xd8\x9d\x9b&amp;\t\x85\xdb\x9b\xc9\xf6\x9e\x80&amp;{\x0f\x1c\xe2g{\xcd\x1f\xa5\xf6\xd3\x9e\xaf\xc8jZ|\xdd/\x98\xb5\x19I\xb3\x16\x17\x9f\n\x98\xc2y\x80\xd3&gt;\x97\x04\xf8\xc1\x82?H\xb4j\xfd1\x8d\xf5\x00\xdf\xcf\x9d\xbfAP\xe9T\xe9\xf0F\xc1 *\x18\x8d\xd1\x10\xec\n&amp;\x86y\xe2\xacB\xa6\xa6\xfd\xc8jl\x01y\x87\xe1\xa9\x95\x93\xd1qF\xc5\xc9\x0c\xcf\xc5u\xc3\xb93t\xba\x84\xac\xdc-`\x04\xedXV\x07\x9cU\xe7V1\xde\xbc\xfa\x1dU\xa8\xf6\xd0\x94\x91\xbd\xd9\x05\x00T\xcb\xfet\xfd\x17M\x1a\xf0!r\xd4\xe9Av\x1f\xc42S+\xbe\x81\x83\x90\x03\x8a$\xa3e\xfbQ\xcf\xc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AR25" s="0" t="inlineStr">
        <is>
          <t>11行 1列，源：1998-05-05 23:59:59.997000 备：1900-01-01 00:00:00.000</t>
        </is>
      </c>
      <c r="AS25" s="0" t="inlineStr">
        <is>
          <t>2行 16列，源：1.2345669834560371e-20 备：0.000000</t>
        </is>
      </c>
      <c r="AT25" s="0" t="inlineStr">
        <is>
          <t>12行 0列，源：13 备：115</t>
        </is>
      </c>
      <c r="AU25" s="0" t="inlineStr">
        <is>
          <t xml:space="preserve">5行 2列，源：This is a nchar stri 备：这是一个中文字符串           </t>
        </is>
      </c>
      <c r="AV25" s="0" t="inlineStr">
        <is>
          <t>11行 1列，源：9999-12-31 23:59:59.997000 备：9999-12-31 23:59:59.997</t>
        </is>
      </c>
      <c r="AX25" s="0" t="inlineStr">
        <is>
          <t>12行 0列，源：13 备：20</t>
        </is>
      </c>
      <c r="AZ25"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C25" s="0" t="inlineStr">
        <is>
          <t>5行 6列，源：1945-05-11 14:30:45.123460 备：1945-05-11 14:30:45.12346</t>
        </is>
      </c>
      <c r="BE25" s="0" t="inlineStr">
        <is>
          <t>2行 5列，源：2026-04-17 17:17:24.630600 备：9999-12-31 23:59:59.9999</t>
        </is>
      </c>
      <c r="BF25" s="0" t="inlineStr">
        <is>
          <t>5行 6列，源：1945-05-11 14:30:45.123460 备：1945-05-11 14:30:45.12346</t>
        </is>
      </c>
      <c r="BG25" s="0" t="inlineStr">
        <is>
          <t>1行 2列，源：-12345.0 备：</t>
        </is>
      </c>
      <c r="BH25" s="0" t="inlineStr">
        <is>
          <t>5行 3列，源：b"\xdc.@\x10W\xde\xd1\xa0o+7P\xff\xbee\xaeYa\xce\xb6F\xca\x80\xed!\xe5\xeavl_r\xd4\xf0\xca\xef^\xf8Rz\xad\xdd*\xec\xb6\x0b\xbf\xa9\xad\x19\xd8!\xd5\xe6|\x1b(\x8e\x812Y\x00\xb4\xd1\x92\x90\xad\x8c\x94\xfa\x02\xed\x0c\x02\xb5\xb8\xb5\x18\xf7\xb5\xe2\x17\\\xd9\xff\x91.rW\x15eb\xcd7\r\x07\xb0j\xa1H\x07Ll\\\x84K(\xa4njhV\xe7\x00H+l\xea\x17\xd4\xc2\x8f)g\xc5\xa5\xc5\xb3pF\xb1\xdfDp(\x89\xa4\x9b\xd26R\xe6I\xf3c\xcesS\xa6q\xfda\t\r&lt;\xe1G\xab_\xb0\xf1=(C\xac}b\xdf\x8f\xbfX\x96\x16\r\xe4\xc9\xae|\xfd\x87\x9e\xd8\xce\xe1\x04\xda\xc8F\xf4\xed'\xb6:\xa0\xb9\xb1\x9cZY\xbf\xe9"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I25" s="0" t="inlineStr">
        <is>
          <t>2行 5列，源：2026-04-17 17:17:33.413300 备：9999-12-31 23:59:59.9999</t>
        </is>
      </c>
      <c r="BJ25" s="0" t="inlineStr">
        <is>
          <t>2行 7列，源：None 备：</t>
        </is>
      </c>
      <c r="BL25"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P25" s="0" t="inlineStr">
        <is>
          <t>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S25" s="0" t="inlineStr">
        <is>
          <t>5行 2列，源：This is a nvarchar 备：这是一个中文字符串</t>
        </is>
      </c>
      <c r="BT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25" s="0" t="inlineStr">
        <is>
          <t>2行 5列，源：2026-04-17 17:18:20.5678 +08:00 备：2003-11-05 02:00:00.0000 -05:10</t>
        </is>
      </c>
      <c r="BX25" s="0" t="inlineStr">
        <is>
          <t>2行 5列，源：2026-04-17 17:18:22.7550 +08:00 备：2003-11-05 02:00:00.0000 -05:10</t>
        </is>
      </c>
      <c r="BY25" s="0" t="inlineStr">
        <is>
          <t>2行 5列，源：2026-04-17 17:18:31.5370 +08:00 备：2003-11-05 02:00:00.0000 -05:10</t>
        </is>
      </c>
      <c r="CA25" s="0" t="inlineStr">
        <is>
          <t>5行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B25" s="0" t="inlineStr">
        <is>
          <t>2行 5列，源：2026-04-17 17:18:31.5370 +08:00 备：1900-01-01 00:00:00.0000 +00:00</t>
        </is>
      </c>
      <c r="CD25" s="0" t="inlineStr">
        <is>
          <t>4行 6列，源：None 备：</t>
        </is>
      </c>
      <c r="CE25" s="0" t="inlineStr">
        <is>
          <t>3行 4列，源：0001-01-01 00:00:00.000 +00:00 备：2025-05-12 00:00:00.000 -14:00</t>
        </is>
      </c>
      <c r="CF25" s="0" t="inlineStr">
        <is>
          <t>2行 5列，源：23:59:59.999900 备：12:30:45.1235</t>
        </is>
      </c>
      <c r="CG25" s="0" t="inlineStr">
        <is>
          <t>13行 1列，源：0001-01-01 备：</t>
        </is>
      </c>
      <c r="CH25" s="0" t="inlineStr">
        <is>
          <t>2行 4列，源：2013-03-12 02:00:00.000 -04:25 备：2063-05-11 10:30:45.123 -04:00</t>
        </is>
      </c>
      <c r="CK25" s="0" t="inlineStr">
        <is>
          <t>5行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25" s="0" t="inlineStr">
        <is>
          <t>2行 4列，源：12:30:45.100000 备：23:59:59.999</t>
        </is>
      </c>
      <c r="CM25" s="0" t="inlineStr">
        <is>
          <t>2行 19列，源：False 备：</t>
        </is>
      </c>
      <c r="CN25" s="0" t="inlineStr">
        <is>
          <t>11行 1列，源：1970-01-01 备：2026-04-17</t>
        </is>
      </c>
      <c r="CO25" s="0" t="inlineStr">
        <is>
          <t>5行 3列，源：b'\xf4\xf7C\xea\xde\xfd\x01f\xda\x13\xeeZ\xfcx"\xe3\x84t\x92\xb28\xf2\x99+&lt;G\xaf\xe3\xc9\xfa\xa20\x90(\x04\xfdZw\xb9\xf6\x997"\xaf\xd0\x85d\xe5oU[\xa9\xe7\xd9M\x14\x1e\xa2\xd4\xe7a\xdf\xdc\xe7\x00\xcc#Q\x81\xf3\x12\xa0^\xc8\xfb\xe3\x87\x00\x15\x1d\xca&amp;\xec\xf3T\x1fz\x07\xe7\x12Ja\xf3] S\xf0\xdd2\xba\xef\xa0\xdb\x18+\x96\xf0 \x1c\xd3\xd3\x15\xaaF\x0bX\x95\xf8\xc3\xba\xf18\xc6g\xba\x0f\xa7\x8e\x80RCN\xdf+\xf5i\x9f\xdc\xdd\xd6\xeam\xfc\xdf\x9b\xcdw5\xed~\xf9\x95\xc4}=\xb5\xd4\xff\x81\rZ\xe69\x02\x1fG\xa4\x10Hz4\xba(\x81\x88#w:\xed\xc4}\xf6\xa2\xcfA[x\xf4\xb3$\xd3^s\x9b\x9e\x00\xfec\xc0g'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P25" s="0" t="inlineStr">
        <is>
          <t>12行 0列，源：13 备：8</t>
        </is>
      </c>
      <c r="CT25" s="0" t="inlineStr">
        <is>
          <t>3行 2列，源：nan 备：</t>
        </is>
      </c>
      <c r="DA25" s="0" t="inlineStr">
        <is>
          <t>2行 19列，源：True 备：</t>
        </is>
      </c>
      <c r="DB25" s="0" t="inlineStr">
        <is>
          <t>11行 1列，源：1998-05-05 23:59:59.997000 备：1900-01-01 00:00:00.000</t>
        </is>
      </c>
      <c r="DC25" s="0" t="inlineStr">
        <is>
          <t>1行 6列，源：None 备：</t>
        </is>
      </c>
      <c r="DG25" s="0" t="inlineStr">
        <is>
          <t>11行 0列，源：18 备：6</t>
        </is>
      </c>
      <c r="DH25"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J25" s="0" t="inlineStr">
        <is>
          <t>2行 5列，源：23:59:59.999900 备：12:30:45.1235</t>
        </is>
      </c>
      <c r="DL25" s="0" t="inlineStr">
        <is>
          <t>2行 5列，源：23:59:59.999900 备：12:30:45.1235</t>
        </is>
      </c>
      <c r="DM25" s="0" t="inlineStr">
        <is>
          <t>0行 23列，源：None 备：</t>
        </is>
      </c>
      <c r="DN25"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25" s="0" t="inlineStr">
        <is>
          <t>5行 6列，源：1945-05-11 14:30:45.123460 备：1945-05-11 14:30:45.12346</t>
        </is>
      </c>
      <c r="DQ25" s="0" t="inlineStr">
        <is>
          <t>5行 3列，源：b"\x03\x0eou\xe3\x03d3\xa5\x1ec^\xb2\xd2\x1b\xc3\x8c\xb4\xe3\xe5FaT\xe2;\xbe\x11\xf2#\x9b}\xab*'\x0e\xd0.\x98\xb5\x19\x84c\x1d\rE\xbc\xfe/\\\xd6\x87\xae\x9f\xbeli:W~;e\xd2\x00j\xd2\x9f\xc5\x8foJXekX{Oi\xc7kx\xfb\xb1\xa81a\xbas\x8f\xf3\xad 5HO\xa9\xac\xd2\xf4\x86\x7f\xa6h\xb0\x85\x1c\x9f=\x81\xe2W\x92u\xa8-\xb4\xb1\xb3\x15\xfd\xda\xe0\xd6\xd1\xfa\xfeU\x7f`5\x88A\xa6\x9e\x88\xb3\x91\xc1\x07E\xa5\xafel\x15\xf9\xe0\xab\x1d\xd8\xfb\xa3c\xe6L\x85\x00UNNEV\x94\x9b\xf3\xd2\xd4\x19\x8b)\xc1\x7f0\xe7'K`2S\xc5\x8f9\xe4\xac\x85{\xd4@\x8dG\xe8\x85\xcfhz\x9b\xdf\xa7$\xf8\xec"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T25" s="0" t="inlineStr">
        <is>
          <t>2行 5列，源：23:59:59.999900 备：12:30:45.1235</t>
        </is>
      </c>
      <c r="DU25" s="0" t="inlineStr">
        <is>
          <t>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V25" s="0" t="inlineStr">
        <is>
          <t>1行 19列，源：None 备：</t>
        </is>
      </c>
      <c r="DX25" s="0" t="inlineStr">
        <is>
          <t>2行 7列，源：None 备：</t>
        </is>
      </c>
      <c r="EC25" s="0" t="inlineStr">
        <is>
          <t>2行 5列，源：23:59:59.999900 备：12:30:45.1235</t>
        </is>
      </c>
      <c r="ED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G25" s="0" t="inlineStr">
        <is>
          <t>3行 4列，源：12:30:45 备：23:59:59.123</t>
        </is>
      </c>
      <c r="EH25" s="0" t="inlineStr">
        <is>
          <t>2行 7列，源：None 备：-0.99999999999999999999999999999999999999</t>
        </is>
      </c>
      <c r="EK25" s="0" t="inlineStr">
        <is>
          <t>3行 3列，源：12:30:45.120000 备：</t>
        </is>
      </c>
      <c r="EN25" s="0" t="inlineStr">
        <is>
          <t>2行 8列，源：12:30:45.123450 备：23:59:59.1234567</t>
        </is>
      </c>
      <c r="EO25" s="0" t="inlineStr">
        <is>
          <t>5行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P25" s="0" t="inlineStr">
        <is>
          <t>2行 7列，源：None 备：</t>
        </is>
      </c>
      <c r="EQ25" s="0" t="inlineStr">
        <is>
          <t>12行 0列，源：13 备：8</t>
        </is>
      </c>
      <c r="ER25" s="0" t="inlineStr">
        <is>
          <t>12行 0列，源：13 备：134</t>
        </is>
      </c>
      <c r="ES25" s="0" t="inlineStr">
        <is>
          <t>2行 7列，源：None 备：-0.99999999999999999999999999999999999999</t>
        </is>
      </c>
      <c r="ET25" s="0" t="inlineStr">
        <is>
          <t>2行 5列，源：2026-04-17 16:56:52.8279 +08:00 备：2003-11-05 02:00:00.0000 -05:10</t>
        </is>
      </c>
      <c r="EV25" s="0" t="inlineStr">
        <is>
          <t>12行 0列，源：13 备：8</t>
        </is>
      </c>
    </row>
    <row r="26">
      <c r="B26" s="0" t="inlineStr">
        <is>
          <t>YES</t>
        </is>
      </c>
      <c r="C26" s="0" t="inlineStr">
        <is>
          <t>NULL</t>
        </is>
      </c>
      <c r="D26" s="0" t="inlineStr">
        <is>
          <t>NULL</t>
        </is>
      </c>
      <c r="E26" s="0" t="inlineStr">
        <is>
          <t>NULL</t>
        </is>
      </c>
      <c r="F26" s="0" t="inlineStr">
        <is>
          <t>NULL</t>
        </is>
      </c>
      <c r="G26" s="0" t="inlineStr">
        <is>
          <t>NULL</t>
        </is>
      </c>
      <c r="H26" s="0" t="inlineStr">
        <is>
          <t>NULL</t>
        </is>
      </c>
      <c r="I26" s="0" t="inlineStr">
        <is>
          <t>YES!PK__info_sdt__3213E83F2F056759</t>
        </is>
      </c>
      <c r="J26" s="0" t="inlineStr">
        <is>
          <t>YES! 主键相关索引</t>
        </is>
      </c>
      <c r="K26" s="0" t="inlineStr">
        <is>
          <t xml:space="preserve"> NO!  	 id列源备映射错误，源端为int None位	期望更改为text	实际备端为int None位</t>
        </is>
      </c>
      <c r="AC26" s="0" t="inlineStr">
        <is>
          <t>12行 1列，源：2025-05-11 12:00:00 备：1900-01-02 00:00:00</t>
        </is>
      </c>
      <c r="AD26" s="0" t="inlineStr">
        <is>
          <t>6行 0列，源：7 备：6</t>
        </is>
      </c>
      <c r="AF26" s="0" t="inlineStr">
        <is>
          <t>13行 0列，源：14 备：9</t>
        </is>
      </c>
      <c r="AH26" s="0" t="inlineStr">
        <is>
          <t>2行 5列，源：2025-05-12 00:00:00.0000 -14:00 备：1971-05-11 00:00:00.0000 +14:00</t>
        </is>
      </c>
      <c r="AI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AM26" s="0" t="inlineStr">
        <is>
          <t>2行 16列，源：1.2345669834560371e-20 备：0.000000</t>
        </is>
      </c>
      <c r="AO26" s="0" t="inlineStr">
        <is>
          <t>12行 0列，源：13 备：20</t>
        </is>
      </c>
      <c r="AP26" s="0" t="inlineStr">
        <is>
          <t>12行 0列，源：13 备：156</t>
        </is>
      </c>
      <c r="AQ26" s="0" t="inlineStr">
        <is>
          <t>6行 0列，源：7 备：6</t>
        </is>
      </c>
      <c r="AR26" s="0" t="inlineStr">
        <is>
          <t>12行 0列，源：13 备：20</t>
        </is>
      </c>
      <c r="AS26" s="0" t="inlineStr">
        <is>
          <t>2行 18列，源：None 备：</t>
        </is>
      </c>
      <c r="AT26" s="0" t="inlineStr">
        <is>
          <t>12行 1列，源：1999-06-06 23:59:59.997000 备：2001-04-09 23:59:59.993</t>
        </is>
      </c>
      <c r="AU26" s="0" t="inlineStr">
        <is>
          <t xml:space="preserve">5行 2列，源：This is a nchar stri 备：这是一个中文字符串           </t>
        </is>
      </c>
      <c r="AV26" s="0" t="inlineStr">
        <is>
          <t>12行 0列，源：13 备：20</t>
        </is>
      </c>
      <c r="AX26" s="0" t="inlineStr">
        <is>
          <t>12行 1列，源：1999-06-06 23:59:59.997000 备：2020-02-29 19:27:31.123</t>
        </is>
      </c>
      <c r="AZ26" s="0" t="inlineStr">
        <is>
          <t xml:space="preserve">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t>
        </is>
      </c>
      <c r="BC26" s="0" t="inlineStr">
        <is>
          <t>6行 2列，源：2065-05-11 14:30:45.100000 备：2065-05-11 14:30:45.1</t>
        </is>
      </c>
      <c r="BE26" s="0" t="inlineStr">
        <is>
          <t>2行 6列，源：2026-04-17 17:17:24.630650 备：9999-12-31 23:59:59.99999</t>
        </is>
      </c>
      <c r="BF26" s="0" t="inlineStr">
        <is>
          <t>6行 2列，源：2065-05-11 14:30:45.100000 备：2065-05-11 14:30:45.1</t>
        </is>
      </c>
      <c r="BG26" s="0" t="inlineStr">
        <is>
          <t>1行 3列，源：-123456789.0 备：</t>
        </is>
      </c>
      <c r="BH26" s="0" t="inlineStr">
        <is>
          <t>6行 0列，源：7 备：6</t>
        </is>
      </c>
      <c r="BI26" s="0" t="inlineStr">
        <is>
          <t>2行 6列，源：2026-04-17 17:17:33.413300 备：9999-12-31 23:59:59.99999</t>
        </is>
      </c>
      <c r="BJ26" s="0" t="inlineStr">
        <is>
          <t>2行 8列，源：None 备：</t>
        </is>
      </c>
      <c r="BL26" s="0" t="inlineStr">
        <is>
          <t xml:space="preserve">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BP26" s="0" t="inlineStr">
        <is>
          <t>6行 0列，源：7 备：127</t>
        </is>
      </c>
      <c r="BS26" s="0" t="inlineStr">
        <is>
          <t>5行 2列，源：This is a nvarchar 备：这是一个中文字符串</t>
        </is>
      </c>
      <c r="BT26" s="0" t="inlineStr">
        <is>
          <t>6行 0列，源：7 备：6</t>
        </is>
      </c>
      <c r="BV26" s="0" t="inlineStr">
        <is>
          <t>2行 6列，源：2026-04-17 17:18:20.56779 +08:00 备：2003-11-05 02:00:00.00000 -05:10</t>
        </is>
      </c>
      <c r="BX26" s="0" t="inlineStr">
        <is>
          <t>2行 6列，源：2026-04-17 17:18:22.75495 +08:00 备：2003-11-05 02:00:00.00000 -05:10</t>
        </is>
      </c>
      <c r="BY26" s="0" t="inlineStr">
        <is>
          <t>2行 6列，源：2026-04-17 17:18:31.53698 +08:00 备：2003-11-05 02:00:00.00000 -05:10</t>
        </is>
      </c>
      <c r="CA26" s="0" t="inlineStr">
        <is>
          <t>6行 0列，源：7 备：107</t>
        </is>
      </c>
      <c r="CB26" s="0" t="inlineStr">
        <is>
          <t>2行 6列，源：2026-04-17 17:18:31.53698 +08:00 备：1900-01-01 00:00:00.00000 +00:00</t>
        </is>
      </c>
      <c r="CD26" s="0" t="inlineStr">
        <is>
          <t>4行 8列，源：None 备：</t>
        </is>
      </c>
      <c r="CE26" s="0" t="inlineStr">
        <is>
          <t>3行 5列，源：0001-01-01 00:00:00.0000 +00:00 备：2025-05-12 00:00:00.0000 -14:00</t>
        </is>
      </c>
      <c r="CF26" s="0" t="inlineStr">
        <is>
          <t>2行 6列，源：23:59:59.999990 备：12:30:45.12346</t>
        </is>
      </c>
      <c r="CG26" s="0" t="inlineStr">
        <is>
          <t>14行 0列，源：24 备：22</t>
        </is>
      </c>
      <c r="CH26" s="0" t="inlineStr">
        <is>
          <t>2行 5列，源：2013-03-12 02:00:00.0000 -04:25 备：2063-05-11 10:30:45.1235 -04:00</t>
        </is>
      </c>
      <c r="CK26" s="0" t="inlineStr">
        <is>
          <t>6行 0列，源：7 备：6</t>
        </is>
      </c>
      <c r="CL26" s="0" t="inlineStr">
        <is>
          <t>2行 5列，源：12:30:45.100000 备：23:59:59.9999</t>
        </is>
      </c>
      <c r="CM26" s="0" t="inlineStr">
        <is>
          <t>3行 0列，源：4 备：12</t>
        </is>
      </c>
      <c r="CN26" s="0" t="inlineStr">
        <is>
          <t>12行 0列，源：58 备：209</t>
        </is>
      </c>
      <c r="CO26" s="0" t="inlineStr">
        <is>
          <t>6行 0列，源：7 备：6</t>
        </is>
      </c>
      <c r="CP26" s="0" t="inlineStr">
        <is>
          <t>12行 1列，源：2025-05-11 12:00:00 备：2068-05-11 14:31:00</t>
        </is>
      </c>
      <c r="CT26" s="0" t="inlineStr">
        <is>
          <t>3行 3列，源：nan 备：</t>
        </is>
      </c>
      <c r="DA26" s="0" t="inlineStr">
        <is>
          <t>3行 0列，源：7 备：13</t>
        </is>
      </c>
      <c r="DB26" s="0" t="inlineStr">
        <is>
          <t>12行 0列，源：13 备：20</t>
        </is>
      </c>
      <c r="DC26" s="0" t="inlineStr">
        <is>
          <t>1行 8列，源：None 备：</t>
        </is>
      </c>
      <c r="DG26" s="0" t="inlineStr">
        <is>
          <t>11行 1列，源：2004-12-24 23:59:59.990000 备：2020-02-29 19:27:31.123</t>
        </is>
      </c>
      <c r="DH26" s="0" t="inlineStr">
        <is>
          <t>3行 3列，源：                                                                                                                                                                                                                                                                                                                                                                                                                                                                                                                                                                                                                                                                                                                                                                                                                                                                                                                                                                                                                                                                                                                                                                                                                                                                                                                                                                                                                                                                                                                                                                                                                                                                                                                                                                                                                                                                                                                                                                                                                                                                                 备：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t>
        </is>
      </c>
      <c r="DJ26" s="0" t="inlineStr">
        <is>
          <t>2行 6列，源：23:59:59.999990 备：12:30:45.12346</t>
        </is>
      </c>
      <c r="DL26" s="0" t="inlineStr">
        <is>
          <t>2行 6列，源：23:59:59.999990 备：12:30:45.12346</t>
        </is>
      </c>
      <c r="DM26" s="0" t="inlineStr">
        <is>
          <t>0行 24列，源：timestamp不参与比较 备：0000000000014075</t>
        </is>
      </c>
      <c r="DN26" s="0" t="inlineStr">
        <is>
          <t>3行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P26" s="0" t="inlineStr">
        <is>
          <t>6行 2列，源：2065-05-11 14:30:45.100000 备：2065-05-11 14:30:45.1</t>
        </is>
      </c>
      <c r="DQ26" s="0" t="inlineStr">
        <is>
          <t>6行 0列，源：7 备：6</t>
        </is>
      </c>
      <c r="DT26" s="0" t="inlineStr">
        <is>
          <t>2行 6列，源：23:59:59.999990 备：12:30:45.12346</t>
        </is>
      </c>
      <c r="DU26" s="0" t="inlineStr">
        <is>
          <t>6行 0列，源：7 备：127</t>
        </is>
      </c>
      <c r="DV26" s="0" t="inlineStr">
        <is>
          <t>1行 20列，源：None 备：</t>
        </is>
      </c>
      <c r="DX26" s="0" t="inlineStr">
        <is>
          <t>2行 8列，源：None 备：</t>
        </is>
      </c>
      <c r="EC26" s="0" t="inlineStr">
        <is>
          <t>2行 6列，源：23:59:59.999990 备：12:30:45.12345</t>
        </is>
      </c>
      <c r="ED26" s="0" t="inlineStr">
        <is>
          <t>6行 0列，源：7 备：6</t>
        </is>
      </c>
      <c r="EG26" s="0" t="inlineStr">
        <is>
          <t>3行 5列，源：09:12:34.123500 备：23:59:59.1235</t>
        </is>
      </c>
      <c r="EH26" s="0" t="inlineStr">
        <is>
          <t>2行 8列，源：None 备：-9999999999999999999999999999.9999999999</t>
        </is>
      </c>
      <c r="EK26" s="0" t="inlineStr">
        <is>
          <t>3行 4列，源：12:30:45.123000 备：00:00:01.123</t>
        </is>
      </c>
      <c r="EN26" s="0" t="inlineStr">
        <is>
          <t>3行 0列，源：10 备：13</t>
        </is>
      </c>
      <c r="EO26" s="0" t="inlineStr">
        <is>
          <t>6行 0列，源：7 备：107</t>
        </is>
      </c>
      <c r="EP26" s="0" t="inlineStr">
        <is>
          <t>2行 8列，源：None 备：</t>
        </is>
      </c>
      <c r="EQ26" s="0" t="inlineStr">
        <is>
          <t>12行 1列，源：2025-05-11 12:00:00 备：2068-05-11 14:31:00</t>
        </is>
      </c>
      <c r="ER26" s="0" t="inlineStr">
        <is>
          <t>12行 1列，源：2025-05-11 12:00:00 备：2023-12-25 23:59:00</t>
        </is>
      </c>
      <c r="ES26" s="0" t="inlineStr">
        <is>
          <t>2行 8列，源：None 备：-9999999999999999999999999999.9999999999</t>
        </is>
      </c>
      <c r="ET26" s="0" t="inlineStr">
        <is>
          <t>2行 6列，源：2026-04-17 16:56:52.82789 +08:00 备：2003-11-05 02:00:00.00000 -05:10</t>
        </is>
      </c>
      <c r="EV26" s="0" t="inlineStr">
        <is>
          <t>12行 1列，源：2025-05-11 12:00:00 备：2068-05-11 14:31:00</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c_sdt列源备映射错误，源端为smalldatetime None位	期望更改为text	实际备端为smalldatetime None位</t>
        </is>
      </c>
      <c r="AC27" s="0" t="inlineStr">
        <is>
          <t>13行 0列，源：14 备：32</t>
        </is>
      </c>
      <c r="AD27" s="0" t="inlineStr">
        <is>
          <t>6行 1列，源：b'T' 备：4A</t>
        </is>
      </c>
      <c r="AF27" s="0" t="inlineStr">
        <is>
          <t>13行 1列，源：1981-05-11 14:31:00 备：2079-06-05 23:59:00</t>
        </is>
      </c>
      <c r="AH27" s="0" t="inlineStr">
        <is>
          <t>2行 6列，源：2025-05-12 00:00:00.00000 -14:00 备：1971-05-11 00:00:00.00000 +14:00</t>
        </is>
      </c>
      <c r="AI27" s="0" t="inlineStr">
        <is>
          <t>4行 0列，源：5 备：13</t>
        </is>
      </c>
      <c r="AM27" s="0" t="inlineStr">
        <is>
          <t>2行 18列，源：None 备：</t>
        </is>
      </c>
      <c r="AO27" s="0" t="inlineStr">
        <is>
          <t>12行 1列，源：1999-06-06 23:59:59.997000 备：9999-12-30 23:59:59.997</t>
        </is>
      </c>
      <c r="AP27" s="0" t="inlineStr">
        <is>
          <t>12行 1列，源：1999-06-06 23:59:59.997000 备：2020-02-29 19:27:31.123</t>
        </is>
      </c>
      <c r="AQ27" s="0" t="inlineStr">
        <is>
          <t>6行 1列，源：b'T' 备：4A</t>
        </is>
      </c>
      <c r="AR27" s="0" t="inlineStr">
        <is>
          <t>12行 1列，源：1999-06-06 23:59:59.997000 备：9999-12-30 23:59:59.997</t>
        </is>
      </c>
      <c r="AS27" s="0" t="inlineStr">
        <is>
          <t>2行 19列，源：True 备：0</t>
        </is>
      </c>
      <c r="AT27" s="0" t="inlineStr">
        <is>
          <t>13行 0列，源：14 备：116</t>
        </is>
      </c>
      <c r="AU27"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AV27" s="0" t="inlineStr">
        <is>
          <t>12行 1列，源：9999-12-31 23:59:59.997000 备：9999-12-31 23:59:59.997</t>
        </is>
      </c>
      <c r="AX27" s="0" t="inlineStr">
        <is>
          <t>13行 0列，源：14 备：21</t>
        </is>
      </c>
      <c r="AZ27" s="0" t="inlineStr">
        <is>
          <t>4行 0列，源：5 备：13</t>
        </is>
      </c>
      <c r="BC27" s="0" t="inlineStr">
        <is>
          <t>6行 3列，源：2065-05-11 14:30:45.120000 备：2065-05-11 14:30:45.12</t>
        </is>
      </c>
      <c r="BE27" s="0" t="inlineStr">
        <is>
          <t>2行 7列，源：2026-04-17 17:17:24.630647 备：9999-12-31 23:59:59.999999</t>
        </is>
      </c>
      <c r="BF27" s="0" t="inlineStr">
        <is>
          <t>6行 3列，源：2065-05-11 14:30:45.120000 备：2065-05-11 14:30:45.12</t>
        </is>
      </c>
      <c r="BG27" s="0" t="inlineStr">
        <is>
          <t>1行 4列，源：-123456789012345.0 备：</t>
        </is>
      </c>
      <c r="BH27" s="0" t="inlineStr">
        <is>
          <t>6行 1列，源：b'T' 备：8F</t>
        </is>
      </c>
      <c r="BI27" s="0" t="inlineStr">
        <is>
          <t>2行 7列，源：2026-04-17 17:17:33.413301 备：9999-12-31 23:59:59.999999</t>
        </is>
      </c>
      <c r="BJ27" s="0" t="inlineStr">
        <is>
          <t>2行 10列，源：None 备：</t>
        </is>
      </c>
      <c r="BL27" s="0" t="inlineStr">
        <is>
          <t>4行 0列，源：5 备：2</t>
        </is>
      </c>
      <c r="BO27" s="0" t="inlineStr">
        <is>
          <t>4行 0列，源：5 备：13</t>
        </is>
      </c>
      <c r="BP27" s="0" t="inlineStr">
        <is>
          <t>6行 1列，源：b'T' 备：54</t>
        </is>
      </c>
      <c r="BS27"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BT27" s="0" t="inlineStr">
        <is>
          <t>6行 1列，源：b'T' 备：AF</t>
        </is>
      </c>
      <c r="BV27" s="0" t="inlineStr">
        <is>
          <t>2行 7列，源：2026-04-17 17:18:20.567790 +08:00 备：2003-11-05 02:00:00.000000 -05:10</t>
        </is>
      </c>
      <c r="BX27" s="0" t="inlineStr">
        <is>
          <t>2行 7列，源：2026-04-17 17:18:22.754952 +08:00 备：2003-11-05 02:00:00.000000 -05:10</t>
        </is>
      </c>
      <c r="BY27" s="0" t="inlineStr">
        <is>
          <t>2行 7列，源：2026-04-17 17:18:31.536981 +08:00 备：2003-11-05 02:00:00.000000 -05:10</t>
        </is>
      </c>
      <c r="CA27" s="0" t="inlineStr">
        <is>
          <t>6行 1列，源：b'T' 备：54</t>
        </is>
      </c>
      <c r="CB27" s="0" t="inlineStr">
        <is>
          <t>2行 7列，源：2026-04-17 17:18:31.536981 +08:00 备：1900-01-01 00:00:00.000000 +00:00</t>
        </is>
      </c>
      <c r="CD27" s="0" t="inlineStr">
        <is>
          <t>5行 0列，源：6 备：2</t>
        </is>
      </c>
      <c r="CE27" s="0" t="inlineStr">
        <is>
          <t>3行 6列，源：0001-01-01 00:00:00.00000 +00:00 备：2025-05-12 00:00:00.00000 -14:00</t>
        </is>
      </c>
      <c r="CF27" s="0" t="inlineStr">
        <is>
          <t>2行 7列，源：23:59:59.999999 备：12:30:45.123457</t>
        </is>
      </c>
      <c r="CG27" s="0" t="inlineStr">
        <is>
          <t>14行 1列，源：9999-12-31 备：1900-01-01</t>
        </is>
      </c>
      <c r="CH27" s="0" t="inlineStr">
        <is>
          <t>2行 6列，源：2013-03-12 02:00:00.00000 -04:25 备：2063-05-11 10:30:45.12346 -04:00</t>
        </is>
      </c>
      <c r="CK27" s="0" t="inlineStr">
        <is>
          <t>6行 1列，源：b'X' 备：58</t>
        </is>
      </c>
      <c r="CL27" s="0" t="inlineStr">
        <is>
          <t>2行 6列，源：12:30:45.100000 备：23:59:59.99999</t>
        </is>
      </c>
      <c r="CM27" s="0" t="inlineStr">
        <is>
          <t>3行 1列，源：nan 备：</t>
        </is>
      </c>
      <c r="CN27" s="0" t="inlineStr">
        <is>
          <t>12行 1列，源：0001-01-02 备：9999-12-30</t>
        </is>
      </c>
      <c r="CO27" s="0" t="inlineStr">
        <is>
          <t>6行 1列，源：b'T' 备：54</t>
        </is>
      </c>
      <c r="CP27" s="0" t="inlineStr">
        <is>
          <t>13行 0列，源：14 备：9</t>
        </is>
      </c>
      <c r="CT27" s="0" t="inlineStr">
        <is>
          <t>3行 4列，源：nan 备：</t>
        </is>
      </c>
      <c r="DA27" s="0" t="inlineStr">
        <is>
          <t>3行 1列，源：nan 备：</t>
        </is>
      </c>
      <c r="DB27" s="0" t="inlineStr">
        <is>
          <t>12行 1列，源：1999-06-06 23:59:59.997000 备：9999-12-30 23:59:59.997</t>
        </is>
      </c>
      <c r="DC27" s="0" t="inlineStr">
        <is>
          <t>1行 9列，源：None 备：</t>
        </is>
      </c>
      <c r="DG27" s="0" t="inlineStr">
        <is>
          <t>12行 0列，源：21 备：7</t>
        </is>
      </c>
      <c r="DH27" s="0" t="inlineStr">
        <is>
          <t>4行 0列，源：5 备：13</t>
        </is>
      </c>
      <c r="DJ27" s="0" t="inlineStr">
        <is>
          <t>2行 7列，源：23:59:59.999999 备：12:30:45.123457</t>
        </is>
      </c>
      <c r="DL27" s="0" t="inlineStr">
        <is>
          <t>2行 7列，源：23:59:59.999999 备：12:30:45.123457</t>
        </is>
      </c>
      <c r="DM27" s="0" t="inlineStr">
        <is>
          <t>0行 24列，源：timestamp不参与比较 备：0000000000014075</t>
        </is>
      </c>
      <c r="DN27" s="0" t="inlineStr">
        <is>
          <t>4行 0列，源：5 备：2</t>
        </is>
      </c>
      <c r="DP27" s="0" t="inlineStr">
        <is>
          <t>6行 3列，源：2065-05-11 14:30:45.120000 备：2065-05-11 14:30:45.12</t>
        </is>
      </c>
      <c r="DQ27" s="0" t="inlineStr">
        <is>
          <t>6行 1列，源：b'T' 备：EB</t>
        </is>
      </c>
      <c r="DT27" s="0" t="inlineStr">
        <is>
          <t>2行 7列，源：23:59:59.999999 备：12:30:45.123457</t>
        </is>
      </c>
      <c r="DU27" s="0" t="inlineStr">
        <is>
          <t>6行 1列，源：b'T' 备：54</t>
        </is>
      </c>
      <c r="DV27" s="0" t="inlineStr">
        <is>
          <t>1行 21列，源：None 备：</t>
        </is>
      </c>
      <c r="DX27" s="0" t="inlineStr">
        <is>
          <t>2行 9列，源：None 备：</t>
        </is>
      </c>
      <c r="EC27" s="0" t="inlineStr">
        <is>
          <t>2行 7列，源：23:59:59.999999 备：12:30:45.123450</t>
        </is>
      </c>
      <c r="ED27" s="0" t="inlineStr">
        <is>
          <t>6行 1列，源：b'T' 备：5C</t>
        </is>
      </c>
      <c r="EG27" s="0" t="inlineStr">
        <is>
          <t>3行 6列，源：12:30:45 备：23:59:59.12346</t>
        </is>
      </c>
      <c r="EH27" s="0" t="inlineStr">
        <is>
          <t>2行 9列，源：None 备：-999999999999999.9999</t>
        </is>
      </c>
      <c r="EK27" s="0" t="inlineStr">
        <is>
          <t>3行 5列，源：12:30:45.123500 备：</t>
        </is>
      </c>
      <c r="EN27" s="0" t="inlineStr">
        <is>
          <t>3行 1列，源：09:12:34 备：</t>
        </is>
      </c>
      <c r="EO27" s="0" t="inlineStr">
        <is>
          <t>6行 1列，源：b'T' 备：54</t>
        </is>
      </c>
      <c r="EP27" s="0" t="inlineStr">
        <is>
          <t>2行 9列，源：None 备：</t>
        </is>
      </c>
      <c r="EQ27" s="0" t="inlineStr">
        <is>
          <t>13行 0列，源：14 备：9</t>
        </is>
      </c>
      <c r="ER27" s="0" t="inlineStr">
        <is>
          <t>14行 0列，源：21 备：177</t>
        </is>
      </c>
      <c r="ES27" s="0" t="inlineStr">
        <is>
          <t>2行 9列，源：None 备：-999999999999999.9999</t>
        </is>
      </c>
      <c r="ET27" s="0" t="inlineStr">
        <is>
          <t>2行 7列，源：2026-04-17 16:56:52.827894 +08:00 备：2003-11-05 02:00:00.000000 -05:10</t>
        </is>
      </c>
      <c r="EV27" s="0" t="inlineStr">
        <is>
          <t>13行 0列，源：14 备：9</t>
        </is>
      </c>
    </row>
    <row r="28">
      <c r="A28" s="0" t="inlineStr">
        <is>
          <t>info_sdt_dml_batch2_pk_irp2</t>
        </is>
      </c>
      <c r="K28" s="0" t="inlineStr">
        <is>
          <t>[0;34m info_sdt_dml_batch2_pk_irp2 [0m源备字段数相同，源端字段：2 	备端字段2</t>
        </is>
      </c>
      <c r="W28" s="2">
        <f>HYPERLINK("#2026041905hbase4!AC2","NO 源备存在差异，共52个")</f>
        <v/>
      </c>
      <c r="X28" s="0">
        <f>A28</f>
        <v/>
      </c>
      <c r="AC28" s="0" t="inlineStr">
        <is>
          <t>13行 1列，源：2023-12-25 23:59:00 备：1990-11-26 00:01:00</t>
        </is>
      </c>
      <c r="AD28" s="0" t="inlineStr">
        <is>
          <t>6行 2列，源：b'HelloWorld' 备：6CCFAF36FE45174CC60A2BB53F0C5A4002550A32C3E68425463EC007B03A1ABC5EBD9F393DCE551484CB3E21DB1386EE48236EC167B46033C592DC8483A88C02ABDAC024ABEEAAD882FC854C66C7F448678D088AAECE2D4956A88A0457808C1124F67769</t>
        </is>
      </c>
      <c r="AH28" s="0" t="inlineStr">
        <is>
          <t>2行 7列，源：2025-05-12 00:00:00.000000 -14:00 备：1971-05-11 00:00:00.000000 +14:00</t>
        </is>
      </c>
      <c r="AI28" s="0" t="inlineStr">
        <is>
          <t>4行 1列，源：A 备：@</t>
        </is>
      </c>
      <c r="AM28" s="0" t="inlineStr">
        <is>
          <t>2行 19列，源：False 备：0</t>
        </is>
      </c>
      <c r="AO28" s="0" t="inlineStr">
        <is>
          <t>13行 0列，源：14 备：21</t>
        </is>
      </c>
      <c r="AP28" s="0" t="inlineStr">
        <is>
          <t>13行 0列，源：14 备：157</t>
        </is>
      </c>
      <c r="AQ28" s="0" t="inlineStr">
        <is>
          <t>6行 2列，源：b'HelloWorld' 备：6CCFAF36FE45174CC60A2BB53F0C5A4002550A32C3E68425463EC007B03A1ABC5EBD9F393DCE551484CB3E21DB1386EE48236EC167B46033C592DC8483A88C02ABDAC024ABEEAAD882FC854C66C7F448678D088AAECE2D4956A88A0457808C1124F67769</t>
        </is>
      </c>
      <c r="AR28" s="0" t="inlineStr">
        <is>
          <t>13行 0列，源：14 备：21</t>
        </is>
      </c>
      <c r="AS28" s="0" t="inlineStr">
        <is>
          <t>3行 0列，源：4 备：12</t>
        </is>
      </c>
      <c r="AT28" s="0" t="inlineStr">
        <is>
          <t>13行 1列，源：2000-05-01 23:59:59.993000 备：2002-06-11 23:59:59.993</t>
        </is>
      </c>
      <c r="AU28" s="0" t="inlineStr">
        <is>
          <t xml:space="preserve">5行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                                                                                                                                                                                                                                                                                                                                                                                                                                                                                                                                                                                                                                                                                                                                                                                                                                                                                                                                                                                                                                                                                                                                                                                                                                                                                                                                                                                                                                                                                                                                                            </t>
        </is>
      </c>
      <c r="AV28" s="0" t="inlineStr">
        <is>
          <t>13行 0列，源：14 备：21</t>
        </is>
      </c>
      <c r="AX28" s="0" t="inlineStr">
        <is>
          <t>13行 1列，源：2000-05-01 23:59:59.993000 备：2020-02-29 19:27:31.123</t>
        </is>
      </c>
      <c r="AZ28" s="0" t="inlineStr">
        <is>
          <t>4行 1列，源：A 备：@</t>
        </is>
      </c>
      <c r="BC28" s="0" t="inlineStr">
        <is>
          <t>6行 4列，源：2065-05-11 14:30:45.123000 备：2065-05-11 14:30:45.123</t>
        </is>
      </c>
      <c r="BE28" s="0" t="inlineStr">
        <is>
          <t>2行 8列，源：2026-04-17 17:17:24.630646 备：9999-12-31 23:59:59.9999999</t>
        </is>
      </c>
      <c r="BF28" s="0" t="inlineStr">
        <is>
          <t>6行 4列，源：2065-05-11 14:30:45.123000 备：2065-05-11 14:30:45.123</t>
        </is>
      </c>
      <c r="BG28" s="0" t="inlineStr">
        <is>
          <t>1行 5列，源：None 备：123</t>
        </is>
      </c>
      <c r="BH28" s="0" t="inlineStr">
        <is>
          <t>6行 2列，源：b'HelloWorld\x00\x00\x00\x00\x00\x00\x00\x00\x00\x00' 备：6DE501B26364D651A83516180C5B41BB1934C3C1</t>
        </is>
      </c>
      <c r="BI28" s="0" t="inlineStr">
        <is>
          <t>2行 8列，源：2026-04-17 17:17:33.413300 备：9999-12-31 23:59:59.9999999</t>
        </is>
      </c>
      <c r="BJ28" s="0" t="inlineStr">
        <is>
          <t>2行 11列，源：None 备：</t>
        </is>
      </c>
      <c r="BL28" s="0" t="inlineStr">
        <is>
          <t xml:space="preserve">4行 1列，源：X 备： </t>
        </is>
      </c>
      <c r="BO28" s="0" t="inlineStr">
        <is>
          <t>4行 1列，源：A 备：@</t>
        </is>
      </c>
      <c r="BP28" s="0" t="inlineStr">
        <is>
          <t>6行 2列，源：b'HelloWorld\x00\x00\x00\x00\x00\x00\x00\x00\x00\x00' 备：48656C6C6F576F726C6400000000000000000000</t>
        </is>
      </c>
      <c r="BS28" s="0" t="inlineStr">
        <is>
          <t>5行 3列，源：This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 备：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t>
        </is>
      </c>
      <c r="BT28" s="0" t="inlineStr">
        <is>
          <t>6行 2列，源：b'HelloWorld\x00\x00\x00\x00\x00\x00\x00\x00\x00\x00' 备：680085CB87DD92BB179E447D9F53B7341C5E6480</t>
        </is>
      </c>
      <c r="BV28" s="0" t="inlineStr">
        <is>
          <t>2行 8列，源：2026-04-17 17:18:20.5677897 +08:00 备：2003-11-05 02:00:00.0000000 -05:10</t>
        </is>
      </c>
      <c r="BX28" s="0" t="inlineStr">
        <is>
          <t>2行 8列，源：2026-04-17 17:18:22.7549521 +08:00 备：2003-11-05 02:00:00.0000000 -05:10</t>
        </is>
      </c>
      <c r="BY28" s="0" t="inlineStr">
        <is>
          <t>2行 8列，源：2026-04-17 17:18:31.5369809 +08:00 备：2003-11-05 02:00:00.0000000 -05:10</t>
        </is>
      </c>
      <c r="CA28" s="0" t="inlineStr">
        <is>
          <t>6行 2列，源：b'HelloWorld\x00\x00\x00\x00\x00\x00\x00\x00\x00\x00' 备：48656C6C6F576F726C6400000000000000000000</t>
        </is>
      </c>
      <c r="CB28" s="0" t="inlineStr">
        <is>
          <t>2行 8列，源：2026-04-17 17:18:31.5369809 +08:00 备：1900-01-01 00:00:00.0000000 +00:00</t>
        </is>
      </c>
      <c r="CD28" s="0" t="inlineStr">
        <is>
          <t>5行 2列，源：None 备：</t>
        </is>
      </c>
      <c r="CE28" s="0" t="inlineStr">
        <is>
          <t>3行 7列，源：0001-01-01 00:00:00.000000 +00:00 备：2025-05-12 00:00:00.000000 -14:00</t>
        </is>
      </c>
      <c r="CF28" s="0" t="inlineStr">
        <is>
          <t>2行 8列，源：23:59:59.999999 备：12:30:45.1234567</t>
        </is>
      </c>
      <c r="CG28" s="0" t="inlineStr">
        <is>
          <t>15行 0列，源：25 备：224</t>
        </is>
      </c>
      <c r="CH28" s="0" t="inlineStr">
        <is>
          <t>2行 7列，源：2013-03-12 02:00:00.000000 -04:25 备：2063-05-11 10:30:45.123457 -04:00</t>
        </is>
      </c>
      <c r="CK28" s="0" t="inlineStr">
        <is>
          <t>6行 2列，源：b'This is a test strin' 备：546869732069732061207465737420737472696E</t>
        </is>
      </c>
      <c r="CL28" s="0" t="inlineStr">
        <is>
          <t>2行 7列，源：12:30:45.100000 备：23:59:59.999999</t>
        </is>
      </c>
      <c r="CM28" s="0" t="inlineStr">
        <is>
          <t>3行 2列，源：nan 备：</t>
        </is>
      </c>
      <c r="CN28" s="0" t="inlineStr">
        <is>
          <t>13行 0列，源：59 备：211</t>
        </is>
      </c>
      <c r="CO28" s="0" t="inlineStr">
        <is>
          <t>6行 2列，源：b'HelloWorld\x00\x00\x00\x00\x00\x00\x00\x00\x00\x00' 备：E2636D379A474F70FA42DB804C884A3E60E377D0</t>
        </is>
      </c>
      <c r="CP28" s="0" t="inlineStr">
        <is>
          <t>13行 1列，源：2023-12-25 23:59:00 备：1981-05-11 14:31:00</t>
        </is>
      </c>
      <c r="CT28" s="0" t="inlineStr">
        <is>
          <t>3行 5列，源：None 备：</t>
        </is>
      </c>
      <c r="DA28" s="0" t="inlineStr">
        <is>
          <t>3行 2列，源：nan 备：</t>
        </is>
      </c>
      <c r="DB28" s="0" t="inlineStr">
        <is>
          <t>13行 0列，源：14 备：21</t>
        </is>
      </c>
      <c r="DC28" s="0" t="inlineStr">
        <is>
          <t>1行 10列，源：None 备：</t>
        </is>
      </c>
      <c r="DG28" s="0" t="inlineStr">
        <is>
          <t>12行 1列，源：2023-05-11 00:00:00.123000 备：2000-05-11 14:30:29.000</t>
        </is>
      </c>
      <c r="DH28" s="0" t="inlineStr">
        <is>
          <t>4行 1列，源：A 备：@</t>
        </is>
      </c>
      <c r="DJ28" s="0" t="inlineStr">
        <is>
          <t>2行 8列，源：23:59:59.999999 备：12:30:45.1234567</t>
        </is>
      </c>
      <c r="DL28" s="0" t="inlineStr">
        <is>
          <t>2行 8列，源：23:59:59.999999 备：12:30:45.1234567</t>
        </is>
      </c>
      <c r="DM28" s="0" t="inlineStr">
        <is>
          <t>1行 10列，源：-922337203685477.58 备：-922337203685477.5808</t>
        </is>
      </c>
      <c r="DN28" s="0" t="inlineStr">
        <is>
          <t>4行 1列，源：X 备：</t>
        </is>
      </c>
      <c r="DP28" s="0" t="inlineStr">
        <is>
          <t>6行 4列，源：2065-05-11 14:30:45.123000 备：2065-05-11 14:30:45.123</t>
        </is>
      </c>
      <c r="DQ28" s="0" t="inlineStr">
        <is>
          <t>6行 2列，源：b'HelloWorld' 备：4EDC2125C4D9B53775D40F74945E0779A3ED0D6FA62D29A7472F6301AF9255783A7C290510BA7C7BF518E0DD05CA446B369D2E3B5CD11922278E9F411FCDCFF5729890CD92AEA745AC36DBD095B9F03A1041AF7A7AD18614A4A32B3EA71D8D34C7FF9B1A</t>
        </is>
      </c>
      <c r="DT28" s="0" t="inlineStr">
        <is>
          <t>2行 8列，源：23:59:59.999999 备：12:30:45.1234567</t>
        </is>
      </c>
      <c r="DU28" s="0" t="inlineStr">
        <is>
          <t>6行 2列，源：b'HelloWorld' 备：48656C6C6F576F726C64</t>
        </is>
      </c>
      <c r="DV28" s="0" t="inlineStr">
        <is>
          <t>1行 22列，源：None 备：</t>
        </is>
      </c>
      <c r="DX28" s="0" t="inlineStr">
        <is>
          <t>2行 10列，源：None 备：</t>
        </is>
      </c>
      <c r="EC28" s="0" t="inlineStr">
        <is>
          <t>2行 8列，源：23:59:59.999999 备：12:30:45.1234500</t>
        </is>
      </c>
      <c r="ED28" s="0" t="inlineStr">
        <is>
          <t>6行 2列，源：b'HelloWorld' 备：6D43AC05C60829CB35A65D48C355AEA1031AD766E6F65C49CE4D2CBEE49D104E3AC8C87D4D6ACE7AD61DF14F0EC02A2414AAC51D3FF9AD5D711E71DA9BF7A5A16FAC3BCB542A12C82CC1E5FE1B8F4E1476C6D977DAC6FA4678C8C33D6BB677AEBD65F62C</t>
        </is>
      </c>
      <c r="EG28" s="0" t="inlineStr">
        <is>
          <t>3行 7列，源：09:12:34.123457 备：23:59:59.123457</t>
        </is>
      </c>
      <c r="EH28" s="0" t="inlineStr">
        <is>
          <t>2行 10列，源：None 备：-999999999999999999</t>
        </is>
      </c>
      <c r="EK28" s="0" t="inlineStr">
        <is>
          <t>3行 6列，源：12:30:45.123460 备：00:00:01.12346</t>
        </is>
      </c>
      <c r="EN28" s="0" t="inlineStr">
        <is>
          <t>3行 2列，源：12:30:45.100000 备：00:00:01.1</t>
        </is>
      </c>
      <c r="EO28" s="0" t="inlineStr">
        <is>
          <t>6行 2列，源：b'HelloWorld' 备：48656C6C6F576F726C64</t>
        </is>
      </c>
      <c r="EP28" s="0" t="inlineStr">
        <is>
          <t>2行 10列，源：None 备：</t>
        </is>
      </c>
      <c r="EQ28" s="0" t="inlineStr">
        <is>
          <t>13行 1列，源：2023-12-25 23:59:00 备：1981-05-11 14:31:00</t>
        </is>
      </c>
      <c r="ER28" s="0" t="inlineStr">
        <is>
          <t>14行 1列，源：NaT 备：2000-05-11 14:30:00</t>
        </is>
      </c>
      <c r="ES28" s="0" t="inlineStr">
        <is>
          <t>2行 10列，源：None 备：-999999999999999999</t>
        </is>
      </c>
      <c r="ET28" s="0" t="inlineStr">
        <is>
          <t>2行 8列，源：2026-04-17 16:56:52.8278938 +08:00 备：2003-11-05 02:00:00.0000000 -05:10</t>
        </is>
      </c>
      <c r="EV28" s="0" t="inlineStr">
        <is>
          <t>13行 1列，源：2023-12-25 23:59:00 备：1981-05-11 14:31:00</t>
        </is>
      </c>
    </row>
    <row r="29">
      <c r="B29" s="0" t="inlineStr">
        <is>
          <t>YES</t>
        </is>
      </c>
      <c r="C29" s="0" t="inlineStr">
        <is>
          <t>NULL</t>
        </is>
      </c>
      <c r="D29" s="0" t="inlineStr">
        <is>
          <t>NULL</t>
        </is>
      </c>
      <c r="E29" s="0" t="inlineStr">
        <is>
          <t>NULL</t>
        </is>
      </c>
      <c r="F29" s="0" t="inlineStr">
        <is>
          <t>NULL</t>
        </is>
      </c>
      <c r="G29" s="0" t="inlineStr">
        <is>
          <t>NULL</t>
        </is>
      </c>
      <c r="H29" s="0" t="inlineStr">
        <is>
          <t>NULL</t>
        </is>
      </c>
      <c r="I29" s="0" t="inlineStr">
        <is>
          <t>YES!PK__info_sdt__3213E83F81481F05</t>
        </is>
      </c>
      <c r="J29" s="0" t="inlineStr">
        <is>
          <t>YES! 主键相关索引</t>
        </is>
      </c>
      <c r="K29" s="0" t="inlineStr">
        <is>
          <t xml:space="preserve"> NO!  	 id列源备映射错误，源端为int None位	期望更改为text	实际备端为int None位</t>
        </is>
      </c>
      <c r="AC29" s="0" t="inlineStr">
        <is>
          <t>14行 0列，源：27 备：33</t>
        </is>
      </c>
      <c r="AD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H29" s="0" t="inlineStr">
        <is>
          <t>2行 8列，源：2025-05-11 23:59:59.9999999 -14:00 备：1971-05-11 00:00:00.0000001 +14:00</t>
        </is>
      </c>
      <c r="AI29" s="0" t="inlineStr">
        <is>
          <t>4行 1列，源：A 备：@</t>
        </is>
      </c>
      <c r="AM29" s="0" t="inlineStr">
        <is>
          <t>3行 0列，源：4 备：12</t>
        </is>
      </c>
      <c r="AO29" s="0" t="inlineStr">
        <is>
          <t>13行 1列，源：2000-05-01 23:59:59.993000 备：2023-05-11 00:00:00.123</t>
        </is>
      </c>
      <c r="AP29" s="0" t="inlineStr">
        <is>
          <t>13行 1列，源：2000-05-01 23:59:59.993000 备：2000-05-11 14:30:29.000</t>
        </is>
      </c>
      <c r="AQ29" s="0" t="inlineStr">
        <is>
          <t>6行 3列，源：b'HelloWorldTestData' 备：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t>
        </is>
      </c>
      <c r="AR29" s="0" t="inlineStr">
        <is>
          <t>13行 1列，源：2000-05-01 23:59:59.993000 备：2023-05-11 00:00:00.123</t>
        </is>
      </c>
      <c r="AS29" s="0" t="inlineStr">
        <is>
          <t>3行 2列，源：12345.0 备：</t>
        </is>
      </c>
      <c r="AT29" s="0" t="inlineStr">
        <is>
          <t>14行 0列，源：15 备：117</t>
        </is>
      </c>
      <c r="AU29" s="0" t="inlineStr">
        <is>
          <t>6行 0列，源：7 备：6</t>
        </is>
      </c>
      <c r="AV29" s="0" t="inlineStr">
        <is>
          <t>13行 1列，源：9999-12-31 23:59:59.997000 备：9999-12-31 23:59:59.997</t>
        </is>
      </c>
      <c r="AX29" s="0" t="inlineStr">
        <is>
          <t>14行 0列，源：15 备：22</t>
        </is>
      </c>
      <c r="AZ29" s="0" t="inlineStr">
        <is>
          <t>4行 1列，源：A 备：@</t>
        </is>
      </c>
      <c r="BC29" s="0" t="inlineStr">
        <is>
          <t>6行 5列，源：2065-05-11 14:30:45.123500 备：2065-05-11 14:30:45.1235</t>
        </is>
      </c>
      <c r="BE29" s="0" t="inlineStr">
        <is>
          <t>3行 0列，源：4 备：126</t>
        </is>
      </c>
      <c r="BF29" s="0" t="inlineStr">
        <is>
          <t>6行 5列，源：2065-05-11 14:30:45.123500 备：2065-05-11 14:30:45.1235</t>
        </is>
      </c>
      <c r="BG29" s="0" t="inlineStr">
        <is>
          <t>1行 6列，源：None 备：12345678901234567890123789012345678</t>
        </is>
      </c>
      <c r="BH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t>
        </is>
      </c>
      <c r="BI29" s="0" t="inlineStr">
        <is>
          <t>3行 0列，源：4 备：106</t>
        </is>
      </c>
      <c r="BJ29" s="0" t="inlineStr">
        <is>
          <t>2行 12列，源：None 备：</t>
        </is>
      </c>
      <c r="BL29" s="0" t="inlineStr">
        <is>
          <t xml:space="preserve">4行 1列，源：X 备： </t>
        </is>
      </c>
      <c r="BO29" s="0" t="inlineStr">
        <is>
          <t>4行 1列，源：A 备：@</t>
        </is>
      </c>
      <c r="BP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29" s="0" t="inlineStr">
        <is>
          <t>6行 0列，源：7 备：6</t>
        </is>
      </c>
      <c r="BT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BV29" s="0" t="inlineStr">
        <is>
          <t>3行 0列，源：4 备：12</t>
        </is>
      </c>
      <c r="BX29" s="0" t="inlineStr">
        <is>
          <t>3行 0列，源：4 备：12</t>
        </is>
      </c>
      <c r="BY29" s="0" t="inlineStr">
        <is>
          <t>3行 0列，源：4 备：12</t>
        </is>
      </c>
      <c r="CA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29" s="0" t="inlineStr">
        <is>
          <t>3行 0列，源：4 备：103</t>
        </is>
      </c>
      <c r="CD29" s="0" t="inlineStr">
        <is>
          <t>5行 4列，源：None 备：</t>
        </is>
      </c>
      <c r="CE29" s="0" t="inlineStr">
        <is>
          <t>3行 8列，源：0001-01-01 00:00:00.0000000 +00:00 备：2025-05-11 23:59:59.9999999 -14:00</t>
        </is>
      </c>
      <c r="CF29" s="0" t="inlineStr">
        <is>
          <t>3行 0列，源：4 备：12</t>
        </is>
      </c>
      <c r="CG29" s="0" t="inlineStr">
        <is>
          <t>15行 1列，源：2026-04-17 备：9999-12-31</t>
        </is>
      </c>
      <c r="CH29" s="0" t="inlineStr">
        <is>
          <t>2行 8列，源：2013-03-12 02:00:00.0000000 -04:25 备：2063-05-11 10:30:45.1234567 -04:00</t>
        </is>
      </c>
      <c r="CK29" s="0" t="inlineStr">
        <is>
          <t>6行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29" s="0" t="inlineStr">
        <is>
          <t>2行 8列，源：12:30:45.100000 备：23:59:59.9999999</t>
        </is>
      </c>
      <c r="CM29" s="0" t="inlineStr">
        <is>
          <t>3行 3列，源：nan 备：</t>
        </is>
      </c>
      <c r="CN29" s="0" t="inlineStr">
        <is>
          <t>13行 1列，源：9999-12-30 备：2068-06-01</t>
        </is>
      </c>
      <c r="CO29" s="0" t="inlineStr">
        <is>
          <t>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t>
        </is>
      </c>
      <c r="CT29" s="0" t="inlineStr">
        <is>
          <t>3行 6列，源：None 备：</t>
        </is>
      </c>
      <c r="DA29" s="0" t="inlineStr">
        <is>
          <t>3行 3列，源：nan 备：</t>
        </is>
      </c>
      <c r="DB29" s="0" t="inlineStr">
        <is>
          <t>13行 1列，源：2000-05-01 23:59:59.993000 备：2023-05-11 00:00:00.123</t>
        </is>
      </c>
      <c r="DC29" s="0" t="inlineStr">
        <is>
          <t>1行 11列，源：None 备：</t>
        </is>
      </c>
      <c r="DG29" s="0" t="inlineStr">
        <is>
          <t>13行 0列，源：22 备：8</t>
        </is>
      </c>
      <c r="DH29" s="0" t="inlineStr">
        <is>
          <t>4行 1列，源：A 备：@</t>
        </is>
      </c>
      <c r="DJ29" s="0" t="inlineStr">
        <is>
          <t>3行 0列，源：4 备：12</t>
        </is>
      </c>
      <c r="DL29" s="0" t="inlineStr">
        <is>
          <t>3行 0列，源：4 备：12</t>
        </is>
      </c>
      <c r="DM29" s="0" t="inlineStr">
        <is>
          <t>1行 20列，源：0xC9CFBAA3D3A2B7BDC8EDBCFEB9C9B7DDB9ABCBBE 备：0xBAA3D3A2B7BDC8EDBCFEB9C9B7DDB9ABCBBE</t>
        </is>
      </c>
      <c r="DN29" s="0" t="inlineStr">
        <is>
          <t>4行 1列，源：X 备：</t>
        </is>
      </c>
      <c r="DP29" s="0" t="inlineStr">
        <is>
          <t>6行 5列，源：2065-05-11 14:30:45.123500 备：2065-05-11 14:30:45.1235</t>
        </is>
      </c>
      <c r="DQ29" s="0" t="inlineStr">
        <is>
          <t>6行 3列，源：b'HelloWorldTestData' 备：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t>
        </is>
      </c>
      <c r="DT29" s="0" t="inlineStr">
        <is>
          <t>3行 0列，源：4 备：12</t>
        </is>
      </c>
      <c r="DU29" s="0" t="inlineStr">
        <is>
          <t>6行 3列，源：b'HelloWorldTestData' 备：48656C6C6F576F726C645465737444617461</t>
        </is>
      </c>
      <c r="DV29" s="0" t="inlineStr">
        <is>
          <t>1行 23列，源：None 备：</t>
        </is>
      </c>
      <c r="DX29" s="0" t="inlineStr">
        <is>
          <t>2行 11列，源：None 备：</t>
        </is>
      </c>
      <c r="EC29" s="0" t="inlineStr">
        <is>
          <t>3行 0列，源：4 备：11</t>
        </is>
      </c>
      <c r="ED29" s="0" t="inlineStr">
        <is>
          <t>6行 3列，源：b'HelloWorldTestData'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G29" s="0" t="inlineStr">
        <is>
          <t>3行 8列，源：12:30:45 备：23:59:59.1234567</t>
        </is>
      </c>
      <c r="EH29" s="0" t="inlineStr">
        <is>
          <t>2行 11列，源：None 备：-99999999999999999999999999999999999999</t>
        </is>
      </c>
      <c r="EK29" s="0" t="inlineStr">
        <is>
          <t>3行 7列，源：12:30:45.123456 备：</t>
        </is>
      </c>
      <c r="EN29" s="0" t="inlineStr">
        <is>
          <t>3行 3列，源：09:12:34.120000 备：</t>
        </is>
      </c>
      <c r="EO29" s="0" t="inlineStr">
        <is>
          <t>6行 3列，源：b'HelloWorldTestData' 备：48656C6C6F576F726C645465737444617461</t>
        </is>
      </c>
      <c r="EP29" s="0" t="inlineStr">
        <is>
          <t>2行 11列，源：None 备：</t>
        </is>
      </c>
      <c r="ER29" s="0" t="inlineStr">
        <is>
          <t>15行 0列，源：22 备：178</t>
        </is>
      </c>
      <c r="ES29" s="0" t="inlineStr">
        <is>
          <t>2行 11列，源：None 备：-99999999999999999999999999999999999999</t>
        </is>
      </c>
      <c r="ET29" s="0" t="inlineStr">
        <is>
          <t>3行 0列，源：4 备：12</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c_sdt列源备映射错误，源端为smalldatetime None位	期望更改为text	实际备端为smalldatetime None位</t>
        </is>
      </c>
      <c r="AC30" s="0" t="inlineStr">
        <is>
          <t>14行 1列，源：2000-05-11 14:30:00 备：2025-05-11 12:00:00</t>
        </is>
      </c>
      <c r="AD30" s="0" t="inlineStr">
        <is>
          <t>7行 0列，源：8 备：7</t>
        </is>
      </c>
      <c r="AH30" s="0" t="inlineStr">
        <is>
          <t>3行 0列，源：13 备：5</t>
        </is>
      </c>
      <c r="AI30" s="0" t="inlineStr">
        <is>
          <t>4行 2列，源：THIS IS A TESTCASEYF 备：~!@#$%^&amp;*()_+|`;,[]}</t>
        </is>
      </c>
      <c r="AM30" s="0" t="inlineStr">
        <is>
          <t>3行 2列，源：12345.0 备：</t>
        </is>
      </c>
      <c r="AO30" s="0" t="inlineStr">
        <is>
          <t>14行 0列，源：15 备：22</t>
        </is>
      </c>
      <c r="AP30" s="0" t="inlineStr">
        <is>
          <t>14行 0列，源：15 备：159</t>
        </is>
      </c>
      <c r="AQ30" s="0" t="inlineStr">
        <is>
          <t>7行 0列，源：8 备：7</t>
        </is>
      </c>
      <c r="AR30" s="0" t="inlineStr">
        <is>
          <t>14行 0列，源：15 备：22</t>
        </is>
      </c>
      <c r="AS30" s="0" t="inlineStr">
        <is>
          <t>3行 5列，源：None 备：</t>
        </is>
      </c>
      <c r="AT30" s="0" t="inlineStr">
        <is>
          <t>14行 1列，源：2001-04-09 23:59:59.993000 备：2003-11-04 23:59:59.990</t>
        </is>
      </c>
      <c r="AU30" s="0" t="inlineStr">
        <is>
          <t>6行 1列，源：* 备：T</t>
        </is>
      </c>
      <c r="AV30" s="0" t="inlineStr">
        <is>
          <t>14行 0列，源：15 备：22</t>
        </is>
      </c>
      <c r="AX30" s="0" t="inlineStr">
        <is>
          <t>14行 1列，源：2001-04-09 23:59:59.993000 备：2020-02-29 19:27:31.123</t>
        </is>
      </c>
      <c r="AZ30" s="0" t="inlineStr">
        <is>
          <t>4行 2列，源：THIS IS A TESTCASEYF 备：~!@#$%^&amp;*()_+|`;,[]}</t>
        </is>
      </c>
      <c r="BC30" s="0" t="inlineStr">
        <is>
          <t>6行 6列，源：2065-05-11 14:30:45.123460 备：2065-05-11 14:30:45.12346</t>
        </is>
      </c>
      <c r="BE30" s="0" t="inlineStr">
        <is>
          <t>3行 1列，源：0001-01-01 00:00:00 备：1945-05-11 14:30:45</t>
        </is>
      </c>
      <c r="BF30" s="0" t="inlineStr">
        <is>
          <t>6行 6列，源：2065-05-11 14:30:45.123460 备：2065-05-11 14:30:45.12346</t>
        </is>
      </c>
      <c r="BG30" s="0" t="inlineStr">
        <is>
          <t>1行 7列，源：None 备：0.12345678901234590123456789012367800000</t>
        </is>
      </c>
      <c r="BH30" s="0" t="inlineStr">
        <is>
          <t>7行 0列，源：8 备：7</t>
        </is>
      </c>
      <c r="BI30" s="0" t="inlineStr">
        <is>
          <t>3行 1列，源：0001-01-01 00:00:00 备：1945-05-11 14:30:45</t>
        </is>
      </c>
      <c r="BJ30" s="0" t="inlineStr">
        <is>
          <t>2行 13列，源：None 备：</t>
        </is>
      </c>
      <c r="BL30" s="0" t="inlineStr">
        <is>
          <t xml:space="preserve">4行 2列，源：This is a nchar stri 备：                    </t>
        </is>
      </c>
      <c r="BO30" s="0" t="inlineStr">
        <is>
          <t>4行 2列，源：THIS IS A TESTCASEYF 备：~!@#$%^&amp;*()_+|`;,[]}</t>
        </is>
      </c>
      <c r="BP30" s="0" t="inlineStr">
        <is>
          <t>7行 0列，源：8 备：128</t>
        </is>
      </c>
      <c r="BS30" s="0" t="inlineStr">
        <is>
          <t>6行 1列，源：* 备：T</t>
        </is>
      </c>
      <c r="BT30" s="0" t="inlineStr">
        <is>
          <t>7行 0列，源：8 备：7</t>
        </is>
      </c>
      <c r="BV30" s="0" t="inlineStr">
        <is>
          <t>3行 1列，源：0001-01-01 00:00:00 +00:00 备：2025-05-12 00:00:00 -14:00</t>
        </is>
      </c>
      <c r="BX30" s="0" t="inlineStr">
        <is>
          <t>3行 1列，源：0001-01-01 00:00:00 +00:00 备：2025-05-12 00:00:00 -14:00</t>
        </is>
      </c>
      <c r="BY30" s="0" t="inlineStr">
        <is>
          <t>3行 1列，源：0001-01-01 00:00:00 +00:00 备：2025-05-12 00:00:00 -14:00</t>
        </is>
      </c>
      <c r="CA30" s="0" t="inlineStr">
        <is>
          <t>7行 0列，源：8 备：108</t>
        </is>
      </c>
      <c r="CB30" s="0" t="inlineStr">
        <is>
          <t>3行 1列，源：0001-01-01 00:00:00 +00:00 备：2026-04-17 17:18:32 +08:00</t>
        </is>
      </c>
      <c r="CD30" s="0" t="inlineStr">
        <is>
          <t>5行 6列，源：None 备：</t>
        </is>
      </c>
      <c r="CE30" s="0" t="inlineStr">
        <is>
          <t>4行 0列，源：5 备：13</t>
        </is>
      </c>
      <c r="CF30" s="0" t="inlineStr">
        <is>
          <t>3行 1列，源：12:30:45 备：23:59:59</t>
        </is>
      </c>
      <c r="CG30" s="0" t="inlineStr">
        <is>
          <t>16行 0列，源：26 备：225</t>
        </is>
      </c>
      <c r="CK30" s="0" t="inlineStr">
        <is>
          <t>7行 0列，源：8 备：7</t>
        </is>
      </c>
      <c r="CL30" s="0" t="inlineStr">
        <is>
          <t>3行 0列，源：6 备：4</t>
        </is>
      </c>
      <c r="CM30" s="0" t="inlineStr">
        <is>
          <t>3行 4列，源：nan 备：</t>
        </is>
      </c>
      <c r="CN30" s="0" t="inlineStr">
        <is>
          <t>14行 0列，源：60 备：3</t>
        </is>
      </c>
      <c r="CO30" s="0" t="inlineStr">
        <is>
          <t>7行 0列，源：8 备：7</t>
        </is>
      </c>
      <c r="CT30" s="0" t="inlineStr">
        <is>
          <t>3行 7列，源：None 备：</t>
        </is>
      </c>
      <c r="DA30" s="0" t="inlineStr">
        <is>
          <t>3行 4列，源：nan 备：</t>
        </is>
      </c>
      <c r="DB30" s="0" t="inlineStr">
        <is>
          <t>14行 0列，源：15 备：22</t>
        </is>
      </c>
      <c r="DC30" s="0" t="inlineStr">
        <is>
          <t>1行 12列，源：None 备：</t>
        </is>
      </c>
      <c r="DG30" s="0" t="inlineStr">
        <is>
          <t>13行 1列，源：2024-05-11 12:00:00.567000 备：2068-05-11 14:30:30.000</t>
        </is>
      </c>
      <c r="DH30" s="0" t="inlineStr">
        <is>
          <t>4行 2列，源：THIS IS A TESTCASEYF 备：~!@#$%^&amp;*()_+|`;,[]}</t>
        </is>
      </c>
      <c r="DJ30" s="0" t="inlineStr">
        <is>
          <t>3行 1列，源：12:30:45 备：23:59:59</t>
        </is>
      </c>
      <c r="DL30" s="0" t="inlineStr">
        <is>
          <t>3行 1列，源：12:30:45 备：23:59:59</t>
        </is>
      </c>
      <c r="DM30" s="0" t="inlineStr">
        <is>
          <t>1行 20列，源：0xC9CFBAA3D3A2B7BDC8EDBCFEB9C9B7DDB9ABCBBE 备：0xBAA3D3A2B7BDC8EDBCFEB9C9B7DDB9ABCBBE</t>
        </is>
      </c>
      <c r="DN30" s="0" t="inlineStr">
        <is>
          <t>4行 2列，源：This is a nchar stri 备：</t>
        </is>
      </c>
      <c r="DP30" s="0" t="inlineStr">
        <is>
          <t>6行 6列，源：2065-05-11 14:30:45.123460 备：2065-05-11 14:30:45.12346</t>
        </is>
      </c>
      <c r="DQ30" s="0" t="inlineStr">
        <is>
          <t>7行 0列，源：8 备：7</t>
        </is>
      </c>
      <c r="DT30" s="0" t="inlineStr">
        <is>
          <t>3行 1列，源：12:30:45 备：23:59:59</t>
        </is>
      </c>
      <c r="DU30" s="0" t="inlineStr">
        <is>
          <t>7行 0列，源：8 备：128</t>
        </is>
      </c>
      <c r="DV30" s="0" t="inlineStr">
        <is>
          <t>1行 24列，源：timestamp不参与比较 备：000000000001407A</t>
        </is>
      </c>
      <c r="DX30" s="0" t="inlineStr">
        <is>
          <t>2行 12列，源：None 备：</t>
        </is>
      </c>
      <c r="EC30" s="0" t="inlineStr">
        <is>
          <t>4行 0列，源：5 备：12</t>
        </is>
      </c>
      <c r="ED30" s="0" t="inlineStr">
        <is>
          <t>7行 0列，源：8 备：7</t>
        </is>
      </c>
      <c r="EG30" s="0" t="inlineStr">
        <is>
          <t>4行 0列，源：5 备：13</t>
        </is>
      </c>
      <c r="EH30" s="0" t="inlineStr">
        <is>
          <t>2行 12列，源：None 备：-0.99999999999999999999999999999999999999</t>
        </is>
      </c>
      <c r="EK30" s="0" t="inlineStr">
        <is>
          <t>3行 8列，源：12:30:45.123456 备：00:00:01.1234567</t>
        </is>
      </c>
      <c r="EN30" s="0" t="inlineStr">
        <is>
          <t>3行 4列，源：12:30:45.123000 备：00:00:01.123</t>
        </is>
      </c>
      <c r="EO30" s="0" t="inlineStr">
        <is>
          <t>7行 0列，源：8 备：108</t>
        </is>
      </c>
      <c r="EP30" s="0" t="inlineStr">
        <is>
          <t>2行 12列，源：None 备：</t>
        </is>
      </c>
      <c r="ER30" s="0" t="inlineStr">
        <is>
          <t>15行 1列，源：1900-01-01 00:00:00 备：2068-05-11 14:31:00</t>
        </is>
      </c>
      <c r="ES30" s="0" t="inlineStr">
        <is>
          <t>2行 12列，源：None 备：-0.99999999999999999999999999999999999999</t>
        </is>
      </c>
      <c r="ET30" s="0" t="inlineStr">
        <is>
          <t>3行 1列，源：0001-01-01 00:00:00 +00:00 备：2025-05-12 00:00:00 -14:00</t>
        </is>
      </c>
    </row>
    <row r="31">
      <c r="A31" s="0" t="inlineStr">
        <is>
          <t>info_varchar_dml_batch1_pk_drp1</t>
        </is>
      </c>
      <c r="K31" s="0" t="inlineStr">
        <is>
          <t>[0;34m info_varchar_dml_batch1_pk_drp1 [0m源备字段数相同，源端字段：4 	备端字段4</t>
        </is>
      </c>
      <c r="W31" s="0" t="inlineStr">
        <is>
          <t>YES 源备无差异</t>
        </is>
      </c>
      <c r="X31" s="0">
        <f>A31</f>
        <v/>
      </c>
      <c r="AC31" s="0" t="inlineStr">
        <is>
          <t>15行 0列，源：28 备：34</t>
        </is>
      </c>
      <c r="AD31" s="0" t="inlineStr">
        <is>
          <t>7行 1列，源：b'B' 备：54</t>
        </is>
      </c>
      <c r="AH31" s="0" t="inlineStr">
        <is>
          <t>3行 1列，源：1971-05-11 00:00:00 +14:00 备：9999-12-31 23:59:59 +00:00</t>
        </is>
      </c>
      <c r="AI31" s="0" t="inlineStr">
        <is>
          <t>4行 2列，源：THIS IS A TESTCASEYF 备：~!@#$%^&amp;*()_+|`;,[]}</t>
        </is>
      </c>
      <c r="AM31" s="0" t="inlineStr">
        <is>
          <t>3行 5列，源：None 备：</t>
        </is>
      </c>
      <c r="AO31" s="0" t="inlineStr">
        <is>
          <t>14行 1列，源：2001-04-09 23:59:59.993000 备：2024-05-11 12:00:00.567</t>
        </is>
      </c>
      <c r="AP31" s="0" t="inlineStr">
        <is>
          <t>14行 1列，源：2001-04-09 23:59:59.993000 备：1981-05-11 14:30:59.000</t>
        </is>
      </c>
      <c r="AQ31" s="0" t="inlineStr">
        <is>
          <t>7行 1列，源：b'B' 备：54</t>
        </is>
      </c>
      <c r="AR31" s="0" t="inlineStr">
        <is>
          <t>14行 1列，源：2001-04-09 23:59:59.993000 备：2024-05-11 12:00:00.567</t>
        </is>
      </c>
      <c r="AS31" s="0" t="inlineStr">
        <is>
          <t>3行 15列，源：1.23456789012345e-30 备：0.0000000000000</t>
        </is>
      </c>
      <c r="AT31" s="0" t="inlineStr">
        <is>
          <t>15行 0列，源：16 备：118</t>
        </is>
      </c>
      <c r="AU31" s="0" t="inlineStr">
        <is>
          <t>6行 1列，源：* 备：T</t>
        </is>
      </c>
      <c r="AV31" s="0" t="inlineStr">
        <is>
          <t>14行 1列，源：9999-12-31 23:59:59.997000 备：9999-12-31 23:59:59.997</t>
        </is>
      </c>
      <c r="AX31" s="0" t="inlineStr">
        <is>
          <t>15行 0列，源：16 备：23</t>
        </is>
      </c>
      <c r="AZ31" s="0" t="inlineStr">
        <is>
          <t>4行 2列，源：THIS IS A TESTCASEYF 备：~!@#$%^&amp;*()_+|`;,[]}</t>
        </is>
      </c>
      <c r="BE31" s="0" t="inlineStr">
        <is>
          <t>3行 2列，源：0001-01-01 00:00:00 备：1945-05-11 14:30:45.1</t>
        </is>
      </c>
      <c r="BG31" s="0" t="inlineStr">
        <is>
          <t>1行 8列，源：None 备：123456789012367012345678.1245890000</t>
        </is>
      </c>
      <c r="BH31" s="0" t="inlineStr">
        <is>
          <t>7行 1列，源：b'B' 备：54</t>
        </is>
      </c>
      <c r="BI31" s="0" t="inlineStr">
        <is>
          <t>3行 2列，源：0001-01-01 00:00:00 备：1945-05-11 14:30:45.1</t>
        </is>
      </c>
      <c r="BJ31" s="0" t="inlineStr">
        <is>
          <t>2行 14列，源：None 备：</t>
        </is>
      </c>
      <c r="BL31" s="0" t="inlineStr">
        <is>
          <t xml:space="preserve">4行 2列，源：This is a nchar stri 备：                    </t>
        </is>
      </c>
      <c r="BO31" s="0" t="inlineStr">
        <is>
          <t>4行 2列，源：THIS IS A TESTCASEYF 备：~!@#$%^&amp;*()_+|`;,[]}</t>
        </is>
      </c>
      <c r="BP31" s="0" t="inlineStr">
        <is>
          <t>7行 1列，源：b'B' 备：42</t>
        </is>
      </c>
      <c r="BS31" s="0" t="inlineStr">
        <is>
          <t>6行 1列，源：* 备：T</t>
        </is>
      </c>
      <c r="BT31" s="0" t="inlineStr">
        <is>
          <t>7行 1列，源：b'B' 备：54</t>
        </is>
      </c>
      <c r="BV31" s="0" t="inlineStr">
        <is>
          <t>3行 2列，源：0001-01-01 00:00:00.0 +00:00 备：2025-05-12 00:00:00.0 -14:00</t>
        </is>
      </c>
      <c r="BX31" s="0" t="inlineStr">
        <is>
          <t>3行 2列，源：0001-01-01 00:00:00.0 +00:00 备：2025-05-12 00:00:00.0 -14:00</t>
        </is>
      </c>
      <c r="BY31" s="0" t="inlineStr">
        <is>
          <t>3行 2列，源：0001-01-01 00:00:00.0 +00:00 备：2025-05-12 00:00:00.0 -14:00</t>
        </is>
      </c>
      <c r="CA31" s="0" t="inlineStr">
        <is>
          <t>7行 1列，源：b'B' 备：42</t>
        </is>
      </c>
      <c r="CB31" s="0" t="inlineStr">
        <is>
          <t>3行 2列，源：0001-01-01 00:00:00.0 +00:00 备：2026-04-17 17:18:31.5 +08:00</t>
        </is>
      </c>
      <c r="CD31" s="0" t="inlineStr">
        <is>
          <t>5行 8列，源：None 备：</t>
        </is>
      </c>
      <c r="CE31" s="0" t="inlineStr">
        <is>
          <t>4行 1列，源：2063-03-12 02:00:00 -04:25 备：2025-05-12 00:00:00 -14:00</t>
        </is>
      </c>
      <c r="CF31" s="0" t="inlineStr">
        <is>
          <t>3行 2列，源：12:30:45 备：23:59:59.1</t>
        </is>
      </c>
      <c r="CG31" s="0" t="inlineStr">
        <is>
          <t>16行 1列，源：2020-02-29 备：2026-04-17</t>
        </is>
      </c>
      <c r="CK31" s="0" t="inlineStr">
        <is>
          <t>7行 1列，源：b'X' 备：58</t>
        </is>
      </c>
      <c r="CL31" s="0" t="inlineStr">
        <is>
          <t>4行 0列，源：7 备：5</t>
        </is>
      </c>
      <c r="CM31" s="0" t="inlineStr">
        <is>
          <t>3行 5列，源：None 备：</t>
        </is>
      </c>
      <c r="CN31" s="0" t="inlineStr">
        <is>
          <t>14行 1列，源：1990-05-11 备：0001-01-01</t>
        </is>
      </c>
      <c r="CO31" s="0" t="inlineStr">
        <is>
          <t>7行 1列，源：b'F' 备：54</t>
        </is>
      </c>
      <c r="CT31" s="0" t="inlineStr">
        <is>
          <t>3行 8列，源：None 备：</t>
        </is>
      </c>
      <c r="DA31" s="0" t="inlineStr">
        <is>
          <t>3行 5列，源：None 备：</t>
        </is>
      </c>
      <c r="DB31" s="0" t="inlineStr">
        <is>
          <t>14行 1列，源：2001-04-09 23:59:59.993000 备：2024-05-11 12:00:00.567</t>
        </is>
      </c>
      <c r="DC31" s="0" t="inlineStr">
        <is>
          <t>1行 13列，源：None 备：</t>
        </is>
      </c>
      <c r="DG31" s="0" t="inlineStr">
        <is>
          <t>14行 0列，源：23 备：9</t>
        </is>
      </c>
      <c r="DH31" s="0" t="inlineStr">
        <is>
          <t>4行 2列，源：THIS IS A TESTCASEYF 备：~!@#$%^&amp;*()_+|`;,[]}</t>
        </is>
      </c>
      <c r="DJ31" s="0" t="inlineStr">
        <is>
          <t>3行 2列，源：12:30:45 备：23:59:59.1</t>
        </is>
      </c>
      <c r="DL31" s="0" t="inlineStr">
        <is>
          <t>3行 2列，源：12:30:45 备：23:59:59.1</t>
        </is>
      </c>
      <c r="DM31" s="0" t="inlineStr">
        <is>
          <t>1行 24列，源：timestamp不参与比较 备：0000000000014076</t>
        </is>
      </c>
      <c r="DN31" s="0" t="inlineStr">
        <is>
          <t>4行 2列，源：This is a nchar stri 备：</t>
        </is>
      </c>
      <c r="DQ31" s="0" t="inlineStr">
        <is>
          <t>7行 1列，源：b'B' 备：54</t>
        </is>
      </c>
      <c r="DT31" s="0" t="inlineStr">
        <is>
          <t>3行 2列，源：12:30:45 备：23:59:59.1</t>
        </is>
      </c>
      <c r="DU31" s="0" t="inlineStr">
        <is>
          <t>7行 1列，源：b'B' 备：42</t>
        </is>
      </c>
      <c r="DV31" s="0" t="inlineStr">
        <is>
          <t>1行 24列，源：timestamp不参与比较 备：000000000001407A</t>
        </is>
      </c>
      <c r="DX31" s="0" t="inlineStr">
        <is>
          <t>2行 13列，源：None 备：</t>
        </is>
      </c>
      <c r="EC31" s="0" t="inlineStr">
        <is>
          <t>4行 1列，源：12:30:45 备：23:59:59</t>
        </is>
      </c>
      <c r="ED31" s="0" t="inlineStr">
        <is>
          <t>7行 1列，源：b'B' 备：54</t>
        </is>
      </c>
      <c r="EG31" s="0" t="inlineStr">
        <is>
          <t>4行 1列，源：12:30:45 备：</t>
        </is>
      </c>
      <c r="EH31" s="0" t="inlineStr">
        <is>
          <t>2行 13列，源：None 备：-9999999999999999999999999999.9999999999</t>
        </is>
      </c>
      <c r="EK31" s="0" t="inlineStr">
        <is>
          <t>4行 0列，源：11 备：14</t>
        </is>
      </c>
      <c r="EN31" s="0" t="inlineStr">
        <is>
          <t>3行 5列，源：09:12:34.123500 备：</t>
        </is>
      </c>
      <c r="EO31" s="0" t="inlineStr">
        <is>
          <t>7行 1列，源：b'B' 备：42</t>
        </is>
      </c>
      <c r="EP31" s="0" t="inlineStr">
        <is>
          <t>2行 13列，源：None 备：</t>
        </is>
      </c>
      <c r="ER31" s="0" t="inlineStr">
        <is>
          <t>16行 0列，源：23 备：180</t>
        </is>
      </c>
      <c r="ES31" s="0" t="inlineStr">
        <is>
          <t>2行 13列，源：None 备：-9999999999999999999999999999.9999999999</t>
        </is>
      </c>
      <c r="ET31" s="0" t="inlineStr">
        <is>
          <t>3行 2列，源：0001-01-01 00:00:00.0 +00:00 备：2025-05-12 00:00:00.0 -14:00</t>
        </is>
      </c>
    </row>
    <row r="32">
      <c r="B32" s="0" t="inlineStr">
        <is>
          <t>YES</t>
        </is>
      </c>
      <c r="C32" s="0" t="inlineStr">
        <is>
          <t>NULL</t>
        </is>
      </c>
      <c r="D32" s="0" t="inlineStr">
        <is>
          <t>NULL</t>
        </is>
      </c>
      <c r="E32" s="0" t="inlineStr">
        <is>
          <t>NULL</t>
        </is>
      </c>
      <c r="F32" s="0" t="inlineStr">
        <is>
          <t>NULL</t>
        </is>
      </c>
      <c r="G32" s="0" t="inlineStr">
        <is>
          <t>NULL</t>
        </is>
      </c>
      <c r="H32" s="0" t="inlineStr">
        <is>
          <t>NULL</t>
        </is>
      </c>
      <c r="I32" s="0" t="inlineStr">
        <is>
          <t>YES!PK__info_var__3213E83FF228FCD7</t>
        </is>
      </c>
      <c r="J32" s="0" t="inlineStr">
        <is>
          <t>YES! 主键相关索引</t>
        </is>
      </c>
      <c r="K32" s="0" t="inlineStr">
        <is>
          <t xml:space="preserve"> NO!  	 id列源备映射错误，源端为int None位	期望更改为text	实际备端为int None位</t>
        </is>
      </c>
      <c r="AC32" s="0" t="inlineStr">
        <is>
          <t>15行 1列，源：2068-05-11 14:31:00 备：2023-12-25 23:59:00</t>
        </is>
      </c>
      <c r="AD32" s="0" t="inlineStr">
        <is>
          <t>7行 2列，源：b'\xc9\xcf\xba\xa3\xd3\xa2\xb7\xbd\xc8\xed\xbc\xfe\xb9\xc9\xb7\xdd\xb9\xab\xcb\xbe' 备：48656C6C6F576F726C64</t>
        </is>
      </c>
      <c r="AH32" s="0" t="inlineStr">
        <is>
          <t>3行 2列，源：1971-05-11 00:00:00.0 +14:00 备：9999-12-31 23:59:59.9 +00:00</t>
        </is>
      </c>
      <c r="AI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2" s="0" t="inlineStr">
        <is>
          <t>3行 15列，源：1.23456789012345e-30 备：0.0000000000000</t>
        </is>
      </c>
      <c r="AO32" s="0" t="inlineStr">
        <is>
          <t>15行 0列，源：16 备：23</t>
        </is>
      </c>
      <c r="AP32" s="0" t="inlineStr">
        <is>
          <t>15行 1列，源：2002-06-11 23:59:59.993000 备：2002-06-11 23:59:59.993</t>
        </is>
      </c>
      <c r="AQ32" s="0" t="inlineStr">
        <is>
          <t>7行 2列，源：b'\xc9\xcf\xba\xa3\xd3\xa2\xb7\xbd\xc8\xed\xbc\xfe\xb9\xc9\xb7\xdd\xb9\xab\xcb\xbe' 备：48656C6C6F576F726C64</t>
        </is>
      </c>
      <c r="AR32" s="0" t="inlineStr">
        <is>
          <t>15行 0列，源：16 备：23</t>
        </is>
      </c>
      <c r="AS32" s="0" t="inlineStr">
        <is>
          <t>3行 16列，源：1.2345669834560371e-20 备：0.000000</t>
        </is>
      </c>
      <c r="AT32" s="0" t="inlineStr">
        <is>
          <t>15行 1列，源：2002-06-11 23:59:59.993000 备：2004-12-24 23:59:59.990</t>
        </is>
      </c>
      <c r="AU32" s="0" t="inlineStr">
        <is>
          <t>6行 2列，源：!@#%^&amp;()+{}:"&lt;&gt;?];\n 备：This is a nchar stri</t>
        </is>
      </c>
      <c r="AV32" s="0" t="inlineStr">
        <is>
          <t>15行 0列，源：16 备：23</t>
        </is>
      </c>
      <c r="AX32" s="0" t="inlineStr">
        <is>
          <t>15行 1列，源：2002-06-11 23:59:59.993000 备：2020-02-29 19:27:31.123</t>
        </is>
      </c>
      <c r="AZ32"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E32" s="0" t="inlineStr">
        <is>
          <t>3行 3列，源：0001-01-01 00:00:00 备：1945-05-11 14:30:45.12</t>
        </is>
      </c>
      <c r="BG32" s="0" t="inlineStr">
        <is>
          <t>1行 9列，源：None 备：123456712345.6789</t>
        </is>
      </c>
      <c r="BH32" s="0" t="inlineStr">
        <is>
          <t>7行 2列，源：b'\xc9\xcf\xba\xa3\xd3\xa2\xb7\xbd\xc8\xed\xbc\xfe\xb9\xc9\xb7\xdd\xb9\xab\xcb\xbe' 备：48656C6C6F576F726C6400000000000000000000</t>
        </is>
      </c>
      <c r="BI32" s="0" t="inlineStr">
        <is>
          <t>3行 3列，源：0001-01-01 00:00:00 备：1945-05-11 14:30:45.12</t>
        </is>
      </c>
      <c r="BJ32" s="0" t="inlineStr">
        <is>
          <t>2行 15列，源：1.23456789012345e-30 备：123.4567890000000</t>
        </is>
      </c>
      <c r="BL32"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O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P32" s="0" t="inlineStr">
        <is>
          <t>7行 2列，源：b'\xc9\xcf\xba\xa3\xd3\xa2\xb7\xbd\xc8\xed\xbc\xfe\xb9\xc9\xb7\xdd\xb9\xab\xcb\xbe' 备：C9CFBAA3D3A2B7BDC8EDBCFEB9C9B7DDB9ABCBBE</t>
        </is>
      </c>
      <c r="BS32" s="0" t="inlineStr">
        <is>
          <t>6行 2列，源：!@#%^&amp;()+{}:"&lt;&gt;?];\n 备：This is a nvarchar</t>
        </is>
      </c>
      <c r="BT32" s="0" t="inlineStr">
        <is>
          <t>7行 2列，源：b'\xc9\xcf\xba\xa3\xd3\xa2\xb7\xbd\xc8\xed\xbc\xfe\xb9\xc9\xb7\xdd\xb9\xab\xcb\xbe' 备：48656C6C6F576F726C6400000000000000000000</t>
        </is>
      </c>
      <c r="BV32" s="0" t="inlineStr">
        <is>
          <t>3行 3列，源：0001-01-01 00:00:00.00 +00:00 备：2025-05-12 00:00:00.00 -14:00</t>
        </is>
      </c>
      <c r="BX32" s="0" t="inlineStr">
        <is>
          <t>3行 3列，源：0001-01-01 00:00:00.00 +00:00 备：2025-05-12 00:00:00.00 -14:00</t>
        </is>
      </c>
      <c r="BY32" s="0" t="inlineStr">
        <is>
          <t>3行 3列，源：0001-01-01 00:00:00.00 +00:00 备：2025-05-12 00:00:00.00 -14:00</t>
        </is>
      </c>
      <c r="CA32" s="0" t="inlineStr">
        <is>
          <t>7行 2列，源：b'\xc9\xcf\xba\xa3\xd3\xa2\xb7\xbd\xc8\xed\xbc\xfe\xb9\xc9\xb7\xdd\xb9\xab\xcb\xbe' 备：C9CFBAA3D3A2B7BDC8EDBCFEB9C9B7DDB9ABCBBE</t>
        </is>
      </c>
      <c r="CB32" s="0" t="inlineStr">
        <is>
          <t>3行 3列，源：0001-01-01 00:00:00.00 +00:00 备：2026-04-17 17:18:31.54 +08:00</t>
        </is>
      </c>
      <c r="CD32" s="0" t="inlineStr">
        <is>
          <t>6行 0列，源：7 备：3</t>
        </is>
      </c>
      <c r="CE32" s="0" t="inlineStr">
        <is>
          <t>4行 2列，源：2063-03-12 02:00:00.0 -04:25 备：2025-05-12 00:00:00.0 -14:00</t>
        </is>
      </c>
      <c r="CF32" s="0" t="inlineStr">
        <is>
          <t>3行 3列，源：12:30:45 备：23:59:59.12</t>
        </is>
      </c>
      <c r="CG32" s="0" t="inlineStr">
        <is>
          <t>17行 0列，源：27 备：229</t>
        </is>
      </c>
      <c r="CK32" s="0" t="inlineStr">
        <is>
          <t>7行 2列，源：b'This is a test strin' 备：546869732069732061207465737420737472696E</t>
        </is>
      </c>
      <c r="CL32" s="0" t="inlineStr">
        <is>
          <t>5行 0列，源：9 备：6</t>
        </is>
      </c>
      <c r="CM32" s="0" t="inlineStr">
        <is>
          <t>3行 6列，源：None 备：</t>
        </is>
      </c>
      <c r="CN32" s="0" t="inlineStr">
        <is>
          <t>15行 0列，源：61 备：4</t>
        </is>
      </c>
      <c r="CO32" s="0" t="inlineStr">
        <is>
          <t>7行 2列，源：b'~!\xd3\xa2\xb7\xbdTest&amp;*\x00\x00\x00\x00\x00\x00\x00\x00' 备：48656C6C6F576F726C6400000000000000000000</t>
        </is>
      </c>
      <c r="CT32" s="0" t="inlineStr">
        <is>
          <t>3行 9列，源：None 备：</t>
        </is>
      </c>
      <c r="DA32" s="0" t="inlineStr">
        <is>
          <t>3行 6列，源：None 备：</t>
        </is>
      </c>
      <c r="DB32" s="0" t="inlineStr">
        <is>
          <t>15行 0列，源：16 备：23</t>
        </is>
      </c>
      <c r="DC32" s="0" t="inlineStr">
        <is>
          <t>1行 14列，源：None 备：</t>
        </is>
      </c>
      <c r="DG32" s="0" t="inlineStr">
        <is>
          <t>14行 1列，源：2025-01-01 00:00:00.233000 备：1981-05-11 14:30:59.000</t>
        </is>
      </c>
      <c r="DH32"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J32" s="0" t="inlineStr">
        <is>
          <t>3行 3列，源：12:30:45 备：23:59:59.12</t>
        </is>
      </c>
      <c r="DL32" s="0" t="inlineStr">
        <is>
          <t>3行 3列，源：12:30:45 备：23:59:59.12</t>
        </is>
      </c>
      <c r="DM32" s="0" t="inlineStr">
        <is>
          <t>1行 24列，源：timestamp不参与比较 备：0000000000014076</t>
        </is>
      </c>
      <c r="DN32"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Q32" s="0" t="inlineStr">
        <is>
          <t>7行 2列，源：b'\xc9\xcf\xba\xa3\xd3\xa2\xb7\xbd\xc8\xed\xbc\xfe\xb9\xc9\xb7\xdd\xb9\xab\xcb\xbe' 备：48656C6C6F576F726C64</t>
        </is>
      </c>
      <c r="DT32" s="0" t="inlineStr">
        <is>
          <t>3行 3列，源：12:30:45 备：23:59:59.12</t>
        </is>
      </c>
      <c r="DU32" s="0" t="inlineStr">
        <is>
          <t>7行 2列，源：b'\xc9\xcf\xba\xa3\xd3\xa2\xb7\xbd\xc8\xed\xbc\xfe\xb9\xc9\xb7\xdd\xb9\xab\xcb\xbe' 备：C9CFBAA3D3A2B7BDC8EDBCFEB9C9B7DDB9ABCBBE</t>
        </is>
      </c>
      <c r="DX32" s="0" t="inlineStr">
        <is>
          <t>2行 14列，源：None 备：</t>
        </is>
      </c>
      <c r="EC32" s="0" t="inlineStr">
        <is>
          <t>4行 2列，源：12:30:45.100000 备：23:59:59.1</t>
        </is>
      </c>
      <c r="ED32" s="0" t="inlineStr">
        <is>
          <t>7行 2列，源：b'\xc9\xcf\xba\xa3\xd3\xa2\xb7\xbd\xc8\xed\xbc\xfe\xb9\xc9\xb7\xdd\xb9\xab\xcb\xbe' 备：48656C6C6F576F726C64</t>
        </is>
      </c>
      <c r="EG32" s="0" t="inlineStr">
        <is>
          <t>4行 2列，源：12:30:45.100000 备：00:00:01.1</t>
        </is>
      </c>
      <c r="EH32" s="0" t="inlineStr">
        <is>
          <t>2行 14列，源：None 备：-9999999999999999.99</t>
        </is>
      </c>
      <c r="EK32" s="0" t="inlineStr">
        <is>
          <t>4行 1列，源：12:30:45 备：</t>
        </is>
      </c>
      <c r="EN32" s="0" t="inlineStr">
        <is>
          <t>3行 6列，源：12:30:45.123460 备：00:00:01.12346</t>
        </is>
      </c>
      <c r="EO32" s="0" t="inlineStr">
        <is>
          <t>7行 2列，源：b'\xc9\xcf\xba\xa3\xd3\xa2\xb7\xbd\xc8\xed\xbc\xfe\xb9\xc9\xb7\xdd\xb9\xab\xcb\xbe' 备：C9CFBAA3D3A2B7BDC8EDBCFEB9C9B7DDB9ABCBBE</t>
        </is>
      </c>
      <c r="EP32" s="0" t="inlineStr">
        <is>
          <t>2行 14列，源：None 备：</t>
        </is>
      </c>
      <c r="ER32" s="0" t="inlineStr">
        <is>
          <t>16行 1列，源：1900-01-01 00:00:00 备：2079-06-05 23:59:00</t>
        </is>
      </c>
      <c r="ES32" s="0" t="inlineStr">
        <is>
          <t>2行 14列，源：None 备：-9999999999999999.99</t>
        </is>
      </c>
      <c r="ET32" s="0" t="inlineStr">
        <is>
          <t>3行 3列，源：0001-01-01 00:00:00.00 +00:00 备：2025-05-12 00:00:00.00 -14:00</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c_varchar列源备映射错误，源端为varchar 1位	期望更改为text	实际备端为varchar 1位</t>
        </is>
      </c>
      <c r="AC33" s="0" t="inlineStr">
        <is>
          <t>16行 0列，源：29 备：4</t>
        </is>
      </c>
      <c r="A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H33" s="0" t="inlineStr">
        <is>
          <t>3行 3列，源：1971-05-11 00:00:00.00 +14:00 备：9999-12-31 23:59:59.99 +00:00</t>
        </is>
      </c>
      <c r="AI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AM33" s="0" t="inlineStr">
        <is>
          <t>3行 16列，源：1.2345669834560371e-20 备：0.000000</t>
        </is>
      </c>
      <c r="AO33" s="0" t="inlineStr">
        <is>
          <t>15行 1列，源：2002-06-11 23:59:59.993000 备：2025-01-01 00:00:00.233</t>
        </is>
      </c>
      <c r="AP33" s="0" t="inlineStr">
        <is>
          <t>16行 0列，源：17 备：160</t>
        </is>
      </c>
      <c r="AQ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AR33" s="0" t="inlineStr">
        <is>
          <t>15行 1列，源：2002-06-11 23:59:59.993000 备：2025-01-01 00:00:00.233</t>
        </is>
      </c>
      <c r="AS33" s="0" t="inlineStr">
        <is>
          <t>3行 19列，源：False 备：0</t>
        </is>
      </c>
      <c r="AT33" s="0" t="inlineStr">
        <is>
          <t>16行 0列，源：17 备：119</t>
        </is>
      </c>
      <c r="AU33" s="0" t="inlineStr">
        <is>
          <t>6行 2列，源：!@#%^&amp;()+{}:"&lt;&gt;?];\n 备：This is a nchar stri</t>
        </is>
      </c>
      <c r="AV33" s="0" t="inlineStr">
        <is>
          <t>15行 1列，源：9999-12-31 23:59:59.997000 备：9999-12-31 23:59:59.997</t>
        </is>
      </c>
      <c r="AX33" s="0" t="inlineStr">
        <is>
          <t>16行 0列，源：17 备：24</t>
        </is>
      </c>
      <c r="AZ33" s="0" t="inlineStr">
        <is>
          <t xml:space="preserve">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t>
        </is>
      </c>
      <c r="BE33" s="0" t="inlineStr">
        <is>
          <t>3行 4列，源：0001-01-01 00:00:00 备：1945-05-11 14:30:45.123</t>
        </is>
      </c>
      <c r="BG33" s="0" t="inlineStr">
        <is>
          <t>1行 10列，源：None 备：988</t>
        </is>
      </c>
      <c r="BH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I33" s="0" t="inlineStr">
        <is>
          <t>3行 4列，源：0001-01-01 00:00:00 备：1945-05-11 14:30:45.123</t>
        </is>
      </c>
      <c r="BJ33" s="0" t="inlineStr">
        <is>
          <t>2行 16列，源：1.2345669834560371e-20 备：</t>
        </is>
      </c>
      <c r="BL33" s="0" t="inlineStr">
        <is>
          <t xml:space="preserve">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                                                                                                                                                                                                                                                                                                                                                                                                                                                                                                                                                                                                                                                                                                                                                                                                                                                                                                                                                                                                                                                                                                                                                                                                                                                                                                                                                                                                                                                                                                                                                                                                                                                                                                                                                                                                                                                                                                                                                                                                                                                                                                                                                                                                                                                                                                                                                                                                                                                                                                                                                                                                                                                                                                                                                                                                                                                                                                                                                                                                                                                                                                                                                                                                                                                                                                                                                                                                                                                                                                                                                                                                                                            </t>
        </is>
      </c>
      <c r="BO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BP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S33" s="0" t="inlineStr">
        <is>
          <t>6行 2列，源：!@#%^&amp;()+{}:"&lt;&gt;?];\n 备：This is a nvarchar</t>
        </is>
      </c>
      <c r="BT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33" s="0" t="inlineStr">
        <is>
          <t>3行 4列，源：0001-01-01 00:00:00.000 +00:00 备：2025-05-12 00:00:00.000 -14:00</t>
        </is>
      </c>
      <c r="BX33" s="0" t="inlineStr">
        <is>
          <t>3行 4列，源：0001-01-01 00:00:00.000 +00:00 备：2025-05-12 00:00:00.000 -14:00</t>
        </is>
      </c>
      <c r="BY33" s="0" t="inlineStr">
        <is>
          <t>3行 4列，源：0001-01-01 00:00:00.000 +00:00 备：2025-05-12 00:00:00.000 -14:00</t>
        </is>
      </c>
      <c r="CA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B33" s="0" t="inlineStr">
        <is>
          <t>3行 4列，源：0001-01-01 00:00:00.000 +00:00 备：2026-04-17 17:18:31.537 +08:00</t>
        </is>
      </c>
      <c r="CD33" s="0" t="inlineStr">
        <is>
          <t>6行 2列，源：None 备：</t>
        </is>
      </c>
      <c r="CE33" s="0" t="inlineStr">
        <is>
          <t>4行 3列，源：2063-03-12 02:00:00.00 -04:25 备：2025-05-12 00:00:00.00 -14:00</t>
        </is>
      </c>
      <c r="CF33" s="0" t="inlineStr">
        <is>
          <t>3行 4列，源：12:30:45 备：23:59:59.123</t>
        </is>
      </c>
      <c r="CG33" s="0" t="inlineStr">
        <is>
          <t>17行 1列，源：1970-01-01 备：9999-12-30</t>
        </is>
      </c>
      <c r="CK33" s="0" t="inlineStr">
        <is>
          <t>7行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33" s="0" t="inlineStr">
        <is>
          <t>6行 0列，源：11 备：7</t>
        </is>
      </c>
      <c r="CM33" s="0" t="inlineStr">
        <is>
          <t>3行 7列，源：None 备：</t>
        </is>
      </c>
      <c r="CN33" s="0" t="inlineStr">
        <is>
          <t>15行 1列，源：2068-06-01 备：9999-12-31</t>
        </is>
      </c>
      <c r="CO33" s="0" t="inlineStr">
        <is>
          <t>7行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T33" s="0" t="inlineStr">
        <is>
          <t>3行 10列，源：None 备：</t>
        </is>
      </c>
      <c r="DA33" s="0" t="inlineStr">
        <is>
          <t>3行 8列，源：None 备：</t>
        </is>
      </c>
      <c r="DB33" s="0" t="inlineStr">
        <is>
          <t>15行 1列，源：2002-06-11 23:59:59.993000 备：2025-01-01 00:00:00.233</t>
        </is>
      </c>
      <c r="DC33" s="0" t="inlineStr">
        <is>
          <t>1行 15列，源：None 备：</t>
        </is>
      </c>
      <c r="DH33" s="0" t="inlineStr">
        <is>
          <t>4行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t>
        </is>
      </c>
      <c r="DJ33" s="0" t="inlineStr">
        <is>
          <t>3行 4列，源：12:30:45 备：23:59:59.123</t>
        </is>
      </c>
      <c r="DL33" s="0" t="inlineStr">
        <is>
          <t>3行 4列，源：12:30:45 备：23:59:59.123</t>
        </is>
      </c>
      <c r="DN33" s="0" t="inlineStr">
        <is>
          <t>4行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t>
        </is>
      </c>
      <c r="DQ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DT33" s="0" t="inlineStr">
        <is>
          <t>3行 4列，源：12:30:45 备：23:59:59.123</t>
        </is>
      </c>
      <c r="DU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33" s="0" t="inlineStr">
        <is>
          <t>2行 15列，源：nan 备：</t>
        </is>
      </c>
      <c r="EC33" s="0" t="inlineStr">
        <is>
          <t>4行 3列，源：12:30:45.100000 备：23:59:59.12</t>
        </is>
      </c>
      <c r="ED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t>
        </is>
      </c>
      <c r="EG33" s="0" t="inlineStr">
        <is>
          <t>4行 3列，源：12:30:45.100000 备：</t>
        </is>
      </c>
      <c r="EH33" s="0" t="inlineStr">
        <is>
          <t>2行 15列，源：nan 备：</t>
        </is>
      </c>
      <c r="EK33" s="0" t="inlineStr">
        <is>
          <t>4行 2列，源：12:30:45.100000 备：12:00:00.1</t>
        </is>
      </c>
      <c r="EN33" s="0" t="inlineStr">
        <is>
          <t>3行 7列，源：09:12:34.123457 备：</t>
        </is>
      </c>
      <c r="EO33" s="0" t="inlineStr">
        <is>
          <t>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P33" s="0" t="inlineStr">
        <is>
          <t>2行 15列，源：nan 备：</t>
        </is>
      </c>
      <c r="ER33" s="0" t="inlineStr">
        <is>
          <t>17行 0列，源：24 备：183</t>
        </is>
      </c>
      <c r="ES33" s="0" t="inlineStr">
        <is>
          <t>2行 15列，源：nan 备：</t>
        </is>
      </c>
      <c r="ET33" s="0" t="inlineStr">
        <is>
          <t>3行 4列，源：0001-01-01 00:00:00.000 +00:00 备：2025-05-12 00:00:00.000 -14:00</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c_varchar20列源备映射错误，源端为varchar 20位	期望更改为text	实际备端为varchar 20位</t>
        </is>
      </c>
      <c r="AC34" s="0" t="inlineStr">
        <is>
          <t>16行 1列，源：1981-05-11 14:31:00 备：2079-06-06 23:59:00</t>
        </is>
      </c>
      <c r="AD34" s="0" t="inlineStr">
        <is>
          <t>8行 0列，源：9 备：8</t>
        </is>
      </c>
      <c r="AH34" s="0" t="inlineStr">
        <is>
          <t>3行 4列，源：1971-05-11 00:00:00.000 +14:00 备：9999-12-31 23:59:59.999 +00:00</t>
        </is>
      </c>
      <c r="AI34" s="0" t="inlineStr">
        <is>
          <t>5行 0列，源：6 备：14</t>
        </is>
      </c>
      <c r="AM34" s="0" t="inlineStr">
        <is>
          <t>3行 19列，源：False 备：0</t>
        </is>
      </c>
      <c r="AO34" s="0" t="inlineStr">
        <is>
          <t>16行 0列，源：17 备：24</t>
        </is>
      </c>
      <c r="AP34" s="0" t="inlineStr">
        <is>
          <t>16行 1列，源：2003-11-04 23:59:59.990000 备：1996-03-03 23:59:59.997</t>
        </is>
      </c>
      <c r="AQ34" s="0" t="inlineStr">
        <is>
          <t>8行 0列，源：9 备：8</t>
        </is>
      </c>
      <c r="AR34" s="0" t="inlineStr">
        <is>
          <t>16行 0列，源：17 备：24</t>
        </is>
      </c>
      <c r="AS34" s="0" t="inlineStr">
        <is>
          <t>4行 0列，源：5 备：13</t>
        </is>
      </c>
      <c r="AT34" s="0" t="inlineStr">
        <is>
          <t>16行 1列，源：2003-11-04 23:59:59.990000 备：1753-01-02 00:00:00.000</t>
        </is>
      </c>
      <c r="AU34"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AV34" s="0" t="inlineStr">
        <is>
          <t>16行 0列，源：17 备：24</t>
        </is>
      </c>
      <c r="AX34" s="0" t="inlineStr">
        <is>
          <t>16行 1列，源：2003-11-04 23:59:59.990000 备：2020-02-29 19:27:31.123</t>
        </is>
      </c>
      <c r="AZ34" s="0" t="inlineStr">
        <is>
          <t>5行 0列，源：6 备：14</t>
        </is>
      </c>
      <c r="BE34" s="0" t="inlineStr">
        <is>
          <t>3行 5列，源：0001-01-01 00:00:00 备：1945-05-11 14:30:45.1235</t>
        </is>
      </c>
      <c r="BG34" s="0" t="inlineStr">
        <is>
          <t>1行 11列，源：None 备：987654321098765410987654321098765432</t>
        </is>
      </c>
      <c r="BH34" s="0" t="inlineStr">
        <is>
          <t>8行 0列，源：9 备：8</t>
        </is>
      </c>
      <c r="BI34" s="0" t="inlineStr">
        <is>
          <t>3行 5列，源：0001-01-01 00:00:00 备：1945-05-11 14:30:45.1235</t>
        </is>
      </c>
      <c r="BJ34" s="0" t="inlineStr">
        <is>
          <t>2行 18列，源：None 备：</t>
        </is>
      </c>
      <c r="BL34" s="0" t="inlineStr">
        <is>
          <t>5行 0列，源：6 备：21</t>
        </is>
      </c>
      <c r="BO34" s="0" t="inlineStr">
        <is>
          <t>5行 0列，源：6 备：14</t>
        </is>
      </c>
      <c r="BP34" s="0" t="inlineStr">
        <is>
          <t>8行 0列，源：9 备：2</t>
        </is>
      </c>
      <c r="BS34"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BT34" s="0" t="inlineStr">
        <is>
          <t>8行 0列，源：9 备：8</t>
        </is>
      </c>
      <c r="BV34" s="0" t="inlineStr">
        <is>
          <t>3行 5列，源：0001-01-01 00:00:00.0000 +00:00 备：2025-05-12 00:00:00.0000 -14:00</t>
        </is>
      </c>
      <c r="BX34" s="0" t="inlineStr">
        <is>
          <t>3行 5列，源：0001-01-01 00:00:00.0000 +00:00 备：2025-05-12 00:00:00.0000 -14:00</t>
        </is>
      </c>
      <c r="BY34" s="0" t="inlineStr">
        <is>
          <t>3行 5列，源：0001-01-01 00:00:00.0000 +00:00 备：2025-05-12 00:00:00.0000 -14:00</t>
        </is>
      </c>
      <c r="CA34" s="0" t="inlineStr">
        <is>
          <t>8行 0列，源：9 备：109</t>
        </is>
      </c>
      <c r="CB34" s="0" t="inlineStr">
        <is>
          <t>3行 5列，源：0001-01-01 00:00:00.0000 +00:00 备：2026-04-17 17:18:31.5370 +08:00</t>
        </is>
      </c>
      <c r="CD34" s="0" t="inlineStr">
        <is>
          <t>6行 4列，源：None 备：</t>
        </is>
      </c>
      <c r="CE34" s="0" t="inlineStr">
        <is>
          <t>4行 4列，源：2063-03-12 02:00:00.000 -04:25 备：2025-05-12 00:00:00.000 -14:00</t>
        </is>
      </c>
      <c r="CF34" s="0" t="inlineStr">
        <is>
          <t>3行 5列，源：12:30:45 备：23:59:59.1235</t>
        </is>
      </c>
      <c r="CG34" s="0" t="inlineStr">
        <is>
          <t>18行 0列，源：28 备：23</t>
        </is>
      </c>
      <c r="CK34" s="0" t="inlineStr">
        <is>
          <t>8行 0列，源：9 备：8</t>
        </is>
      </c>
      <c r="CL34" s="0" t="inlineStr">
        <is>
          <t>7行 0列，源：13 备：9</t>
        </is>
      </c>
      <c r="CM34" s="0" t="inlineStr">
        <is>
          <t>3行 8列，源：None 备：</t>
        </is>
      </c>
      <c r="CN34" s="0" t="inlineStr">
        <is>
          <t>16行 0列，源：102 备：5</t>
        </is>
      </c>
      <c r="CO34" s="0" t="inlineStr">
        <is>
          <t>8行 0列，源：9 备：8</t>
        </is>
      </c>
      <c r="CT34" s="0" t="inlineStr">
        <is>
          <t>3行 11列，源：None 备：</t>
        </is>
      </c>
      <c r="DA34" s="0" t="inlineStr">
        <is>
          <t>3行 9列，源：None 备：</t>
        </is>
      </c>
      <c r="DB34" s="0" t="inlineStr">
        <is>
          <t>16行 0列，源：17 备：24</t>
        </is>
      </c>
      <c r="DC34" s="0" t="inlineStr">
        <is>
          <t>1行 16列，源：None 备：</t>
        </is>
      </c>
      <c r="DH34" s="0" t="inlineStr">
        <is>
          <t>5行 0列，源：6 备：14</t>
        </is>
      </c>
      <c r="DJ34" s="0" t="inlineStr">
        <is>
          <t>3行 5列，源：12:30:45 备：23:59:59.1235</t>
        </is>
      </c>
      <c r="DL34" s="0" t="inlineStr">
        <is>
          <t>3行 5列，源：12:30:45 备：23:59:59.1235</t>
        </is>
      </c>
      <c r="DN34" s="0" t="inlineStr">
        <is>
          <t>5行 0列，源：6 备：21</t>
        </is>
      </c>
      <c r="DQ34" s="0" t="inlineStr">
        <is>
          <t>8行 0列，源：9 备：8</t>
        </is>
      </c>
      <c r="DT34" s="0" t="inlineStr">
        <is>
          <t>3行 5列，源：12:30:45 备：23:59:59.1235</t>
        </is>
      </c>
      <c r="DU34" s="0" t="inlineStr">
        <is>
          <t>8行 0列，源：9 备：2</t>
        </is>
      </c>
      <c r="DX34" s="0" t="inlineStr">
        <is>
          <t>2行 16列，源：nan 备：</t>
        </is>
      </c>
      <c r="EC34" s="0" t="inlineStr">
        <is>
          <t>4行 4列，源：12:30:45.100000 备：23:59:59.123</t>
        </is>
      </c>
      <c r="ED34" s="0" t="inlineStr">
        <is>
          <t>8行 0列，源：9 备：8</t>
        </is>
      </c>
      <c r="EG34" s="0" t="inlineStr">
        <is>
          <t>4行 4列，源：12:30:45.100000 备：00:00:01.123</t>
        </is>
      </c>
      <c r="EH34" s="0" t="inlineStr">
        <is>
          <t>2行 16列，源：nan 备：</t>
        </is>
      </c>
      <c r="EK34" s="0" t="inlineStr">
        <is>
          <t>4行 3列，源：12:30:45.120000 备：</t>
        </is>
      </c>
      <c r="EN34" s="0" t="inlineStr">
        <is>
          <t>3行 8列，源：12:30:45.123456 备：00:00:01.1234567</t>
        </is>
      </c>
      <c r="EO34" s="0" t="inlineStr">
        <is>
          <t>8行 0列，源：9 备：2</t>
        </is>
      </c>
      <c r="EP34" s="0" t="inlineStr">
        <is>
          <t>2行 16列，源：nan 备：</t>
        </is>
      </c>
      <c r="ER34" s="0" t="inlineStr">
        <is>
          <t>17行 1列，源：2079-06-06 23:59:00 备：2025-05-11 12:00:00</t>
        </is>
      </c>
      <c r="ES34" s="0" t="inlineStr">
        <is>
          <t>2行 16列，源：nan 备：</t>
        </is>
      </c>
      <c r="ET34" s="0" t="inlineStr">
        <is>
          <t>3行 5列，源：0001-01-01 00:00:00.0000 +00:00 备：2025-05-12 00:00:00.0000 -14:00</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c_varchar7000列源备映射错误，源端为varchar 7000位	期望更改为text	实际备端为varchar 7000位</t>
        </is>
      </c>
      <c r="AC35" s="0" t="inlineStr">
        <is>
          <t>17行 0列，源：30 备：5</t>
        </is>
      </c>
      <c r="AD35" s="0" t="inlineStr">
        <is>
          <t>8行 1列，源：b'*' 备：42</t>
        </is>
      </c>
      <c r="AH35" s="0" t="inlineStr">
        <is>
          <t>3行 5列，源：1971-05-11 00:00:00.0000 +14:00 备：9999-12-31 23:59:59.9999 +00:00</t>
        </is>
      </c>
      <c r="AI35" s="0" t="inlineStr">
        <is>
          <t>5行 1列，源：A 备：Y</t>
        </is>
      </c>
      <c r="AM35" s="0" t="inlineStr">
        <is>
          <t>4行 0列，源：5 备：13</t>
        </is>
      </c>
      <c r="AO35" s="0" t="inlineStr">
        <is>
          <t>16行 1列，源：2003-11-04 23:59:59.990000 备：2040-12-25 23:59:59.997</t>
        </is>
      </c>
      <c r="AP35" s="0" t="inlineStr">
        <is>
          <t>17行 0列，源：18 备：161</t>
        </is>
      </c>
      <c r="AQ35" s="0" t="inlineStr">
        <is>
          <t>8行 1列，源：b'*' 备：42</t>
        </is>
      </c>
      <c r="AR35" s="0" t="inlineStr">
        <is>
          <t>16行 1列，源：2003-11-04 23:59:59.990000 备：2040-12-25 23:59:59.997</t>
        </is>
      </c>
      <c r="AS35" s="0" t="inlineStr">
        <is>
          <t>4行 2列，源：0.0 备：</t>
        </is>
      </c>
      <c r="AT35" s="0" t="inlineStr">
        <is>
          <t>17行 0列，源：18 备：12</t>
        </is>
      </c>
      <c r="AU35" s="0" t="inlineStr">
        <is>
          <t xml:space="preserve">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AV35" s="0" t="inlineStr">
        <is>
          <t>16行 1列，源：9999-12-31 23:59:59.997000 备：9999-12-31 23:59:59.997</t>
        </is>
      </c>
      <c r="AX35" s="0" t="inlineStr">
        <is>
          <t>17行 0列，源：18 备：3</t>
        </is>
      </c>
      <c r="AZ35" s="0" t="inlineStr">
        <is>
          <t>5行 1列，源：A 备：Y</t>
        </is>
      </c>
      <c r="BE35" s="0" t="inlineStr">
        <is>
          <t>3行 6列，源：0001-01-01 00:00:00 备：1945-05-11 14:30:45.12346</t>
        </is>
      </c>
      <c r="BG35" s="0" t="inlineStr">
        <is>
          <t>1行 12列，源：None 备：0.98765432109874321098765432109876543200</t>
        </is>
      </c>
      <c r="BH35" s="0" t="inlineStr">
        <is>
          <t>8行 1列，源：b'*' 备：42</t>
        </is>
      </c>
      <c r="BI35" s="0" t="inlineStr">
        <is>
          <t>3行 6列，源：0001-01-01 00:00:00 备：1945-05-11 14:30:45.12346</t>
        </is>
      </c>
      <c r="BJ35" s="0" t="inlineStr">
        <is>
          <t>2行 19列，源：False 备：1</t>
        </is>
      </c>
      <c r="BL35" s="0" t="inlineStr">
        <is>
          <t>5行 1列，源：Y 备：</t>
        </is>
      </c>
      <c r="BO35" s="0" t="inlineStr">
        <is>
          <t>5行 1列，源：A 备：Y</t>
        </is>
      </c>
      <c r="BP35" s="0" t="inlineStr">
        <is>
          <t>8行 1列，源：b'*' 备：00</t>
        </is>
      </c>
      <c r="BS35" s="0" t="inlineStr">
        <is>
          <t>6行 3列，源：!@#$%^&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备：This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nvarcharThis is a nvarchar</t>
        </is>
      </c>
      <c r="BT35" s="0" t="inlineStr">
        <is>
          <t>8行 1列，源：b'*' 备：42</t>
        </is>
      </c>
      <c r="BV35" s="0" t="inlineStr">
        <is>
          <t>3行 6列，源：0001-01-01 00:00:00.00000 +00:00 备：2025-05-12 00:00:00.00000 -14:00</t>
        </is>
      </c>
      <c r="BX35" s="0" t="inlineStr">
        <is>
          <t>3行 6列，源：0001-01-01 00:00:00.00000 +00:00 备：2025-05-12 00:00:00.00000 -14:00</t>
        </is>
      </c>
      <c r="BY35" s="0" t="inlineStr">
        <is>
          <t>3行 6列，源：0001-01-01 00:00:00.00000 +00:00 备：2025-05-12 00:00:00.00000 -14:00</t>
        </is>
      </c>
      <c r="CA35" s="0" t="inlineStr">
        <is>
          <t>8行 1列，源：b'*' 备：2A</t>
        </is>
      </c>
      <c r="CB35" s="0" t="inlineStr">
        <is>
          <t>3行 6列，源：0001-01-01 00:00:00.00000 +00:00 备：2026-04-17 17:18:31.53698 +08:00</t>
        </is>
      </c>
      <c r="CD35" s="0" t="inlineStr">
        <is>
          <t>6行 6列，源：None 备：</t>
        </is>
      </c>
      <c r="CE35" s="0" t="inlineStr">
        <is>
          <t>4行 5列，源：2063-03-12 02:00:00.0000 -04:25 备：2025-05-12 00:00:00.0000 -14:00</t>
        </is>
      </c>
      <c r="CF35" s="0" t="inlineStr">
        <is>
          <t>3行 6列，源：12:30:45 备：23:59:59.12346</t>
        </is>
      </c>
      <c r="CG35" s="0" t="inlineStr">
        <is>
          <t>18行 1列，源：0001-01-02 备：0001-01-01</t>
        </is>
      </c>
      <c r="CK35" s="0" t="inlineStr">
        <is>
          <t>8行 1列，源：b'X' 备：58</t>
        </is>
      </c>
      <c r="CL35" s="0" t="inlineStr">
        <is>
          <t>7行 1列，源：None 备：12:30:45</t>
        </is>
      </c>
      <c r="CM35" s="0" t="inlineStr">
        <is>
          <t>3行 9列，源：None 备：</t>
        </is>
      </c>
      <c r="CN35" s="0" t="inlineStr">
        <is>
          <t>16行 1列，源：1900-01-01 备：2026-04-17</t>
        </is>
      </c>
      <c r="CO35" s="0" t="inlineStr">
        <is>
          <t>8行 1列，源：b'F' 备：46</t>
        </is>
      </c>
      <c r="CT35" s="0" t="inlineStr">
        <is>
          <t>3行 12列，源：None 备：</t>
        </is>
      </c>
      <c r="DA35" s="0" t="inlineStr">
        <is>
          <t>3行 10列，源：None 备：</t>
        </is>
      </c>
      <c r="DB35" s="0" t="inlineStr">
        <is>
          <t>16行 1列，源：2003-11-04 23:59:59.990000 备：2040-12-25 23:59:59.997</t>
        </is>
      </c>
      <c r="DC35" s="0" t="inlineStr">
        <is>
          <t>1行 17列，源：None 备：</t>
        </is>
      </c>
      <c r="DH35" s="0" t="inlineStr">
        <is>
          <t>5行 1列，源：A 备：Y</t>
        </is>
      </c>
      <c r="DJ35" s="0" t="inlineStr">
        <is>
          <t>3行 6列，源：12:30:45 备：23:59:59.12346</t>
        </is>
      </c>
      <c r="DL35" s="0" t="inlineStr">
        <is>
          <t>3行 6列，源：12:30:45 备：23:59:59.12346</t>
        </is>
      </c>
      <c r="DN35" s="0" t="inlineStr">
        <is>
          <t>5行 1列，源：Y 备：</t>
        </is>
      </c>
      <c r="DQ35" s="0" t="inlineStr">
        <is>
          <t>8行 1列，源：b'*' 备：42</t>
        </is>
      </c>
      <c r="DT35" s="0" t="inlineStr">
        <is>
          <t>3行 6列，源：12:30:45 备：23:59:59.12346</t>
        </is>
      </c>
      <c r="DU35" s="0" t="inlineStr">
        <is>
          <t>8行 1列，源：b'*' 备：</t>
        </is>
      </c>
      <c r="DX35" s="0" t="inlineStr">
        <is>
          <t>2行 17列，源：None 备：</t>
        </is>
      </c>
      <c r="EC35" s="0" t="inlineStr">
        <is>
          <t>4行 5列，源：12:30:45.100000 备：23:59:59.1235</t>
        </is>
      </c>
      <c r="ED35" s="0" t="inlineStr">
        <is>
          <t>8行 1列，源：b'*' 备：42</t>
        </is>
      </c>
      <c r="EG35" s="0" t="inlineStr">
        <is>
          <t>4行 5列，源：12:30:45.100000 备：</t>
        </is>
      </c>
      <c r="EH35" s="0" t="inlineStr">
        <is>
          <t>2行 17列，源：None 备：</t>
        </is>
      </c>
      <c r="EK35" s="0" t="inlineStr">
        <is>
          <t>4行 4列，源：12:30:45.123000 备：12:00:00.123</t>
        </is>
      </c>
      <c r="EN35" s="0" t="inlineStr">
        <is>
          <t>4行 0列，源：11 备：14</t>
        </is>
      </c>
      <c r="EO35" s="0" t="inlineStr">
        <is>
          <t>8行 1列，源：b'*' 备：</t>
        </is>
      </c>
      <c r="EP35" s="0" t="inlineStr">
        <is>
          <t>2行 17列，源：None 备：</t>
        </is>
      </c>
      <c r="ER35" s="0" t="inlineStr">
        <is>
          <t>18行 0列，源：25 备：184</t>
        </is>
      </c>
      <c r="ES35" s="0" t="inlineStr">
        <is>
          <t>2行 17列，源：None 备：</t>
        </is>
      </c>
      <c r="ET35" s="0" t="inlineStr">
        <is>
          <t>3行 6列，源：0001-01-01 00:00:00.00000 +00:00 备：2025-05-12 00:00:00.00000 -14:00</t>
        </is>
      </c>
    </row>
    <row r="36">
      <c r="K36" s="0" t="inlineStr">
        <is>
          <t>~ 空表</t>
        </is>
      </c>
      <c r="AC36" s="0" t="inlineStr">
        <is>
          <t>17行 1列，源：2079-06-05 23:59:00 备：2026-04-17 17:16:00</t>
        </is>
      </c>
      <c r="AD36" s="0" t="inlineStr">
        <is>
          <t>8行 2列，源：b'~!@#$%^&amp;*]' 备：C9CFBAA3D3A2B7BDC8EDBCFEB9C9B7DDB9ABCBBE</t>
        </is>
      </c>
      <c r="AH36" s="0" t="inlineStr">
        <is>
          <t>3行 6列，源：1971-05-11 00:00:00.00000 +14:00 备：9999-12-31 23:59:59.99999 +00:00</t>
        </is>
      </c>
      <c r="AI36" s="0" t="inlineStr">
        <is>
          <t>5行 1列，源：A 备：Y</t>
        </is>
      </c>
      <c r="AM36" s="0" t="inlineStr">
        <is>
          <t>4行 2列，源：0.0 备：</t>
        </is>
      </c>
      <c r="AO36" s="0" t="inlineStr">
        <is>
          <t>17行 0列，源：18 备：3</t>
        </is>
      </c>
      <c r="AP36" s="0" t="inlineStr">
        <is>
          <t>17行 1列，源：2004-12-24 23:59:59.990000 备：1997-04-04 23:59:59.997</t>
        </is>
      </c>
      <c r="AQ36" s="0" t="inlineStr">
        <is>
          <t>8行 2列，源：b'~!@#$%^&amp;*]' 备：C9CFBAA3D3A2B7BDC8EDBCFEB9C9B7DDB9ABCBBE</t>
        </is>
      </c>
      <c r="AR36" s="0" t="inlineStr">
        <is>
          <t>17行 0列，源：18 备：3</t>
        </is>
      </c>
      <c r="AS36" s="0" t="inlineStr">
        <is>
          <t>4行 3列，源：0 备：123456</t>
        </is>
      </c>
      <c r="AT36" s="0" t="inlineStr">
        <is>
          <t>17行 1列，源：2004-12-24 23:59:59.990000 备：1998-05-05 23:59:59.997</t>
        </is>
      </c>
      <c r="AU36" s="0" t="inlineStr">
        <is>
          <t>7行 0列，源：8 备：7</t>
        </is>
      </c>
      <c r="AV36" s="0" t="inlineStr">
        <is>
          <t>17行 0列，源：18 备：3</t>
        </is>
      </c>
      <c r="AX36" s="0" t="inlineStr">
        <is>
          <t>17行 1列，源：2004-12-24 23:59:59.990000 备：1753-01-01 00:00:00.000</t>
        </is>
      </c>
      <c r="AZ36" s="0" t="inlineStr">
        <is>
          <t>5行 1列，源：A 备：Y</t>
        </is>
      </c>
      <c r="BE36" s="0" t="inlineStr">
        <is>
          <t>3行 7列，源：0001-01-01 00:00:00 备：1945-05-11 14:30:45.123457</t>
        </is>
      </c>
      <c r="BG36" s="0" t="inlineStr">
        <is>
          <t>1行 13列，源：None 备：987654321098765432105432.1098542000</t>
        </is>
      </c>
      <c r="BH36" s="0" t="inlineStr">
        <is>
          <t>8行 2列，源：b'~!@#$%^&amp;*]\x00\x00\x00\x00\x00\x00\x00\x00\x00\x00' 备：C9CFBAA3D3A2B7BDC8EDBCFEB9C9B7DDB9ABCBBE</t>
        </is>
      </c>
      <c r="BI36" s="0" t="inlineStr">
        <is>
          <t>3行 7列，源：0001-01-01 00:00:00 备：1945-05-11 14:30:45.123457</t>
        </is>
      </c>
      <c r="BJ36" s="0" t="inlineStr">
        <is>
          <t>3行 0列，源：5 备：12</t>
        </is>
      </c>
      <c r="BL36" s="0" t="inlineStr">
        <is>
          <t>5行 1列，源：Y 备：</t>
        </is>
      </c>
      <c r="BO36" s="0" t="inlineStr">
        <is>
          <t>5行 1列，源：A 备：Y</t>
        </is>
      </c>
      <c r="BP36" s="0" t="inlineStr">
        <is>
          <t>8行 2列，源：b'~!@#$%^&amp;*]\x00\x00\x00\x00\x00\x00\x00\x00\x00\x00' 备：0000000000000000000000000000000000000000</t>
        </is>
      </c>
      <c r="BS36" s="0" t="inlineStr">
        <is>
          <t>7行 0列，源：8 备：7</t>
        </is>
      </c>
      <c r="BT36" s="0" t="inlineStr">
        <is>
          <t>8行 2列，源：b'~!@#$%^&amp;*]\x00\x00\x00\x00\x00\x00\x00\x00\x00\x00' 备：C9CFBAA3D3A2B7BDC8EDBCFEB9C9B7DDB9ABCBBE</t>
        </is>
      </c>
      <c r="BV36" s="0" t="inlineStr">
        <is>
          <t>3行 7列，源：0001-01-01 00:00:00.000000 +00:00 备：2025-05-12 00:00:00.000000 -14:00</t>
        </is>
      </c>
      <c r="BX36" s="0" t="inlineStr">
        <is>
          <t>3行 7列，源：0001-01-01 00:00:00.000000 +00:00 备：2025-05-12 00:00:00.000000 -14:00</t>
        </is>
      </c>
      <c r="BY36" s="0" t="inlineStr">
        <is>
          <t>3行 7列，源：0001-01-01 00:00:00.000000 +00:00 备：2025-05-12 00:00:00.000000 -14:00</t>
        </is>
      </c>
      <c r="CA36" s="0" t="inlineStr">
        <is>
          <t>8行 2列，源：b'~!@#$%^&amp;*]\x00\x00\x00\x00\x00\x00\x00\x00\x00\x00' 备：7E21402324255E262A5D00000000000000000000</t>
        </is>
      </c>
      <c r="CB36" s="0" t="inlineStr">
        <is>
          <t>3行 7列，源：0001-01-01 00:00:00.000000 +00:00 备：2026-04-17 17:18:31.536981 +08:00</t>
        </is>
      </c>
      <c r="CD36" s="0" t="inlineStr">
        <is>
          <t>6行 8列，源：None 备：</t>
        </is>
      </c>
      <c r="CE36" s="0" t="inlineStr">
        <is>
          <t>4行 6列，源：2063-03-12 02:00:00.00000 -04:25 备：2025-05-12 00:00:00.00000 -14:00</t>
        </is>
      </c>
      <c r="CF36" s="0" t="inlineStr">
        <is>
          <t>3行 7列，源：12:30:45 备：23:59:59.123457</t>
        </is>
      </c>
      <c r="CG36" s="0" t="inlineStr">
        <is>
          <t>19行 0列，源：29 备：231</t>
        </is>
      </c>
      <c r="CK36" s="0" t="inlineStr">
        <is>
          <t>8行 2列，源：b'This is a test strin' 备：546869732069732061207465737420737472696E</t>
        </is>
      </c>
      <c r="CL36" s="0" t="inlineStr">
        <is>
          <t>7行 2列，源：00:00:01.100000 备：12:30:45.1</t>
        </is>
      </c>
      <c r="CM36" s="0" t="inlineStr">
        <is>
          <t>3行 10列，源：None 备：</t>
        </is>
      </c>
      <c r="CN36" s="0" t="inlineStr">
        <is>
          <t>17行 0列，源：103 备：57</t>
        </is>
      </c>
      <c r="CO36" s="0" t="inlineStr">
        <is>
          <t>8行 2列，源：b'~!\xd3\xa2\xb7\xbdTest&amp;*\x00\x00\x00\x00\x00\x00\x00\x00' 备：7E21D3A2B7BD54657374262A0000000000000000</t>
        </is>
      </c>
      <c r="CT36" s="0" t="inlineStr">
        <is>
          <t>3行 13列，源：None 备：</t>
        </is>
      </c>
      <c r="DA36" s="0" t="inlineStr">
        <is>
          <t>3行 11列，源：None 备：</t>
        </is>
      </c>
      <c r="DB36" s="0" t="inlineStr">
        <is>
          <t>17行 0列，源：18 备：3</t>
        </is>
      </c>
      <c r="DC36" s="0" t="inlineStr">
        <is>
          <t>1行 18列，源：None 备：</t>
        </is>
      </c>
      <c r="DH36" s="0" t="inlineStr">
        <is>
          <t>5行 1列，源：A 备：Y</t>
        </is>
      </c>
      <c r="DJ36" s="0" t="inlineStr">
        <is>
          <t>3行 7列，源：12:30:45 备：23:59:59.123457</t>
        </is>
      </c>
      <c r="DL36" s="0" t="inlineStr">
        <is>
          <t>3行 7列，源：12:30:45 备：23:59:59.123457</t>
        </is>
      </c>
      <c r="DN36" s="0" t="inlineStr">
        <is>
          <t>5行 1列，源：Y 备：</t>
        </is>
      </c>
      <c r="DQ36" s="0" t="inlineStr">
        <is>
          <t>8行 2列，源：b'~!@#$%^&amp;*]' 备：C9CFBAA3D3A2B7BDC8EDBCFEB9C9B7DDB9ABCBBE</t>
        </is>
      </c>
      <c r="DT36" s="0" t="inlineStr">
        <is>
          <t>3行 7列，源：12:30:45 备：23:59:59.123457</t>
        </is>
      </c>
      <c r="DU36" s="0" t="inlineStr">
        <is>
          <t>8行 2列，源：b'~!@#$%^&amp;*]' 备：</t>
        </is>
      </c>
      <c r="DX36" s="0" t="inlineStr">
        <is>
          <t>2行 18列，源：None 备：</t>
        </is>
      </c>
      <c r="EC36" s="0" t="inlineStr">
        <is>
          <t>4行 6列，源：12:30:45.100000 备：23:59:59.12346</t>
        </is>
      </c>
      <c r="ED36" s="0" t="inlineStr">
        <is>
          <t>8行 2列，源：b'~!@#$%^&amp;*]' 备：C9CFBAA3D3A2B7BDC8EDBCFEB9C9B7DDB9ABCBBE</t>
        </is>
      </c>
      <c r="EG36" s="0" t="inlineStr">
        <is>
          <t>4行 6列，源：12:30:45.100000 备：00:00:01.12346</t>
        </is>
      </c>
      <c r="EH36" s="0" t="inlineStr">
        <is>
          <t>2行 18列，源：None 备：</t>
        </is>
      </c>
      <c r="EK36" s="0" t="inlineStr">
        <is>
          <t>4行 5列，源：12:30:45.123500 备：</t>
        </is>
      </c>
      <c r="EN36" s="0" t="inlineStr">
        <is>
          <t>4行 1列，源：12:30:45 备：</t>
        </is>
      </c>
      <c r="EO36" s="0" t="inlineStr">
        <is>
          <t>8行 2列，源：b'~!@#$%^&amp;*]' 备：</t>
        </is>
      </c>
      <c r="EP36" s="0" t="inlineStr">
        <is>
          <t>2行 18列，源：None 备：</t>
        </is>
      </c>
      <c r="ER36" s="0" t="inlineStr">
        <is>
          <t>18行 1列，源：2026-04-17 17:15:00 备：2023-12-25 23:59:00</t>
        </is>
      </c>
      <c r="ES36" s="0" t="inlineStr">
        <is>
          <t>2行 18列，源：None 备：</t>
        </is>
      </c>
      <c r="ET36" s="0" t="inlineStr">
        <is>
          <t>3行 7列，源：0001-01-01 00:00:00.000000 +00:00 备：2025-05-12 00:00:00.000000 -14:00</t>
        </is>
      </c>
    </row>
    <row r="37">
      <c r="A37" s="0" t="inlineStr">
        <is>
          <t>info_varbinary_dml_batch1_pk_urp1</t>
        </is>
      </c>
      <c r="K37" s="0" t="inlineStr">
        <is>
          <t>[0;34m info_varbinary_dml_batch1_pk_urp1 [0m源备字段数相同，源端字段：4 	备端字段4</t>
        </is>
      </c>
      <c r="W37" s="2">
        <f>HYPERLINK("#2026041905hbase4!AD2","NO 源备存在差异，共39个")</f>
        <v/>
      </c>
      <c r="X37" s="0">
        <f>A37</f>
        <v/>
      </c>
      <c r="AC37" s="0" t="inlineStr">
        <is>
          <t>18行 0列，源：31 备：57</t>
        </is>
      </c>
      <c r="A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H37" s="0" t="inlineStr">
        <is>
          <t>3行 7列，源：1971-05-11 00:00:00.000000 +14:00 备：9999-12-31 23:59:59.999999 +00:00</t>
        </is>
      </c>
      <c r="AI37" s="0" t="inlineStr">
        <is>
          <t xml:space="preserve">5行 2列，源：THIS IS A            备：测Test\n%_8试&amp;12YG@2  </t>
        </is>
      </c>
      <c r="AM37" s="0" t="inlineStr">
        <is>
          <t>4行 5列，源：None 备：</t>
        </is>
      </c>
      <c r="AO37" s="0" t="inlineStr">
        <is>
          <t>17行 1列，源：2004-12-24 23:59:59.990000 备：1753-01-01 00:00:00.000</t>
        </is>
      </c>
      <c r="AP37" s="0" t="inlineStr">
        <is>
          <t>18行 0列，源：19 备：162</t>
        </is>
      </c>
      <c r="AQ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AR37" s="0" t="inlineStr">
        <is>
          <t>17行 1列，源：2004-12-24 23:59:59.990000 备：1753-01-01 00:00:00.000</t>
        </is>
      </c>
      <c r="AS37" s="0" t="inlineStr">
        <is>
          <t>4行 4列，源：0 备：1000000</t>
        </is>
      </c>
      <c r="AT37" s="0" t="inlineStr">
        <is>
          <t>18行 0列，源：19 备：121</t>
        </is>
      </c>
      <c r="AU37" s="0" t="inlineStr">
        <is>
          <t>7行 1列，源：0 备：*</t>
        </is>
      </c>
      <c r="AV37" s="0" t="inlineStr">
        <is>
          <t>17行 1列，源：9999-12-31 23:59:59.997000 备：9999-12-31 23:59:59.997</t>
        </is>
      </c>
      <c r="AX37" s="0" t="inlineStr">
        <is>
          <t>18行 0列，源：19 备：4</t>
        </is>
      </c>
      <c r="AZ37" s="0" t="inlineStr">
        <is>
          <t xml:space="preserve">5行 2列，源：THIS IS A            备：测Test\n%_8试&amp;12YG@2  </t>
        </is>
      </c>
      <c r="BE37" s="0" t="inlineStr">
        <is>
          <t>3行 8列，源：0001-01-01 00:00:00 备：1945-05-11 14:30:45.1234567</t>
        </is>
      </c>
      <c r="BG37" s="0" t="inlineStr">
        <is>
          <t>1行 14列，源：None 备：1234567012456.78</t>
        </is>
      </c>
      <c r="BH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I37" s="0" t="inlineStr">
        <is>
          <t>3行 8列，源：0001-01-01 00:00:00 备：1945-05-11 14:30:45.1234567</t>
        </is>
      </c>
      <c r="BJ37" s="0" t="inlineStr">
        <is>
          <t>3行 1列，源：0.0 备：</t>
        </is>
      </c>
      <c r="BL37" s="0" t="inlineStr">
        <is>
          <t>5行 2列，源：€¶I€¶                备：</t>
        </is>
      </c>
      <c r="BO37" s="0" t="inlineStr">
        <is>
          <t>5行 2列，源：THIS IS A 备：测Test\n%_8试&amp;12YG@2</t>
        </is>
      </c>
      <c r="BP37" s="0" t="inlineStr">
        <is>
          <t>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37" s="0" t="inlineStr">
        <is>
          <t>7行 1列，源：0 备：*</t>
        </is>
      </c>
      <c r="BT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V37" s="0" t="inlineStr">
        <is>
          <t>3行 8列，源：0001-01-01 00:00:00.0000000 +00:00 备：2025-05-11 23:59:59.9999999 -14:00</t>
        </is>
      </c>
      <c r="BX37" s="0" t="inlineStr">
        <is>
          <t>3行 8列，源：0001-01-01 00:00:00.0000000 +00:00 备：2025-05-11 23:59:59.9999999 -14:00</t>
        </is>
      </c>
      <c r="BY37" s="0" t="inlineStr">
        <is>
          <t>3行 8列，源：0001-01-01 00:00:00.0000000 +00:00 备：2025-05-11 23:59:59.9999999 -14:00</t>
        </is>
      </c>
      <c r="CA37" s="0" t="inlineStr">
        <is>
          <t>8行 3列，源：b'~!@#$%^&amp;*]~!@#$%^&amp;*]~!@#$%^&amp;*]~!@#$%^&amp;*]~!@#$%^&amp;*]~!@#$%^&amp;*]~!@#$%^&amp;*]~!@#$%^&amp;*]~!@#$%^&amp;*]~!@#$%^&amp;*]~!@#$%^&amp;*]~!@#$%^&amp;*]~!@#$%^&amp;*]~!@#$%^&amp;*]~!@#$%^&amp;*]~!@#$%^&amp;*]~!@#$%^&amp;*]~!@#$%^&amp;*]~!@#$%^&amp;*]~!@#$%^&amp;*]'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B37" s="0" t="inlineStr">
        <is>
          <t>3行 8列，源：0001-01-01 00:00:00.0000000 +00:00 备：2026-04-17 17:18:31.5369809 +08:00</t>
        </is>
      </c>
      <c r="CD37" s="0" t="inlineStr">
        <is>
          <t>7行 0列，源：8 备：4</t>
        </is>
      </c>
      <c r="CE37" s="0" t="inlineStr">
        <is>
          <t>4行 7列，源：2063-03-12 02:00:00.000000 -04:25 备：2025-05-12 00:00:00.000000 -14:00</t>
        </is>
      </c>
      <c r="CF37" s="0" t="inlineStr">
        <is>
          <t>3行 8列，源：12:30:45 备：23:59:59.1234567</t>
        </is>
      </c>
      <c r="CG37" s="0" t="inlineStr">
        <is>
          <t>19行 1列，源：9999-12-30 备：2068-06-01</t>
        </is>
      </c>
      <c r="CK37" s="0" t="inlineStr">
        <is>
          <t>8行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37" s="0" t="inlineStr">
        <is>
          <t>7行 3列，源：None 备：12:30:45.12</t>
        </is>
      </c>
      <c r="CM37" s="0" t="inlineStr">
        <is>
          <t>3行 11列，源：None 备：</t>
        </is>
      </c>
      <c r="CN37" s="0" t="inlineStr">
        <is>
          <t>17行 1列，源：0001-01-01 备：1970-01-01</t>
        </is>
      </c>
      <c r="CO37" s="0" t="inlineStr">
        <is>
          <t>8行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T37" s="0" t="inlineStr">
        <is>
          <t>3行 14列，源：None 备：</t>
        </is>
      </c>
      <c r="DA37" s="0" t="inlineStr">
        <is>
          <t>3行 12列，源：None 备：</t>
        </is>
      </c>
      <c r="DB37" s="0" t="inlineStr">
        <is>
          <t>17行 1列，源：2004-12-24 23:59:59.990000 备：1753-01-01 00:00:00.000</t>
        </is>
      </c>
      <c r="DC37" s="0" t="inlineStr">
        <is>
          <t>1行 19列，源：None 备：</t>
        </is>
      </c>
      <c r="DH37" s="0" t="inlineStr">
        <is>
          <t>5行 2列，源：THIS IS A 备：测Test\n%_8试&amp;12YG@2</t>
        </is>
      </c>
      <c r="DJ37" s="0" t="inlineStr">
        <is>
          <t>3行 8列，源：12:30:45 备：23:59:59.1234567</t>
        </is>
      </c>
      <c r="DL37" s="0" t="inlineStr">
        <is>
          <t>3行 8列，源：12:30:45 备：23:59:59.1234567</t>
        </is>
      </c>
      <c r="DN37" s="0" t="inlineStr">
        <is>
          <t>5行 2列，源：€¶I€¶ 备：</t>
        </is>
      </c>
      <c r="DQ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T37" s="0" t="inlineStr">
        <is>
          <t>3行 8列，源：12:30:45 备：23:59:59.1234567</t>
        </is>
      </c>
      <c r="DU37" s="0" t="inlineStr">
        <is>
          <t>8行 3列，源：b'~!@#$%^&amp;*]~!@#$%^&amp;*]~!@#$%^&amp;*]~!@#$%^&amp;*]~!@#$%^&amp;*]~!@#$%^&amp;*]~!@#$%^&amp;*]~!@#$%^&amp;*]~!@#$%^&amp;*]~!@#$%^&amp;*]~!@#$%^&amp;*]~!@#$%^&amp;*]~!@#$%^&amp;*]~!@#$%^&amp;*]~!@#$%^&amp;*]~!@#$%^&amp;*]~!@#$%^&amp;*]~!@#$%^&amp;*]~!@#$%^&amp;*]~!@#$%^&amp;*]' 备：</t>
        </is>
      </c>
      <c r="DX37" s="0" t="inlineStr">
        <is>
          <t>2行 19列，源：None 备：</t>
        </is>
      </c>
      <c r="EC37" s="0" t="inlineStr">
        <is>
          <t>4行 7列，源：12:30:45.100000 备：23:59:59.123457</t>
        </is>
      </c>
      <c r="ED37" s="0" t="inlineStr">
        <is>
          <t>8行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G37" s="0" t="inlineStr">
        <is>
          <t>4行 7列，源：12:30:45.100000 备：</t>
        </is>
      </c>
      <c r="EH37" s="0" t="inlineStr">
        <is>
          <t>2行 19列，源：None 备：</t>
        </is>
      </c>
      <c r="EK37" s="0" t="inlineStr">
        <is>
          <t>4行 6列，源：12:30:45.123460 备：12:00:00.12346</t>
        </is>
      </c>
      <c r="EN37" s="0" t="inlineStr">
        <is>
          <t>4行 2列，源：12:30:45.100000 备：12:00:00.1</t>
        </is>
      </c>
      <c r="EO37" s="0" t="inlineStr">
        <is>
          <t>8行 3列，源：b'~!@#$%^&amp;*]~!@#$%^&amp;*]~!@#$%^&amp;*]~!@#$%^&amp;*]~!@#$%^&amp;*]~!@#$%^&amp;*]~!@#$%^&amp;*]~!@#$%^&amp;*]~!@#$%^&amp;*]~!@#$%^&amp;*]~!@#$%^&amp;*]~!@#$%^&amp;*]~!@#$%^&amp;*]~!@#$%^&amp;*]~!@#$%^&amp;*]~!@#$%^&amp;*]~!@#$%^&amp;*]~!@#$%^&amp;*]~!@#$%^&amp;*]~!@#$%^&amp;*]' 备：</t>
        </is>
      </c>
      <c r="EP37" s="0" t="inlineStr">
        <is>
          <t>2行 19列，源：None 备：</t>
        </is>
      </c>
      <c r="ER37" s="0" t="inlineStr">
        <is>
          <t>19行 0列，源：26 备：2</t>
        </is>
      </c>
      <c r="ES37" s="0" t="inlineStr">
        <is>
          <t>2行 19列，源：None 备：</t>
        </is>
      </c>
      <c r="ET37" s="0" t="inlineStr">
        <is>
          <t>3行 8列，源：0001-01-01 00:00:00.0000000 +00:00 备：2025-05-11 23:59:59.9999999 -14:00</t>
        </is>
      </c>
    </row>
    <row r="38">
      <c r="B38" s="0" t="inlineStr">
        <is>
          <t>YES</t>
        </is>
      </c>
      <c r="C38" s="0" t="inlineStr">
        <is>
          <t>NULL</t>
        </is>
      </c>
      <c r="D38" s="0" t="inlineStr">
        <is>
          <t>NULL</t>
        </is>
      </c>
      <c r="E38" s="0" t="inlineStr">
        <is>
          <t>NULL</t>
        </is>
      </c>
      <c r="F38" s="0" t="inlineStr">
        <is>
          <t>NULL</t>
        </is>
      </c>
      <c r="G38" s="0" t="inlineStr">
        <is>
          <t>NULL</t>
        </is>
      </c>
      <c r="H38" s="0" t="inlineStr">
        <is>
          <t>NULL</t>
        </is>
      </c>
      <c r="I38" s="0" t="inlineStr">
        <is>
          <t>YES!PK__info_var__3213E83F3219EEAB</t>
        </is>
      </c>
      <c r="J38" s="0" t="inlineStr">
        <is>
          <t>YES! 主键相关索引</t>
        </is>
      </c>
      <c r="K38" s="0" t="inlineStr">
        <is>
          <t xml:space="preserve"> NO!  	 id列源备映射错误，源端为int None位	期望更改为text	实际备端为int None位</t>
        </is>
      </c>
      <c r="AC38" s="0" t="inlineStr">
        <is>
          <t>18行 1列，源：1900-01-02 00:00:00 备：2000-05-11 14:30:00</t>
        </is>
      </c>
      <c r="AD38" s="0" t="inlineStr">
        <is>
          <t>9行 0列，源：10 备：9</t>
        </is>
      </c>
      <c r="AH38" s="0" t="inlineStr">
        <is>
          <t>3行 8列，源：1971-05-11 00:00:00.0000001 +14:00 备：9999-12-31 23:59:59.9999999 +00:00</t>
        </is>
      </c>
      <c r="AI38" s="0" t="inlineStr">
        <is>
          <t xml:space="preserve">5行 2列，源：THIS IS A            备：测Test\n%_8试&amp;12YG@2  </t>
        </is>
      </c>
      <c r="AM38" s="0" t="inlineStr">
        <is>
          <t>4行 6列，源：None 备：-123456780123456781234589012345678</t>
        </is>
      </c>
      <c r="AO38" s="0" t="inlineStr">
        <is>
          <t>18行 0列，源：19 备：4</t>
        </is>
      </c>
      <c r="AP38" s="0" t="inlineStr">
        <is>
          <t>18行 1列，源：1753-01-02 00:00:00 备：1998-05-05 23:59:59.997</t>
        </is>
      </c>
      <c r="AQ38" s="0" t="inlineStr">
        <is>
          <t>9行 0列，源：10 备：9</t>
        </is>
      </c>
      <c r="AR38" s="0" t="inlineStr">
        <is>
          <t>18行 0列，源：19 备：4</t>
        </is>
      </c>
      <c r="AS38" s="0" t="inlineStr">
        <is>
          <t>4行 6列，源：None 备：-123456780123456781234589012345678</t>
        </is>
      </c>
      <c r="AT38" s="0" t="inlineStr">
        <is>
          <t>18行 1列，源：1753-01-02 00:00:00 备：2023-05-11 00:00:00.123</t>
        </is>
      </c>
      <c r="AU38" s="0" t="inlineStr">
        <is>
          <t>7行 1列，源：0 备：*</t>
        </is>
      </c>
      <c r="AV38" s="0" t="inlineStr">
        <is>
          <t>18行 0列，源：19 备：4</t>
        </is>
      </c>
      <c r="AX38" s="0" t="inlineStr">
        <is>
          <t>18行 1列，源：1753-01-02 00:00:00 备：1753-01-01 00:00:00.000</t>
        </is>
      </c>
      <c r="AZ38" s="0" t="inlineStr">
        <is>
          <t xml:space="preserve">5行 2列，源：THIS IS A            备：测Test\n%_8试&amp;12YG@2  </t>
        </is>
      </c>
      <c r="BE38" s="0" t="inlineStr">
        <is>
          <t>4行 0列，源：5 备：127</t>
        </is>
      </c>
      <c r="BG38" s="0" t="inlineStr">
        <is>
          <t>1行 15列，源：nan 备：</t>
        </is>
      </c>
      <c r="BH38" s="0" t="inlineStr">
        <is>
          <t>9行 0列，源：10 备：9</t>
        </is>
      </c>
      <c r="BI38" s="0" t="inlineStr">
        <is>
          <t>4行 0列，源：5 备：107</t>
        </is>
      </c>
      <c r="BJ38" s="0" t="inlineStr">
        <is>
          <t>3行 2列，源：0.0 备：</t>
        </is>
      </c>
      <c r="BL38" s="0" t="inlineStr">
        <is>
          <t>5行 2列，源：€¶I€¶                备：</t>
        </is>
      </c>
      <c r="BO38" s="0" t="inlineStr">
        <is>
          <t>5行 2列，源：THIS IS A 备：测Test\n%_8试&amp;12YG@2</t>
        </is>
      </c>
      <c r="BP38" s="0" t="inlineStr">
        <is>
          <t>9行 0列，源：10 备：21</t>
        </is>
      </c>
      <c r="BS38" s="0" t="inlineStr">
        <is>
          <t>7行 1列，源：0 备：*</t>
        </is>
      </c>
      <c r="BT38" s="0" t="inlineStr">
        <is>
          <t>9行 0列，源：10 备：9</t>
        </is>
      </c>
      <c r="BV38" s="0" t="inlineStr">
        <is>
          <t>4行 0列，源：5 备：13</t>
        </is>
      </c>
      <c r="BX38" s="0" t="inlineStr">
        <is>
          <t>4行 0列，源：5 备：122</t>
        </is>
      </c>
      <c r="BY38" s="0" t="inlineStr">
        <is>
          <t>4行 0列，源：5 备：13</t>
        </is>
      </c>
      <c r="CA38" s="0" t="inlineStr">
        <is>
          <t>9行 0列，源：10 备：110</t>
        </is>
      </c>
      <c r="CB38" s="0" t="inlineStr">
        <is>
          <t>4行 0列，源：5 备：104</t>
        </is>
      </c>
      <c r="CD38" s="0" t="inlineStr">
        <is>
          <t>7行 2列，源：None 备：</t>
        </is>
      </c>
      <c r="CE38" s="0" t="inlineStr">
        <is>
          <t>4行 8列，源：2063-03-12 02:00:00.0000000 -04:25 备：2025-05-11 23:59:59.9999999 -14:00</t>
        </is>
      </c>
      <c r="CF38" s="0" t="inlineStr">
        <is>
          <t>4行 0列，源：5 备：13</t>
        </is>
      </c>
      <c r="CG38" s="0" t="inlineStr">
        <is>
          <t>20行 0列，源：30 备：24</t>
        </is>
      </c>
      <c r="CK38" s="0" t="inlineStr">
        <is>
          <t>9行 0列，源：10 备：9</t>
        </is>
      </c>
      <c r="CL38" s="0" t="inlineStr">
        <is>
          <t>7行 4列，源：00:00:01.123000 备：12:30:45.123</t>
        </is>
      </c>
      <c r="CM38" s="0" t="inlineStr">
        <is>
          <t>3行 12列，源：None 备：</t>
        </is>
      </c>
      <c r="CN38" s="0" t="inlineStr">
        <is>
          <t>18行 0列，源：106 备：58</t>
        </is>
      </c>
      <c r="CO38" s="0" t="inlineStr">
        <is>
          <t>9行 0列，源：10 备：9</t>
        </is>
      </c>
      <c r="CT38" s="0" t="inlineStr">
        <is>
          <t>3行 15列，源：nan 备：</t>
        </is>
      </c>
      <c r="DA38" s="0" t="inlineStr">
        <is>
          <t>3行 13列，源：None 备：</t>
        </is>
      </c>
      <c r="DB38" s="0" t="inlineStr">
        <is>
          <t>18行 0列，源：19 备：4</t>
        </is>
      </c>
      <c r="DH38" s="0" t="inlineStr">
        <is>
          <t>5行 2列，源：THIS IS A 备：测Test\n%_8试&amp;12YG@2</t>
        </is>
      </c>
      <c r="DJ38" s="0" t="inlineStr">
        <is>
          <t>4行 0列，源：5 备：13</t>
        </is>
      </c>
      <c r="DL38" s="0" t="inlineStr">
        <is>
          <t>4行 0列，源：5 备：129</t>
        </is>
      </c>
      <c r="DN38" s="0" t="inlineStr">
        <is>
          <t>5行 2列，源：€¶I€¶ 备：</t>
        </is>
      </c>
      <c r="DQ38" s="0" t="inlineStr">
        <is>
          <t>9行 0列，源：10 备：9</t>
        </is>
      </c>
      <c r="DT38" s="0" t="inlineStr">
        <is>
          <t>4行 0列，源：5 备：13</t>
        </is>
      </c>
      <c r="DU38" s="0" t="inlineStr">
        <is>
          <t>9行 0列，源：10 备：21</t>
        </is>
      </c>
      <c r="DX38" s="0" t="inlineStr">
        <is>
          <t>3行 0列，源：4 备：12</t>
        </is>
      </c>
      <c r="EC38" s="0" t="inlineStr">
        <is>
          <t>4行 8列，源：12:30:45.100000 备：23:59:59.1234567</t>
        </is>
      </c>
      <c r="ED38" s="0" t="inlineStr">
        <is>
          <t>9行 0列，源：10 备：9</t>
        </is>
      </c>
      <c r="EG38" s="0" t="inlineStr">
        <is>
          <t>4行 8列，源：12:30:45.100000 备：00:00:01.1234567</t>
        </is>
      </c>
      <c r="EH38" s="0" t="inlineStr">
        <is>
          <t>3行 0列，源：4 备：102</t>
        </is>
      </c>
      <c r="EK38" s="0" t="inlineStr">
        <is>
          <t>4行 7列，源：12:30:45.123457 备：</t>
        </is>
      </c>
      <c r="EN38" s="0" t="inlineStr">
        <is>
          <t>4行 3列，源：12:30:45.120000 备：</t>
        </is>
      </c>
      <c r="EO38" s="0" t="inlineStr">
        <is>
          <t>9行 0列，源：10 备：3</t>
        </is>
      </c>
      <c r="EP38" s="0" t="inlineStr">
        <is>
          <t>3行 0列，源：4 备：12</t>
        </is>
      </c>
      <c r="ER38" s="0" t="inlineStr">
        <is>
          <t>19行 1列，源：2020-03-01 00:00:00 备：1900-01-01 00:00:00</t>
        </is>
      </c>
      <c r="ES38" s="0" t="inlineStr">
        <is>
          <t>3行 0列，源：4 备：102</t>
        </is>
      </c>
      <c r="ET38" s="0" t="inlineStr">
        <is>
          <t>4行 0列，源：5 备：13</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c_varbinary列源备映射错误，源端为varbinary 1位	期望更改为text	实际备端为varbinary 1位</t>
        </is>
      </c>
      <c r="AC39" s="0" t="inlineStr">
        <is>
          <t>19行 0列，源：32 备：58</t>
        </is>
      </c>
      <c r="AD39" s="0" t="inlineStr">
        <is>
          <t>9行 1列，源：b'*' 备：2A</t>
        </is>
      </c>
      <c r="AI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M39" s="0" t="inlineStr">
        <is>
          <t>4行 7列，源：None 备：-0.45678901234792345678901456789010000000</t>
        </is>
      </c>
      <c r="AO39" s="0" t="inlineStr">
        <is>
          <t>18行 1列，源：1753-01-02 00:00:00 备：9999-12-31 23:59:59.997</t>
        </is>
      </c>
      <c r="AP39" s="0" t="inlineStr">
        <is>
          <t>19行 0列，源：20 备：163</t>
        </is>
      </c>
      <c r="AQ39" s="0" t="inlineStr">
        <is>
          <t>9行 1列，源：b'*' 备：2A</t>
        </is>
      </c>
      <c r="AR39" s="0" t="inlineStr">
        <is>
          <t>18行 1列，源：1753-01-02 00:00:00 备：9999-12-31 23:59:59.997</t>
        </is>
      </c>
      <c r="AS39" s="0" t="inlineStr">
        <is>
          <t>4行 7列，源：None 备：-0.45678901234792345678901456789010000000</t>
        </is>
      </c>
      <c r="AT39" s="0" t="inlineStr">
        <is>
          <t>19行 0列，源：20 备：122</t>
        </is>
      </c>
      <c r="AU39" s="0" t="inlineStr">
        <is>
          <t>7行 2列，源：12345678901234567890 备：!@#%^&amp;()+{}:"&lt;&gt;?];\n</t>
        </is>
      </c>
      <c r="AV39" s="0" t="inlineStr">
        <is>
          <t>18行 1列，源：9999-12-31 23:59:59.997000 备：9999-12-31 23:59:59.997</t>
        </is>
      </c>
      <c r="AX39" s="0" t="inlineStr">
        <is>
          <t>19行 0列，源：20 备：5</t>
        </is>
      </c>
      <c r="AZ39"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E39" s="0" t="inlineStr">
        <is>
          <t>4行 1列，源：9999-12-31 23:59:59 备：2065-05-11 14:30:45</t>
        </is>
      </c>
      <c r="BG39" s="0" t="inlineStr">
        <is>
          <t>1行 16列，源：nan 备：</t>
        </is>
      </c>
      <c r="BH39" s="0" t="inlineStr">
        <is>
          <t>9行 1列，源：b'*' 备：2A</t>
        </is>
      </c>
      <c r="BI39" s="0" t="inlineStr">
        <is>
          <t>4行 1列，源：9999-12-31 23:59:59 备：2065-05-11 14:30:45</t>
        </is>
      </c>
      <c r="BJ39" s="0" t="inlineStr">
        <is>
          <t>3行 3列，源：0.0 备：</t>
        </is>
      </c>
      <c r="BL39" s="0" t="inlineStr">
        <is>
          <t>5行 3列，源：€¶I€¶€¶I€¶€¶I€¶€¶I€¶€¶I€¶€¶I€¶€¶I€¶€¶I€¶€¶I€¶€¶I€¶€¶I€¶€¶I€¶€¶I€¶€¶I€¶€¶I€¶€¶I€¶€¶I€¶€¶I€¶€¶I€¶€¶I€¶€¶I€¶€¶I€¶€¶I€¶€¶I€¶€¶I€¶€¶I€¶€¶I€¶€¶I€¶€¶I€¶€¶I€¶€¶I€¶€¶I€¶€¶I€¶€¶I€¶€¶I€¶€¶I€¶€¶I€¶€¶I€¶€¶I€¶€¶I€¶€¶I€¶€¶I€¶€¶I€¶€¶I€¶€¶I€¶€¶I€¶€¶I€¶€¶I€¶€¶I€¶€¶I€¶€¶I€¶€¶I€¶€¶I€¶€¶I€¶€¶I€¶€¶I€¶€¶I€¶€¶I€¶€¶I€¶€¶I€¶€¶I€¶€¶I€¶€¶I€¶€¶I€¶€¶I€¶€¶I€¶€¶I€¶€¶I€¶€¶I€¶€¶I€¶€¶I€¶€¶I€¶€¶I€¶€¶I€¶€¶I€¶€¶I€¶€¶I€¶€¶I€¶€¶I€¶€¶I€¶€¶I€¶€¶I€¶€¶I€¶€¶I€¶€¶I€¶€¶I€¶€¶I€¶€¶I€¶€¶I€¶€¶I€¶€¶I€¶€¶I€¶€¶I€¶€¶I€¶€¶I€¶€¶I€¶€¶I€¶€¶I€¶€¶I€¶€¶I€¶€¶I€¶€¶I€¶€¶I€¶€¶I€¶€¶I€¶€¶I€¶€¶I€¶€¶I€¶€¶I€¶€¶I€¶€¶I€¶€¶I€¶€¶I€¶€¶I€¶€¶I€¶€¶I€¶€¶I€¶€¶I€¶€¶I€¶€¶I€¶€¶I€¶€¶I€¶€¶I€¶€¶I€¶€¶I€¶€¶I€¶€¶I€¶€¶I€¶€¶I€¶€¶I€¶€¶I€¶€¶I€¶€¶I€¶€¶I€¶€¶I€¶€¶I€¶€¶I€¶€¶I€¶€¶I€¶€¶I€¶€¶I€¶€¶I€¶€¶I€¶€¶I€¶€¶I€¶€¶I€¶€¶I€¶€¶I€¶€¶I€¶€¶I€¶€¶I€¶€¶I€¶€¶I€¶€¶I€¶€¶I€¶€¶I€¶€¶I€¶€¶I€¶€¶I€¶€¶I€¶€¶I€¶€¶I€¶€¶I€¶€¶I€¶€¶I€¶€¶I€¶€¶I€¶€¶I€¶€¶I€¶€¶I€¶€¶I€¶€¶I€¶€¶I€¶€¶I€¶€¶I€¶€¶I€¶€¶I€¶€¶I€¶€¶I€¶€¶I€¶€¶I€¶€¶I€¶€¶I€¶€¶I€¶€¶I€¶€¶I€¶€¶I€¶€¶I€¶€¶I€¶€¶I€¶€¶I€¶€¶I€¶€¶I€¶€¶I€¶€¶I€¶€¶I€¶€¶I€¶€¶I€¶€¶I€¶€¶I€¶                                                                                                                                                                                                                                                                                                                                                                                                                                                                                                                                                                                                                                                                                                                                                                                                                                                                                                                                                                                                                                                                                                                                                                                                                                                                                                                                                                                                                                                                                                                                                                                                                                                                                                                                                                                                                                                                                                                                                                                                                                                                                                                                                                                                                                                                                                                                                                                                                                                                                                                                                                                                     备：</t>
        </is>
      </c>
      <c r="BO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P39" s="0" t="inlineStr">
        <is>
          <t>9行 1列，源：b'*' 备：</t>
        </is>
      </c>
      <c r="BS39" s="0" t="inlineStr">
        <is>
          <t>7行 2列，源：12345678901234567890 备：!@#%^&amp;()+{}:"&lt;&gt;?];\n</t>
        </is>
      </c>
      <c r="BT39" s="0" t="inlineStr">
        <is>
          <t>9行 1列，源：b'*' 备：2A</t>
        </is>
      </c>
      <c r="BV39" s="0" t="inlineStr">
        <is>
          <t>4行 1列，源：9999-12-31 23:59:59 +00:00 备：1971-05-11 00:00:00 +14:00</t>
        </is>
      </c>
      <c r="BX39" s="0" t="inlineStr">
        <is>
          <t>4行 1列，源：9999-12-31 23:59:59 +00:00 备：1900-01-01 00:00:00 +00:00</t>
        </is>
      </c>
      <c r="BY39" s="0" t="inlineStr">
        <is>
          <t>4行 1列，源：9999-12-31 23:59:59 +00:00 备：1971-05-11 00:00:00 +14:00</t>
        </is>
      </c>
      <c r="CA39" s="0" t="inlineStr">
        <is>
          <t>9行 1列，源：b'*' 备：2A</t>
        </is>
      </c>
      <c r="CB39" s="0" t="inlineStr">
        <is>
          <t>4行 1列，源：9999-12-31 23:59:59 +00:00 备：0001-01-01 00:00:00 +00:00</t>
        </is>
      </c>
      <c r="CD39" s="0" t="inlineStr">
        <is>
          <t>7行 4列，源：None 备：</t>
        </is>
      </c>
      <c r="CE39" s="0" t="inlineStr">
        <is>
          <t>5行 0列，源：6 备：2</t>
        </is>
      </c>
      <c r="CF39" s="0" t="inlineStr">
        <is>
          <t>4行 1列，源：12:30:45 备：</t>
        </is>
      </c>
      <c r="CG39" s="0" t="inlineStr">
        <is>
          <t>20行 1列，源：1990-05-11 备：9999-12-31</t>
        </is>
      </c>
      <c r="CK39" s="0" t="inlineStr">
        <is>
          <t>9行 1列，源：b'X' 备：58</t>
        </is>
      </c>
      <c r="CL39" s="0" t="inlineStr">
        <is>
          <t>7行 5列，源：None 备：12:30:45.1235</t>
        </is>
      </c>
      <c r="CM39" s="0" t="inlineStr">
        <is>
          <t>3行 13列，源：None 备：</t>
        </is>
      </c>
      <c r="CN39" s="0" t="inlineStr">
        <is>
          <t>18行 1列，源：2020-02-29 备：0001-01-02</t>
        </is>
      </c>
      <c r="CO39" s="0" t="inlineStr">
        <is>
          <t>9行 1列，源：b'F' 备：46</t>
        </is>
      </c>
      <c r="CT39" s="0" t="inlineStr">
        <is>
          <t>3行 16列，源：nan 备：</t>
        </is>
      </c>
      <c r="DA39" s="0" t="inlineStr">
        <is>
          <t>3行 14列，源：None 备：</t>
        </is>
      </c>
      <c r="DB39" s="0" t="inlineStr">
        <is>
          <t>18行 1列，源：1753-01-02 00:00:00 备：9999-12-31 23:59:59.997</t>
        </is>
      </c>
      <c r="DH39"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J39" s="0" t="inlineStr">
        <is>
          <t>4行 1列，源：12:30:45 备：</t>
        </is>
      </c>
      <c r="DL39" s="0" t="inlineStr">
        <is>
          <t>5行 0列，源：6 备：13</t>
        </is>
      </c>
      <c r="DN39" s="0" t="inlineStr">
        <is>
          <t>5行 3列，源：€¶I€¶€¶I€¶€¶I€¶€¶I€¶€¶I€¶€¶I€¶€¶I€¶€¶I€¶€¶I€¶€¶I€¶€¶I€¶€¶I€¶€¶I€¶€¶I€¶€¶I€¶€¶I€¶€¶I€¶€¶I€¶€¶I€¶€¶I€¶€¶I€¶€¶I€¶€¶I€¶€¶I€¶€¶I€¶€¶I€¶€¶I€¶€¶I€¶€¶I€¶€¶I€¶€¶I€¶€¶I€¶€¶I€¶€¶I€¶€¶I€¶€¶I€¶€¶I€¶€¶I€¶€¶I€¶€¶I€¶€¶I€¶€¶I€¶€¶I€¶€¶I€¶€¶I€¶€¶I€¶€¶I€¶€¶I€¶€¶I€¶€¶I€¶€¶I€¶€¶I€¶€¶I€¶€¶I€¶€¶I€¶€¶I€¶€¶I€¶€¶I€¶€¶I€¶€¶I€¶€¶I€¶€¶I€¶€¶I€¶€¶I€¶€¶I€¶€¶I€¶€¶I€¶€¶I€¶€¶I€¶€¶I€¶€¶I€¶€¶I€¶€¶I€¶€¶I€¶€¶I€¶€¶I€¶€¶I€¶€¶I€¶€¶I€¶€¶I€¶€¶I€¶€¶I€¶€¶I€¶€¶I€¶€¶I€¶€¶I€¶€¶I€¶€¶I€¶€¶I€¶€¶I€¶€¶I€¶€¶I€¶€¶I€¶€¶I€¶€¶I€¶€¶I€¶€¶I€¶€¶I€¶€¶I€¶€¶I€¶€¶I€¶€¶I€¶€¶I€¶€¶I€¶€¶I€¶€¶I€¶€¶I€¶€¶I€¶€¶I€¶€¶I€¶€¶I€¶€¶I€¶€¶I€¶€¶I€¶€¶I€¶€¶I€¶€¶I€¶€¶I€¶€¶I€¶€¶I€¶€¶I€¶€¶I€¶€¶I€¶€¶I€¶€¶I€¶€¶I€¶€¶I€¶€¶I€¶€¶I€¶€¶I€¶€¶I€¶€¶I€¶€¶I€¶€¶I€¶€¶I€¶€¶I€¶€¶I€¶€¶I€¶€¶I€¶€¶I€¶€¶I€¶€¶I€¶€¶I€¶€¶I€¶€¶I€¶€¶I€¶€¶I€¶€¶I€¶€¶I€¶€¶I€¶€¶I€¶€¶I€¶€¶I€¶€¶I€¶€¶I€¶€¶I€¶€¶I€¶€¶I€¶€¶I€¶€¶I€¶€¶I€¶€¶I€¶€¶I€¶€¶I€¶€¶I€¶€¶I€¶€¶I€¶€¶I€¶€¶I€¶€¶I€¶€¶I€¶€¶I€¶€¶I€¶€¶I€¶€¶I€¶€¶I€¶€¶I€¶€¶I€¶€¶I€¶€¶I€¶€¶I€¶€¶I€¶€¶I€¶€¶I€¶€¶I€¶€¶I€¶€¶I€¶€¶I€¶€¶I€¶€¶I€¶€¶I€¶€¶I€¶€¶I€¶€¶I€¶€¶I€¶€¶I€¶€¶I€¶€¶I€¶€¶I€¶€¶I€¶ 备：</t>
        </is>
      </c>
      <c r="DQ39" s="0" t="inlineStr">
        <is>
          <t>9行 1列，源：b'*' 备：2A</t>
        </is>
      </c>
      <c r="DT39" s="0" t="inlineStr">
        <is>
          <t>4行 1列，源：12:30:45 备：</t>
        </is>
      </c>
      <c r="DU39" s="0" t="inlineStr">
        <is>
          <t>9行 1列，源：b'*' 备：</t>
        </is>
      </c>
      <c r="DX39" s="0" t="inlineStr">
        <is>
          <t>3行 1列，源：123.0 备：</t>
        </is>
      </c>
      <c r="EC39" s="0" t="inlineStr">
        <is>
          <t>5行 0列，源：6 备：13</t>
        </is>
      </c>
      <c r="ED39" s="0" t="inlineStr">
        <is>
          <t>9行 1列，源：b'*' 备：2A</t>
        </is>
      </c>
      <c r="EG39" s="0" t="inlineStr">
        <is>
          <t>5行 0列，源：6 备：14</t>
        </is>
      </c>
      <c r="EH39" s="0" t="inlineStr">
        <is>
          <t>3行 1列，源：123.0 备：</t>
        </is>
      </c>
      <c r="EK39" s="0" t="inlineStr">
        <is>
          <t>4行 8列，源：12:30:45.123456 备：12:00:00.1234567</t>
        </is>
      </c>
      <c r="EN39" s="0" t="inlineStr">
        <is>
          <t>4行 4列，源：12:30:45.123000 备：12:00:00.123</t>
        </is>
      </c>
      <c r="EO39" s="0" t="inlineStr">
        <is>
          <t>9行 1列，源：b'*' 备：</t>
        </is>
      </c>
      <c r="EP39" s="0" t="inlineStr">
        <is>
          <t>3行 1列，源：123.0 备：</t>
        </is>
      </c>
      <c r="ER39" s="0" t="inlineStr">
        <is>
          <t>20行 0列，源：27 备：21</t>
        </is>
      </c>
      <c r="ES39" s="0" t="inlineStr">
        <is>
          <t>3行 1列，源：123.0 备：</t>
        </is>
      </c>
      <c r="ET39" s="0" t="inlineStr">
        <is>
          <t>4行 1列，源：9999-12-31 23:59:59 +00:00 备：1971-05-11 00:00:00 +14:00</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c_varbinary_100列源备映射错误，源端为varbinary 100位	期望更改为text	实际备端为varbinary 100位</t>
        </is>
      </c>
      <c r="AC40" s="0" t="inlineStr">
        <is>
          <t>19行 1列，源：1990-11-26 00:01:00 备：2068-05-11 14:31:00</t>
        </is>
      </c>
      <c r="AD40" s="0" t="inlineStr">
        <is>
          <t>9行 2列，源：b'12345678901234567890' 备：7E21402324255E262A5D</t>
        </is>
      </c>
      <c r="AI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AM40" s="0" t="inlineStr">
        <is>
          <t>4行 8列，源：None 备：-123456789012347890345678.9874321000</t>
        </is>
      </c>
      <c r="AO40" s="0" t="inlineStr">
        <is>
          <t>19行 0列，源：20 备：5</t>
        </is>
      </c>
      <c r="AP40" s="0" t="inlineStr">
        <is>
          <t>19行 1列，源：9999-12-30 23:59:59.997000 备：1999-06-06 23:59:59.997</t>
        </is>
      </c>
      <c r="AQ40" s="0" t="inlineStr">
        <is>
          <t>9行 2列，源：b'12345678901234567890' 备：7E21402324255E262A5D</t>
        </is>
      </c>
      <c r="AR40" s="0" t="inlineStr">
        <is>
          <t>19行 0列，源：20 备：5</t>
        </is>
      </c>
      <c r="AS40" s="0" t="inlineStr">
        <is>
          <t>4行 8列，源：None 备：-123456789012347890345678.9874321000</t>
        </is>
      </c>
      <c r="AT40" s="0" t="inlineStr">
        <is>
          <t>19行 1列，源：9999-12-30 23:59:59.997000 备：2024-05-11 12:00:00.567</t>
        </is>
      </c>
      <c r="AU40" s="0" t="inlineStr">
        <is>
          <t>7行 2列，源：12345678901234567890 备：!@#%^&amp;()+{}:"&lt;&gt;?];\n</t>
        </is>
      </c>
      <c r="AV40" s="0" t="inlineStr">
        <is>
          <t>19行 0列，源：20 备：5</t>
        </is>
      </c>
      <c r="AX40" s="0" t="inlineStr">
        <is>
          <t>20行 0列，源：21 备：6</t>
        </is>
      </c>
      <c r="AZ40" s="0" t="inlineStr">
        <is>
          <t xml:space="preserve">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t>
        </is>
      </c>
      <c r="BE40" s="0" t="inlineStr">
        <is>
          <t>4行 2列，源：9999-12-31 23:59:59.900000 备：2065-05-11 14:30:45.1</t>
        </is>
      </c>
      <c r="BG40" s="0" t="inlineStr">
        <is>
          <t>1行 17列，源：None 备：</t>
        </is>
      </c>
      <c r="BH40" s="0" t="inlineStr">
        <is>
          <t>9行 2列，源：b'12345678901234567890' 备：7E21402324255E262A5D00000000000000000000</t>
        </is>
      </c>
      <c r="BI40" s="0" t="inlineStr">
        <is>
          <t>4行 2列，源：9999-12-31 23:59:59.900000 备：2065-05-11 14:30:45.1</t>
        </is>
      </c>
      <c r="BJ40" s="0" t="inlineStr">
        <is>
          <t>3行 4列，源：0.0 备：</t>
        </is>
      </c>
      <c r="BL40" s="0" t="inlineStr">
        <is>
          <t>5行 3列，源：€¶I€¶€¶I€¶€¶I€¶€¶I€¶€¶I€¶€¶I€¶€¶I€¶€¶I€¶€¶I€¶€¶I€¶€¶I€¶€¶I€¶€¶I€¶€¶I€¶€¶I€¶€¶I€¶€¶I€¶€¶I€¶€¶I€¶€¶I€¶€¶I€¶€¶I€¶€¶I€¶€¶I€¶€¶I€¶€¶I€¶€¶I€¶€¶I€¶€¶I€¶€¶I€¶€¶I€¶€¶I€¶€¶I€¶€¶I€¶€¶I€¶€¶I€¶€¶I€¶€¶I€¶€¶I€¶€¶I€¶€¶I€¶€¶I€¶€¶I€¶€¶I€¶€¶I€¶€¶I€¶€¶I€¶€¶I€¶€¶I€¶€¶I€¶€¶I€¶€¶I€¶€¶I€¶€¶I€¶€¶I€¶€¶I€¶€¶I€¶€¶I€¶€¶I€¶€¶I€¶€¶I€¶€¶I€¶€¶I€¶€¶I€¶€¶I€¶€¶I€¶€¶I€¶€¶I€¶€¶I€¶€¶I€¶€¶I€¶€¶I€¶€¶I€¶€¶I€¶€¶I€¶€¶I€¶€¶I€¶€¶I€¶€¶I€¶€¶I€¶€¶I€¶€¶I€¶€¶I€¶€¶I€¶€¶I€¶€¶I€¶€¶I€¶€¶I€¶€¶I€¶€¶I€¶€¶I€¶€¶I€¶€¶I€¶€¶I€¶€¶I€¶€¶I€¶€¶I€¶€¶I€¶€¶I€¶€¶I€¶€¶I€¶€¶I€¶€¶I€¶€¶I€¶€¶I€¶€¶I€¶€¶I€¶€¶I€¶€¶I€¶€¶I€¶€¶I€¶€¶I€¶€¶I€¶€¶I€¶€¶I€¶€¶I€¶€¶I€¶€¶I€¶€¶I€¶€¶I€¶€¶I€¶€¶I€¶€¶I€¶€¶I€¶€¶I€¶€¶I€¶€¶I€¶€¶I€¶€¶I€¶€¶I€¶€¶I€¶€¶I€¶€¶I€¶€¶I€¶€¶I€¶€¶I€¶€¶I€¶€¶I€¶€¶I€¶€¶I€¶€¶I€¶€¶I€¶€¶I€¶€¶I€¶€¶I€¶€¶I€¶€¶I€¶€¶I€¶€¶I€¶€¶I€¶€¶I€¶€¶I€¶€¶I€¶€¶I€¶€¶I€¶€¶I€¶€¶I€¶€¶I€¶€¶I€¶€¶I€¶€¶I€¶€¶I€¶€¶I€¶€¶I€¶€¶I€¶€¶I€¶€¶I€¶€¶I€¶€¶I€¶€¶I€¶€¶I€¶€¶I€¶€¶I€¶€¶I€¶€¶I€¶€¶I€¶€¶I€¶€¶I€¶€¶I€¶€¶I€¶€¶I€¶€¶I€¶€¶I€¶€¶I€¶€¶I€¶€¶I€¶€¶I€¶€¶I€¶€¶I€¶€¶I€¶€¶I€¶€¶I€¶€¶I€¶€¶I€¶€¶I€¶€¶I€¶€¶I€¶€¶I€¶€¶I€¶€¶I€¶                                                                                                                                                                                                                                                                                                                                                                                                                                                                                                                                                                                                                                                                                                                                                                                                                                                                                                                                                                                                                                                                                                                                                                                                                                                                                                                                                                                                                                                                                                                                                                                                                                                                                                                                                                                                                                                                                                                                                                                                                                                                                                                                                                                                                                                                                                                                                                                                                                                                                                                                                                                                     备：</t>
        </is>
      </c>
      <c r="BO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BP40" s="0" t="inlineStr">
        <is>
          <t>9行 2列，源：b'12345678901234567890' 备：</t>
        </is>
      </c>
      <c r="BS40" s="0" t="inlineStr">
        <is>
          <t>7行 2列，源：12345678901234567890 备：!@#%^&amp;()+{}:"&lt;&gt;?];\n</t>
        </is>
      </c>
      <c r="BT40" s="0" t="inlineStr">
        <is>
          <t>9行 2列，源：b'12345678901234567890' 备：7E21402324255E262A5D00000000000000000000</t>
        </is>
      </c>
      <c r="BV40" s="0" t="inlineStr">
        <is>
          <t>4行 2列，源：9999-12-31 23:59:59.9 +00:00 备：1971-05-11 00:00:00.0 +14:00</t>
        </is>
      </c>
      <c r="BX40" s="0" t="inlineStr">
        <is>
          <t>4行 2列，源：9999-12-31 23:59:59.9 +00:00 备：1900-01-01 00:00:00.0 +00:00</t>
        </is>
      </c>
      <c r="BY40" s="0" t="inlineStr">
        <is>
          <t>4行 2列，源：9999-12-31 23:59:59.9 +00:00 备：1971-05-11 00:00:00.0 +14:00</t>
        </is>
      </c>
      <c r="CA40" s="0" t="inlineStr">
        <is>
          <t>9行 2列，源：b'12345678901234567890' 备：3132333435363738393031323334353637383930</t>
        </is>
      </c>
      <c r="CB40" s="0" t="inlineStr">
        <is>
          <t>4行 2列，源：9999-12-31 23:59:59.9 +00:00 备：0001-01-01 00:00:00.0 +00:00</t>
        </is>
      </c>
      <c r="CD40" s="0" t="inlineStr">
        <is>
          <t>7行 6列，源：None 备：</t>
        </is>
      </c>
      <c r="CE40" s="0" t="inlineStr">
        <is>
          <t>5行 1列，源：2063-05-11 10:30:45 -04:00 备：2000-05-11 00:30:45 +09:00</t>
        </is>
      </c>
      <c r="CF40" s="0" t="inlineStr">
        <is>
          <t>4行 2列，源：12:30:45.100000 备：00:00:01.1</t>
        </is>
      </c>
      <c r="CG40" s="0" t="inlineStr">
        <is>
          <t>21行 0列，源：31 备：25</t>
        </is>
      </c>
      <c r="CK40" s="0" t="inlineStr">
        <is>
          <t>9行 2列，源：b'This is a test strin' 备：546869732069732061207465737420737472696E</t>
        </is>
      </c>
      <c r="CL40" s="0" t="inlineStr">
        <is>
          <t>7行 6列，源：00:00:01.123460 备：12:30:45.12345</t>
        </is>
      </c>
      <c r="CM40" s="0" t="inlineStr">
        <is>
          <t>3行 14列，源：None 备：</t>
        </is>
      </c>
      <c r="CN40" s="0" t="inlineStr">
        <is>
          <t>19行 0列，源：107 备：59</t>
        </is>
      </c>
      <c r="CO40" s="0" t="inlineStr">
        <is>
          <t>9行 2列，源：b'~!\xd3\xa2\xb7\xbdTest&amp;*\x00\x00\x00\x00\x00\x00\x00\x00' 备：7E21D3A2B7BD54657374262A0000000000000000</t>
        </is>
      </c>
      <c r="CT40" s="0" t="inlineStr">
        <is>
          <t>3行 17列，源：None 备：</t>
        </is>
      </c>
      <c r="DA40" s="0" t="inlineStr">
        <is>
          <t>3行 15列，源：nan 备：</t>
        </is>
      </c>
      <c r="DB40" s="0" t="inlineStr">
        <is>
          <t>19行 0列，源：20 备：5</t>
        </is>
      </c>
      <c r="DH40" s="0" t="inlineStr">
        <is>
          <t>5行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t>
        </is>
      </c>
      <c r="DJ40" s="0" t="inlineStr">
        <is>
          <t>4行 2列，源：12:30:45.100000 备：00:00:01.1</t>
        </is>
      </c>
      <c r="DL40" s="0" t="inlineStr">
        <is>
          <t>5行 1列，源：12:30:45 备：</t>
        </is>
      </c>
      <c r="DN40" s="0" t="inlineStr">
        <is>
          <t>5行 3列，源：€¶I€¶€¶I€¶€¶I€¶€¶I€¶€¶I€¶€¶I€¶€¶I€¶€¶I€¶€¶I€¶€¶I€¶€¶I€¶€¶I€¶€¶I€¶€¶I€¶€¶I€¶€¶I€¶€¶I€¶€¶I€¶€¶I€¶€¶I€¶€¶I€¶€¶I€¶€¶I€¶€¶I€¶€¶I€¶€¶I€¶€¶I€¶€¶I€¶€¶I€¶€¶I€¶€¶I€¶€¶I€¶€¶I€¶€¶I€¶€¶I€¶€¶I€¶€¶I€¶€¶I€¶€¶I€¶€¶I€¶€¶I€¶€¶I€¶€¶I€¶€¶I€¶€¶I€¶€¶I€¶€¶I€¶€¶I€¶€¶I€¶€¶I€¶€¶I€¶€¶I€¶€¶I€¶€¶I€¶€¶I€¶€¶I€¶€¶I€¶€¶I€¶€¶I€¶€¶I€¶€¶I€¶€¶I€¶€¶I€¶€¶I€¶€¶I€¶€¶I€¶€¶I€¶€¶I€¶€¶I€¶€¶I€¶€¶I€¶€¶I€¶€¶I€¶€¶I€¶€¶I€¶€¶I€¶€¶I€¶€¶I€¶€¶I€¶€¶I€¶€¶I€¶€¶I€¶€¶I€¶€¶I€¶€¶I€¶€¶I€¶€¶I€¶€¶I€¶€¶I€¶€¶I€¶€¶I€¶€¶I€¶€¶I€¶€¶I€¶€¶I€¶€¶I€¶€¶I€¶€¶I€¶€¶I€¶€¶I€¶€¶I€¶€¶I€¶€¶I€¶€¶I€¶€¶I€¶€¶I€¶€¶I€¶€¶I€¶€¶I€¶€¶I€¶€¶I€¶€¶I€¶€¶I€¶€¶I€¶€¶I€¶€¶I€¶€¶I€¶€¶I€¶€¶I€¶€¶I€¶€¶I€¶€¶I€¶€¶I€¶€¶I€¶€¶I€¶€¶I€¶€¶I€¶€¶I€¶€¶I€¶€¶I€¶€¶I€¶€¶I€¶€¶I€¶€¶I€¶€¶I€¶€¶I€¶€¶I€¶€¶I€¶€¶I€¶€¶I€¶€¶I€¶€¶I€¶€¶I€¶€¶I€¶€¶I€¶€¶I€¶€¶I€¶€¶I€¶€¶I€¶€¶I€¶€¶I€¶€¶I€¶€¶I€¶€¶I€¶€¶I€¶€¶I€¶€¶I€¶€¶I€¶€¶I€¶€¶I€¶€¶I€¶€¶I€¶€¶I€¶€¶I€¶€¶I€¶€¶I€¶€¶I€¶€¶I€¶€¶I€¶€¶I€¶€¶I€¶€¶I€¶€¶I€¶€¶I€¶€¶I€¶€¶I€¶€¶I€¶€¶I€¶€¶I€¶€¶I€¶€¶I€¶€¶I€¶€¶I€¶€¶I€¶€¶I€¶€¶I€¶€¶I€¶€¶I€¶€¶I€¶€¶I€¶€¶I€¶€¶I€¶€¶I€¶€¶I€¶€¶I€¶€¶I€¶€¶I€¶€¶I€¶€¶I€¶€¶I€¶ 备：</t>
        </is>
      </c>
      <c r="DQ40" s="0" t="inlineStr">
        <is>
          <t>9行 2列，源：b'12345678901234567890' 备：7E21402324255E262A5D</t>
        </is>
      </c>
      <c r="DT40" s="0" t="inlineStr">
        <is>
          <t>4行 2列，源：12:30:45.100000 备：00:00:01.1</t>
        </is>
      </c>
      <c r="DU40" s="0" t="inlineStr">
        <is>
          <t>9行 2列，源：b'12345678901234567890' 备：</t>
        </is>
      </c>
      <c r="DX40" s="0" t="inlineStr">
        <is>
          <t>3行 2列，源：12345.0 备：</t>
        </is>
      </c>
      <c r="EC40" s="0" t="inlineStr">
        <is>
          <t>5行 1列，源：12:30:45 备：</t>
        </is>
      </c>
      <c r="ED40" s="0" t="inlineStr">
        <is>
          <t>9行 2列，源：b'12345678901234567890' 备：7E21402324255E262A5D</t>
        </is>
      </c>
      <c r="EG40" s="0" t="inlineStr">
        <is>
          <t>5行 1列，源：09:12:34 备：</t>
        </is>
      </c>
      <c r="EH40" s="0" t="inlineStr">
        <is>
          <t>3行 2列，源：12345.0 备：</t>
        </is>
      </c>
      <c r="EK40" s="0" t="inlineStr">
        <is>
          <t>5行 0列，源：12 备：15</t>
        </is>
      </c>
      <c r="EN40" s="0" t="inlineStr">
        <is>
          <t>4行 5列，源：12:30:45.123500 备：</t>
        </is>
      </c>
      <c r="EO40" s="0" t="inlineStr">
        <is>
          <t>9行 2列，源：b'12345678901234567890' 备：</t>
        </is>
      </c>
      <c r="EP40" s="0" t="inlineStr">
        <is>
          <t>3行 2列，源：12345.0 备：</t>
        </is>
      </c>
      <c r="ER40" s="0" t="inlineStr">
        <is>
          <t>20行 1列，源：2000-05-11 14:30:00 备：</t>
        </is>
      </c>
      <c r="ES40" s="0" t="inlineStr">
        <is>
          <t>3行 2列，源：12345.0 备：</t>
        </is>
      </c>
      <c r="ET40" s="0" t="inlineStr">
        <is>
          <t>4行 2列，源：9999-12-31 23:59:59.9 +00:00 备：1971-05-11 00:00:00.0 +14:00</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c_varbinary_200列源备映射错误，源端为varbinary 200位	期望更改为text	实际备端为varbinary 200位</t>
        </is>
      </c>
      <c r="AC41" s="0" t="inlineStr">
        <is>
          <t>20行 0列，源：33 备：6</t>
        </is>
      </c>
      <c r="A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I41" s="0" t="inlineStr">
        <is>
          <t>6行 0列，源：7 备：15</t>
        </is>
      </c>
      <c r="AM41" s="0" t="inlineStr">
        <is>
          <t>4行 10列，源：None 备：-321</t>
        </is>
      </c>
      <c r="AO41" s="0" t="inlineStr">
        <is>
          <t>19行 1列，源：9999-12-30 23:59:59.997000 备：2026-04-17 17:16:23.090</t>
        </is>
      </c>
      <c r="AP41" s="0" t="inlineStr">
        <is>
          <t>20行 0列，源：21 备：164</t>
        </is>
      </c>
      <c r="AQ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AR41" s="0" t="inlineStr">
        <is>
          <t>19行 1列，源：9999-12-30 23:59:59.997000 备：2026-04-17 17:16:32.183</t>
        </is>
      </c>
      <c r="AS41" s="0" t="inlineStr">
        <is>
          <t>4行 10列，源：None 备：-321</t>
        </is>
      </c>
      <c r="AT41" s="0" t="inlineStr">
        <is>
          <t>20行 0列，源：21 备：123</t>
        </is>
      </c>
      <c r="AU41"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AV41" s="0" t="inlineStr">
        <is>
          <t>19行 1列，源：9999-12-31 23:59:59.997000 备：9999-12-31 23:59:59.997</t>
        </is>
      </c>
      <c r="AX41" s="0" t="inlineStr">
        <is>
          <t>21行 0列，源：22 备：7</t>
        </is>
      </c>
      <c r="AZ41" s="0" t="inlineStr">
        <is>
          <t>6行 0列，源：7 备：15</t>
        </is>
      </c>
      <c r="BE41" s="0" t="inlineStr">
        <is>
          <t>4行 3列，源：9999-12-31 23:59:59.990000 备：2065-05-11 14:30:45.12</t>
        </is>
      </c>
      <c r="BG41" s="0" t="inlineStr">
        <is>
          <t>1行 18列，源：None 备：</t>
        </is>
      </c>
      <c r="BH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I41" s="0" t="inlineStr">
        <is>
          <t>4行 3列，源：9999-12-31 23:59:59.990000 备：2065-05-11 14:30:45.12</t>
        </is>
      </c>
      <c r="BJ41" s="0" t="inlineStr">
        <is>
          <t>3行 5列，源：None 备：123</t>
        </is>
      </c>
      <c r="BL41" s="0" t="inlineStr">
        <is>
          <t>6行 0列，源：7 备：22</t>
        </is>
      </c>
      <c r="BO41" s="0" t="inlineStr">
        <is>
          <t>6行 0列，源：7 备：15</t>
        </is>
      </c>
      <c r="BP41" s="0" t="inlineStr">
        <is>
          <t>9行 3列，源：b'12345678901234567890123456789012345678901234567890123456789012345678901234567890123456789012345678901234567890123456789012345678901234567890123456789012345678901234567890123456789012345678901234567890' 备：</t>
        </is>
      </c>
      <c r="BS41"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BT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V41" s="0" t="inlineStr">
        <is>
          <t>4行 3列，源：9999-12-31 23:59:59.99 +00:00 备：1971-05-11 00:00:00.00 +14:00</t>
        </is>
      </c>
      <c r="BX41" s="0" t="inlineStr">
        <is>
          <t>4行 3列，源：9999-12-31 23:59:59.99 +00:00 备：1900-01-01 00:00:00.00 +00:00</t>
        </is>
      </c>
      <c r="BY41" s="0" t="inlineStr">
        <is>
          <t>4行 3列，源：9999-12-31 23:59:59.99 +00:00 备：1971-05-11 00:00:00.00 +14:00</t>
        </is>
      </c>
      <c r="CA41" s="0" t="inlineStr">
        <is>
          <t>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B41" s="0" t="inlineStr">
        <is>
          <t>4行 3列，源：9999-12-31 23:59:59.99 +00:00 备：0001-01-01 00:00:00.00 +00:00</t>
        </is>
      </c>
      <c r="CD41" s="0" t="inlineStr">
        <is>
          <t>7行 8列，源：None 备：</t>
        </is>
      </c>
      <c r="CE41" s="0" t="inlineStr">
        <is>
          <t>5行 2列，源：2063-05-11 10:30:45.1 -04:00 备：2000-05-11 00:30:45.1 +09:00</t>
        </is>
      </c>
      <c r="CF41" s="0" t="inlineStr">
        <is>
          <t>4行 3列，源：12:30:45.100000 备：</t>
        </is>
      </c>
      <c r="CG41" s="0" t="inlineStr">
        <is>
          <t>21行 1列，源：2068-06-01 备：2026-04-17</t>
        </is>
      </c>
      <c r="CK41" s="0" t="inlineStr">
        <is>
          <t>9行 3列，源：b'CaseCaseCaseCaseCaseCaseCaseCaseCaseCaseCaseCaseCaseCaseCaseCaseCaseCaseCaseCaseCaseCaseCaseCaseCaseCaseCaseCaseCaseCaseCaseCaseCaseCaseCaseCaseCaseCaseCaseCaseCaseCaseCaseCaseCaseCaseCaseCaseCaseCase' 备：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43617365</t>
        </is>
      </c>
      <c r="CL41" s="0" t="inlineStr">
        <is>
          <t>7行 7列，源：None 备：12:30:45.123450</t>
        </is>
      </c>
      <c r="CM41" s="0" t="inlineStr">
        <is>
          <t>3行 15列，源：nan 备：</t>
        </is>
      </c>
      <c r="CN41" s="0" t="inlineStr">
        <is>
          <t>19行 1列，源：1970-01-01 备：9999-12-30</t>
        </is>
      </c>
      <c r="CO41" s="0" t="inlineStr">
        <is>
          <t>9行 3列，源：b'~!\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st&amp;*~!\xd3\xa2\xb7\xbdTe' 备：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t>
        </is>
      </c>
      <c r="CT41" s="0" t="inlineStr">
        <is>
          <t>3行 18列，源：None 备：</t>
        </is>
      </c>
      <c r="DA41" s="0" t="inlineStr">
        <is>
          <t>3行 16列，源：nan 备：</t>
        </is>
      </c>
      <c r="DB41" s="0" t="inlineStr">
        <is>
          <t>19行 1列，源：9999-12-30 23:59:59.997000 备：2026-04-17 16:53:49.210</t>
        </is>
      </c>
      <c r="DH41" s="0" t="inlineStr">
        <is>
          <t>6行 0列，源：7 备：15</t>
        </is>
      </c>
      <c r="DJ41" s="0" t="inlineStr">
        <is>
          <t>4行 3列，源：12:30:45.100000 备：</t>
        </is>
      </c>
      <c r="DL41" s="0" t="inlineStr">
        <is>
          <t>5行 2列，源：12:30:45.100000 备：00:00:01.1</t>
        </is>
      </c>
      <c r="DN41" s="0" t="inlineStr">
        <is>
          <t>6行 0列，源：7 备：22</t>
        </is>
      </c>
      <c r="DQ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T41" s="0" t="inlineStr">
        <is>
          <t>4行 3列，源：12:30:45.100000 备：</t>
        </is>
      </c>
      <c r="DU41" s="0" t="inlineStr">
        <is>
          <t>9行 3列，源：b'12345678901234567890123456789012345678901234567890123456789012345678901234567890123456789012345678901234567890123456789012345678901234567890123456789012345678901234567890123456789012345678901234567890' 备：</t>
        </is>
      </c>
      <c r="DX41" s="0" t="inlineStr">
        <is>
          <t>3行 3列，源：1234567890.0 备：</t>
        </is>
      </c>
      <c r="EC41" s="0" t="inlineStr">
        <is>
          <t>5行 2列，源：12:30:45.100000 备：00:00:01.1</t>
        </is>
      </c>
      <c r="ED41" s="0" t="inlineStr">
        <is>
          <t>9行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G41" s="0" t="inlineStr">
        <is>
          <t>5行 2列，源：12:30:45.100000 备：12:00:00.1</t>
        </is>
      </c>
      <c r="EH41" s="0" t="inlineStr">
        <is>
          <t>3行 3列，源：1234567890.0 备：</t>
        </is>
      </c>
      <c r="EK41" s="0" t="inlineStr">
        <is>
          <t>5行 1列，源：23:59:59 备：00:00:01</t>
        </is>
      </c>
      <c r="EN41" s="0" t="inlineStr">
        <is>
          <t>4行 6列，源：12:30:45.123460 备：12:00:00.12346</t>
        </is>
      </c>
      <c r="EO41" s="0" t="inlineStr">
        <is>
          <t>9行 3列，源：b'12345678901234567890123456789012345678901234567890123456789012345678901234567890123456789012345678901234567890123456789012345678901234567890123456789012345678901234567890123456789012345678901234567890' 备：</t>
        </is>
      </c>
      <c r="EP41" s="0" t="inlineStr">
        <is>
          <t>3行 3列，源：1234567890.0 备：</t>
        </is>
      </c>
      <c r="ER41" s="0" t="inlineStr">
        <is>
          <t>21行 0列，源：28 备：22</t>
        </is>
      </c>
      <c r="ES41" s="0" t="inlineStr">
        <is>
          <t>3行 3列，源：1234567890.0 备：</t>
        </is>
      </c>
      <c r="ET41" s="0" t="inlineStr">
        <is>
          <t>4行 3列，源：9999-12-31 23:59:59.99 +00:00 备：1971-05-11 00:00:00.00 +14:00</t>
        </is>
      </c>
    </row>
    <row r="42">
      <c r="A42" s="0" t="inlineStr">
        <is>
          <t>info_xml_dml_single_pk_irp</t>
        </is>
      </c>
      <c r="K42" s="0" t="inlineStr">
        <is>
          <t>[0;34m info_xml_dml_single_pk_irp [0m源备字段数相同，源端字段：2 	备端字段2</t>
        </is>
      </c>
      <c r="W42" s="2">
        <f>HYPERLINK("#2026041905hbase4!AE2","NO 源备存在差异，共1个")</f>
        <v/>
      </c>
      <c r="X42" s="0">
        <f>A42</f>
        <v/>
      </c>
      <c r="AC42" s="0" t="inlineStr">
        <is>
          <t>20行 1列，源：2025-05-11 12:00:00 备：2020-03-01 00:00:00</t>
        </is>
      </c>
      <c r="AI42" s="0" t="inlineStr">
        <is>
          <t>6行 1列，源：a 备：N</t>
        </is>
      </c>
      <c r="AM42" s="0" t="inlineStr">
        <is>
          <t>4行 11列，源：None 备：-987654321096543210987654321098765432</t>
        </is>
      </c>
      <c r="AO42" s="0" t="inlineStr">
        <is>
          <t>20行 0列，源：21 备：6</t>
        </is>
      </c>
      <c r="AP42" s="0" t="inlineStr">
        <is>
          <t>20行 1列，源：2023-05-11 00:00:00.123000 备：2000-05-01 23:59:59.993</t>
        </is>
      </c>
      <c r="AR42" s="0" t="inlineStr">
        <is>
          <t>20行 0列，源：21 备：6</t>
        </is>
      </c>
      <c r="AS42" s="0" t="inlineStr">
        <is>
          <t>4行 11列，源：None 备：-987654321096543210987654321098765432</t>
        </is>
      </c>
      <c r="AT42" s="0" t="inlineStr">
        <is>
          <t>20行 1列，源：2023-05-11 00:00:00.123000 备：2025-01-01 00:00:00.233</t>
        </is>
      </c>
      <c r="AU42" s="0" t="inlineStr">
        <is>
          <t xml:space="preserve">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                                                                                                                                                                                                                                                                                                                                                                                                                                                                                                                                                                                                                                                                                                                                                                                                                                                                                                                                                                                                                                                                                                                                                                                                                                                                                                                                                    </t>
        </is>
      </c>
      <c r="AV42" s="0" t="inlineStr">
        <is>
          <t>20行 0列，源：21 备：6</t>
        </is>
      </c>
      <c r="AX42" s="0" t="inlineStr">
        <is>
          <t>22行 0列，源：23 备：8</t>
        </is>
      </c>
      <c r="AZ42" s="0" t="inlineStr">
        <is>
          <t>6行 1列，源：a 备：N</t>
        </is>
      </c>
      <c r="BE42" s="0" t="inlineStr">
        <is>
          <t>4行 4列，源：9999-12-31 23:59:59.999000 备：2065-05-11 14:30:45.123</t>
        </is>
      </c>
      <c r="BG42" s="0" t="inlineStr">
        <is>
          <t>1行 19列，源：None 备：</t>
        </is>
      </c>
      <c r="BI42" s="0" t="inlineStr">
        <is>
          <t>4行 4列，源：9999-12-31 23:59:59.999000 备：2065-05-11 14:30:45.123</t>
        </is>
      </c>
      <c r="BJ42" s="0" t="inlineStr">
        <is>
          <t>3行 6列，源：None 备：12345678901234567890123789012345678</t>
        </is>
      </c>
      <c r="BL42" s="0" t="inlineStr">
        <is>
          <t xml:space="preserve">6行 1列，源：测 备： </t>
        </is>
      </c>
      <c r="BO42" s="0" t="inlineStr">
        <is>
          <t>6行 1列，源：a 备：N</t>
        </is>
      </c>
      <c r="BP42" s="0" t="inlineStr">
        <is>
          <t>10行 0列，源：21 备：22</t>
        </is>
      </c>
      <c r="BS42" s="0" t="inlineStr">
        <is>
          <t>7行 3列，源：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备：!@#$%^&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t>
        </is>
      </c>
      <c r="BV42" s="0" t="inlineStr">
        <is>
          <t>4行 4列，源：9999-12-31 23:59:59.999 +00:00 备：1971-05-11 00:00:00.000 +14:00</t>
        </is>
      </c>
      <c r="BX42" s="0" t="inlineStr">
        <is>
          <t>4行 4列，源：9999-12-31 23:59:59.999 +00:00 备：1900-01-01 00:00:00.000 +00:00</t>
        </is>
      </c>
      <c r="BY42" s="0" t="inlineStr">
        <is>
          <t>4行 4列，源：9999-12-31 23:59:59.999 +00:00 备：1971-05-11 00:00:00.000 +14:00</t>
        </is>
      </c>
      <c r="CA42" s="0" t="inlineStr">
        <is>
          <t>10行 0列，源：53 备：2</t>
        </is>
      </c>
      <c r="CB42" s="0" t="inlineStr">
        <is>
          <t>4行 4列，源：9999-12-31 23:59:59.999 +00:00 备：0001-01-01 00:00:00.000 +00:00</t>
        </is>
      </c>
      <c r="CD42" s="0" t="inlineStr">
        <is>
          <t>8行 0列，源：9 备：5</t>
        </is>
      </c>
      <c r="CE42" s="0" t="inlineStr">
        <is>
          <t>5行 3列，源：2063-05-11 10:30:45.12 -04:00 备：2000-05-11 00:30:45.12 +09:00</t>
        </is>
      </c>
      <c r="CF42" s="0" t="inlineStr">
        <is>
          <t>4行 4列，源：12:30:45.100000 备：00:00:01.123</t>
        </is>
      </c>
      <c r="CG42" s="0" t="inlineStr">
        <is>
          <t>22行 0列，源：77 备：26</t>
        </is>
      </c>
      <c r="CL42" s="0" t="inlineStr">
        <is>
          <t>7行 8列，源：00:00:01.123456 备：12:30:45.1234500</t>
        </is>
      </c>
      <c r="CM42" s="0" t="inlineStr">
        <is>
          <t>3行 16列，源：nan 备：</t>
        </is>
      </c>
      <c r="CN42" s="0" t="inlineStr">
        <is>
          <t>20行 0列，源：108 备：6</t>
        </is>
      </c>
      <c r="CT42" s="0" t="inlineStr">
        <is>
          <t>3行 19列，源：None 备：</t>
        </is>
      </c>
      <c r="DA42" s="0" t="inlineStr">
        <is>
          <t>3行 17列，源：None 备：1.0000</t>
        </is>
      </c>
      <c r="DB42" s="0" t="inlineStr">
        <is>
          <t>20行 0列，源：21 备：6</t>
        </is>
      </c>
      <c r="DH42" s="0" t="inlineStr">
        <is>
          <t>6行 1列，源：a 备：N</t>
        </is>
      </c>
      <c r="DJ42" s="0" t="inlineStr">
        <is>
          <t>4行 4列，源：12:30:45.100000 备：00:00:01.123</t>
        </is>
      </c>
      <c r="DL42" s="0" t="inlineStr">
        <is>
          <t>5行 3列，源：12:30:45.120000 备：</t>
        </is>
      </c>
      <c r="DN42" s="0" t="inlineStr">
        <is>
          <t>6行 1列，源：测 备：</t>
        </is>
      </c>
      <c r="DT42" s="0" t="inlineStr">
        <is>
          <t>4行 4列，源：12:30:45.100000 备：00:00:01.123</t>
        </is>
      </c>
      <c r="DU42" s="0" t="inlineStr">
        <is>
          <t>10行 0列，源：21 备：22</t>
        </is>
      </c>
      <c r="DX42" s="0" t="inlineStr">
        <is>
          <t>3行 4列，源：1234567890123456.0 备：</t>
        </is>
      </c>
      <c r="EC42" s="0" t="inlineStr">
        <is>
          <t>5行 3列，源：12:30:45.120000 备：</t>
        </is>
      </c>
      <c r="EG42" s="0" t="inlineStr">
        <is>
          <t>5行 3列，源：09:12:34.120000 备：</t>
        </is>
      </c>
      <c r="EH42" s="0" t="inlineStr">
        <is>
          <t>3行 4列，源：1234567890123456.0 备：</t>
        </is>
      </c>
      <c r="EK42" s="0" t="inlineStr">
        <is>
          <t>5行 2列，源：23:59:59.100000 备：</t>
        </is>
      </c>
      <c r="EN42" s="0" t="inlineStr">
        <is>
          <t>4行 7列，源：12:30:45.123457 备：</t>
        </is>
      </c>
      <c r="EO42" s="0" t="inlineStr">
        <is>
          <t>10行 0列，源：53 备：4</t>
        </is>
      </c>
      <c r="EP42" s="0" t="inlineStr">
        <is>
          <t>3行 4列，源：1234567890123456.0 备：</t>
        </is>
      </c>
      <c r="ER42" s="0" t="inlineStr">
        <is>
          <t>21行 1列，源：2068-05-11 14:31:00 备：1900-01-01 00:00:00</t>
        </is>
      </c>
      <c r="ES42" s="0" t="inlineStr">
        <is>
          <t>3行 4列，源：1234567890123456.0 备：</t>
        </is>
      </c>
      <c r="ET42" s="0" t="inlineStr">
        <is>
          <t>4行 4列，源：9999-12-31 23:59:59.999 +00:00 备：1971-05-11 00:00:00.000 +14:00</t>
        </is>
      </c>
    </row>
    <row r="43">
      <c r="B43" s="0" t="inlineStr">
        <is>
          <t>YES</t>
        </is>
      </c>
      <c r="C43" s="0" t="inlineStr">
        <is>
          <t>NULL</t>
        </is>
      </c>
      <c r="D43" s="0" t="inlineStr">
        <is>
          <t>NULL</t>
        </is>
      </c>
      <c r="E43" s="0" t="inlineStr">
        <is>
          <t>NULL</t>
        </is>
      </c>
      <c r="F43" s="0" t="inlineStr">
        <is>
          <t>NULL</t>
        </is>
      </c>
      <c r="G43" s="0" t="inlineStr">
        <is>
          <t>NULL</t>
        </is>
      </c>
      <c r="H43" s="0" t="inlineStr">
        <is>
          <t>NULL</t>
        </is>
      </c>
      <c r="I43" s="0" t="inlineStr">
        <is>
          <t>YES!PK__info_xml__3213E83F91795AB0</t>
        </is>
      </c>
      <c r="J43" s="0" t="inlineStr">
        <is>
          <t>YES! 主键相关索引</t>
        </is>
      </c>
      <c r="K43" s="0" t="inlineStr">
        <is>
          <t xml:space="preserve"> NO!  	 id列源备映射错误，源端为int None位	期望更改为text	实际备端为int None位</t>
        </is>
      </c>
      <c r="AC43" s="0" t="inlineStr">
        <is>
          <t>21行 0列，源：34 备：60</t>
        </is>
      </c>
      <c r="AI43" s="0" t="inlineStr">
        <is>
          <t>6行 1列，源：a 备：N</t>
        </is>
      </c>
      <c r="AM43" s="0" t="inlineStr">
        <is>
          <t>4行 12列，源：None 备：-0.12345690123456712345678901234567800000</t>
        </is>
      </c>
      <c r="AO43" s="0" t="inlineStr">
        <is>
          <t>20行 1列，源：2023-05-11 00:00:00.123000 备：2020-02-29 19:27:31.123</t>
        </is>
      </c>
      <c r="AP43" s="0" t="inlineStr">
        <is>
          <t>21行 0列，源：22 备：165</t>
        </is>
      </c>
      <c r="AR43" s="0" t="inlineStr">
        <is>
          <t>20行 1列，源：2023-05-11 00:00:00.123000 备：2020-02-29 19:27:31.123</t>
        </is>
      </c>
      <c r="AS43" s="0" t="inlineStr">
        <is>
          <t>4行 12列，源：None 备：-0.12345690123456712345678901234567800000</t>
        </is>
      </c>
      <c r="AT43" s="0" t="inlineStr">
        <is>
          <t>21行 0列，源：22 备：13</t>
        </is>
      </c>
      <c r="AU43" s="0" t="inlineStr">
        <is>
          <t>8行 0列，源：9 备：8</t>
        </is>
      </c>
      <c r="AV43" s="0" t="inlineStr">
        <is>
          <t>20行 1列，源：9999-12-31 23:59:59.997000 备：9999-12-31 23:59:59.997</t>
        </is>
      </c>
      <c r="AX43" s="0" t="inlineStr">
        <is>
          <t>23行 0列，源：24 备：9</t>
        </is>
      </c>
      <c r="AZ43" s="0" t="inlineStr">
        <is>
          <t>6行 1列，源：a 备：N</t>
        </is>
      </c>
      <c r="BE43" s="0" t="inlineStr">
        <is>
          <t>4行 5列，源：9999-12-31 23:59:59.999900 备：2065-05-11 14:30:45.1235</t>
        </is>
      </c>
      <c r="BG43" s="0" t="inlineStr">
        <is>
          <t>2行 0列，源：12 备：13</t>
        </is>
      </c>
      <c r="BI43" s="0" t="inlineStr">
        <is>
          <t>4行 5列，源：9999-12-31 23:59:59.999900 备：2065-05-11 14:30:45.1235</t>
        </is>
      </c>
      <c r="BJ43" s="0" t="inlineStr">
        <is>
          <t>3行 7列，源：None 备：0.12345678901234590123456789012367800000</t>
        </is>
      </c>
      <c r="BL43" s="0" t="inlineStr">
        <is>
          <t xml:space="preserve">6行 1列，源：测 备： </t>
        </is>
      </c>
      <c r="BO43" s="0" t="inlineStr">
        <is>
          <t>6行 1列，源：a 备：N</t>
        </is>
      </c>
      <c r="BP43" s="0" t="inlineStr">
        <is>
          <t>10行 1列，源：None 备：00</t>
        </is>
      </c>
      <c r="BS43" s="0" t="inlineStr">
        <is>
          <t>8行 0列，源：9 备：8</t>
        </is>
      </c>
      <c r="BV43" s="0" t="inlineStr">
        <is>
          <t>4行 5列，源：9999-12-31 23:59:59.9999 +00:00 备：1971-05-11 00:00:00.0000 +14:00</t>
        </is>
      </c>
      <c r="BX43" s="0" t="inlineStr">
        <is>
          <t>4行 5列，源：9999-12-31 23:59:59.9999 +00:00 备：1900-01-01 00:00:00.0000 +00:00</t>
        </is>
      </c>
      <c r="BY43" s="0" t="inlineStr">
        <is>
          <t>4行 5列，源：9999-12-31 23:59:59.9999 +00:00 备：1971-05-11 00:00:00.0000 +14:00</t>
        </is>
      </c>
      <c r="CA43" s="0" t="inlineStr">
        <is>
          <t>10行 1列，源：b'\x00' 备：00</t>
        </is>
      </c>
      <c r="CB43" s="0" t="inlineStr">
        <is>
          <t>4行 5列，源：9999-12-31 23:59:59.9999 +00:00 备：0001-01-01 00:00:00.0000 +00:00</t>
        </is>
      </c>
      <c r="CD43" s="0" t="inlineStr">
        <is>
          <t>8行 2列，源：None 备：</t>
        </is>
      </c>
      <c r="CE43" s="0" t="inlineStr">
        <is>
          <t>5行 4列，源：2063-05-11 10:30:45.123 -04:00 备：2000-05-11 00:30:45.123 +09:00</t>
        </is>
      </c>
      <c r="CF43" s="0" t="inlineStr">
        <is>
          <t>4行 5列，源：12:30:45.100000 备：</t>
        </is>
      </c>
      <c r="CG43" s="0" t="inlineStr">
        <is>
          <t>22行 1列，源：1970-01-01 备：2020-02-29</t>
        </is>
      </c>
      <c r="CM43" s="0" t="inlineStr">
        <is>
          <t>3行 17列，源：None 备：0.0100</t>
        </is>
      </c>
      <c r="CN43" s="0" t="inlineStr">
        <is>
          <t>20行 1列，源：0001-01-02 备：2020-02-29</t>
        </is>
      </c>
      <c r="DA43" s="0" t="inlineStr">
        <is>
          <t>3行 18列，源：None 备：5.9900</t>
        </is>
      </c>
      <c r="DB43" s="0" t="inlineStr">
        <is>
          <t>20行 1列，源：2023-05-11 00:00:00.123000 备：2020-02-29 19:27:31.123</t>
        </is>
      </c>
      <c r="DH43" s="0" t="inlineStr">
        <is>
          <t>6行 1列，源：a 备：N</t>
        </is>
      </c>
      <c r="DJ43" s="0" t="inlineStr">
        <is>
          <t>4行 5列，源：12:30:45.100000 备：</t>
        </is>
      </c>
      <c r="DL43" s="0" t="inlineStr">
        <is>
          <t>5行 4列，源：12:30:45.120000 备：00:00:01.123</t>
        </is>
      </c>
      <c r="DN43" s="0" t="inlineStr">
        <is>
          <t>6行 1列，源：测 备：</t>
        </is>
      </c>
      <c r="DT43" s="0" t="inlineStr">
        <is>
          <t>4行 5列，源：12:30:45.100000 备：</t>
        </is>
      </c>
      <c r="DU43" s="0" t="inlineStr">
        <is>
          <t>10行 1列，源：None 备：</t>
        </is>
      </c>
      <c r="DX43" s="0" t="inlineStr">
        <is>
          <t>3行 15列，源：6.62607015e-34 备：</t>
        </is>
      </c>
      <c r="EC43" s="0" t="inlineStr">
        <is>
          <t>5行 4列，源：12:30:45.120000 备：00:00:01.123</t>
        </is>
      </c>
      <c r="EG43" s="0" t="inlineStr">
        <is>
          <t>5行 4列，源：12:30:45.120000 备：12:00:00.123</t>
        </is>
      </c>
      <c r="EH43" s="0" t="inlineStr">
        <is>
          <t>3行 15列，源：6.62607015e-34 备：</t>
        </is>
      </c>
      <c r="EK43" s="0" t="inlineStr">
        <is>
          <t>5行 3列，源：23:59:59.120000 备：00:00:01.12</t>
        </is>
      </c>
      <c r="EN43" s="0" t="inlineStr">
        <is>
          <t>4行 8列，源：12:30:45.123456 备：12:00:00.1234567</t>
        </is>
      </c>
      <c r="EO43" s="0" t="inlineStr">
        <is>
          <t>10行 1列，源：b'' 备：20</t>
        </is>
      </c>
      <c r="EP43" s="0" t="inlineStr">
        <is>
          <t>3行 15列，源：6.62607015e-34 备：</t>
        </is>
      </c>
      <c r="ER43" s="0" t="inlineStr">
        <is>
          <t>22行 0列，源：29 备：23</t>
        </is>
      </c>
      <c r="ES43" s="0" t="inlineStr">
        <is>
          <t>3行 15列，源：6.62607015e-34 备：</t>
        </is>
      </c>
      <c r="ET43" s="0" t="inlineStr">
        <is>
          <t>4行 5列，源：9999-12-31 23:59:59.9999 +00:00 备：1971-05-11 00:00:00.0000 +14:00</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c_xml列源备映射错误，源端为xml -1位	期望更改为text	实际备端为xml -1位</t>
        </is>
      </c>
      <c r="AC44" s="0" t="inlineStr">
        <is>
          <t>21行 1列，源：2023-12-25 23:59:00 备：2079-06-05 23:59:00</t>
        </is>
      </c>
      <c r="AI44" s="0" t="inlineStr">
        <is>
          <t xml:space="preserve">6行 2列，源：this is a testcaseyf 备：€¶I€¶               </t>
        </is>
      </c>
      <c r="AM44" s="0" t="inlineStr">
        <is>
          <t>4行 13列，源：None 备：-6543210976543287654321.0987654321</t>
        </is>
      </c>
      <c r="AO44" s="0" t="inlineStr">
        <is>
          <t>21行 0列，源：22 备：7</t>
        </is>
      </c>
      <c r="AP44" s="0" t="inlineStr">
        <is>
          <t>21行 1列，源：2024-05-11 12:00:00.567000 备：2001-04-09 23:59:59.993</t>
        </is>
      </c>
      <c r="AR44" s="0" t="inlineStr">
        <is>
          <t>21行 0列，源：22 备：7</t>
        </is>
      </c>
      <c r="AS44" s="0" t="inlineStr">
        <is>
          <t>4行 13列，源：None 备：-6543210976543287654321.0987654321</t>
        </is>
      </c>
      <c r="AT44" s="0" t="inlineStr">
        <is>
          <t>21行 1列，源：2024-05-11 12:00:00.567000 备：1999-06-06 23:59:59.997</t>
        </is>
      </c>
      <c r="AU44" s="0" t="inlineStr">
        <is>
          <t>8行 1列，源：英 备：0</t>
        </is>
      </c>
      <c r="AV44" s="0" t="inlineStr">
        <is>
          <t>21行 0列，源：22 备：7</t>
        </is>
      </c>
      <c r="AZ44" s="0" t="inlineStr">
        <is>
          <t xml:space="preserve">6行 2列，源：this is a testcaseyf 备：€¶I€¶               </t>
        </is>
      </c>
      <c r="BE44" s="0" t="inlineStr">
        <is>
          <t>4行 6列，源：9999-12-31 23:59:59.999990 备：2065-05-11 14:30:45.12346</t>
        </is>
      </c>
      <c r="BG44" s="0" t="inlineStr">
        <is>
          <t>2行 1列，源：nan 备：</t>
        </is>
      </c>
      <c r="BI44" s="0" t="inlineStr">
        <is>
          <t>4行 6列，源：9999-12-31 23:59:59.999990 备：2065-05-11 14:30:45.12346</t>
        </is>
      </c>
      <c r="BJ44" s="0" t="inlineStr">
        <is>
          <t>3行 8列，源：None 备：123456789012367012345678.1245890000</t>
        </is>
      </c>
      <c r="BL44" s="0" t="inlineStr">
        <is>
          <t xml:space="preserve">6行 2列，源：这是一个长字符串             备：                    </t>
        </is>
      </c>
      <c r="BO44" s="0" t="inlineStr">
        <is>
          <t>6行 2列，源：this is a testcaseyf 备：€¶I€¶</t>
        </is>
      </c>
      <c r="BP44" s="0" t="inlineStr">
        <is>
          <t>10行 2列，源：None 备：0000000000000000000000000000000000000000</t>
        </is>
      </c>
      <c r="BS44" s="0" t="inlineStr">
        <is>
          <t>8行 1列，源：英 备：0</t>
        </is>
      </c>
      <c r="BV44" s="0" t="inlineStr">
        <is>
          <t>4行 6列，源：9999-12-31 23:59:59.99999 +00:00 备：1971-05-11 00:00:00.00000 +14:00</t>
        </is>
      </c>
      <c r="BX44" s="0" t="inlineStr">
        <is>
          <t>4行 6列，源：9999-12-31 23:59:59.99999 +00:00 备：1900-01-01 00:00:00.00000 +00:00</t>
        </is>
      </c>
      <c r="BY44" s="0" t="inlineStr">
        <is>
          <t>4行 6列，源：9999-12-31 23:59:59.99999 +00:00 备：1971-05-11 00:00:00.00000 +14:00</t>
        </is>
      </c>
      <c r="CA44" s="0" t="inlineStr">
        <is>
          <t>10行 2列，源：b'\x00\x00\x00\x00\x00\x00\x00\x00\x00\x00\x00\x00\x00\x00\x00\x00\x00\x00\x00\x00' 备：0000000000000000000000000000000000000000</t>
        </is>
      </c>
      <c r="CB44" s="0" t="inlineStr">
        <is>
          <t>4行 6列，源：9999-12-31 23:59:59.99999 +00:00 备：0001-01-01 00:00:00.00000 +00:00</t>
        </is>
      </c>
      <c r="CD44" s="0" t="inlineStr">
        <is>
          <t>8行 4列，源：None 备：</t>
        </is>
      </c>
      <c r="CE44" s="0" t="inlineStr">
        <is>
          <t>5行 5列，源：2063-05-11 10:30:45.1235 -04:00 备：2000-05-11 00:30:45.1235 +09:00</t>
        </is>
      </c>
      <c r="CF44" s="0" t="inlineStr">
        <is>
          <t>4行 6列，源：12:30:45.100000 备：00:00:01.12346</t>
        </is>
      </c>
      <c r="CG44" s="0" t="inlineStr">
        <is>
          <t>23行 0列，源：78 备：27</t>
        </is>
      </c>
      <c r="CM44" s="0" t="inlineStr">
        <is>
          <t>3行 18列，源：None 备：0.0100</t>
        </is>
      </c>
      <c r="CN44" s="0" t="inlineStr">
        <is>
          <t>21行 0列，源：110 备：60</t>
        </is>
      </c>
      <c r="DA44" s="0" t="inlineStr">
        <is>
          <t>3行 19列，源：None 备：</t>
        </is>
      </c>
      <c r="DB44" s="0" t="inlineStr">
        <is>
          <t>21行 0列，源：22 备：7</t>
        </is>
      </c>
      <c r="DH44" s="0" t="inlineStr">
        <is>
          <t>6行 2列，源：this is a testcaseyf 备：€¶I€¶</t>
        </is>
      </c>
      <c r="DJ44" s="0" t="inlineStr">
        <is>
          <t>4行 6列，源：12:30:45.100000 备：00:00:01.12346</t>
        </is>
      </c>
      <c r="DL44" s="0" t="inlineStr">
        <is>
          <t>5行 5列，源：12:30:45.120000 备：</t>
        </is>
      </c>
      <c r="DN44" s="0" t="inlineStr">
        <is>
          <t>6行 2列，源：这是一个长字符串 备：</t>
        </is>
      </c>
      <c r="DT44" s="0" t="inlineStr">
        <is>
          <t>4行 6列，源：12:30:45.100000 备：00:00:01.12346</t>
        </is>
      </c>
      <c r="DU44" s="0" t="inlineStr">
        <is>
          <t>10行 2列，源：None 备：</t>
        </is>
      </c>
      <c r="DX44" s="0" t="inlineStr">
        <is>
          <t>3行 16列，源：299792448.0 备：</t>
        </is>
      </c>
      <c r="EC44" s="0" t="inlineStr">
        <is>
          <t>5行 5列，源：12:30:45.120000 备：</t>
        </is>
      </c>
      <c r="EG44" s="0" t="inlineStr">
        <is>
          <t>5行 5列，源：09:12:34.123500 备：</t>
        </is>
      </c>
      <c r="EH44" s="0" t="inlineStr">
        <is>
          <t>3行 16列，源：299792448.0 备：</t>
        </is>
      </c>
      <c r="EK44" s="0" t="inlineStr">
        <is>
          <t>5行 4列，源：23:59:59.123000 备：</t>
        </is>
      </c>
      <c r="EN44" s="0" t="inlineStr">
        <is>
          <t>5行 0列，源：12 备：2</t>
        </is>
      </c>
      <c r="EO44" s="0" t="inlineStr">
        <is>
          <t>10行 2列，源：b'' 备：20202020202020202020</t>
        </is>
      </c>
      <c r="EP44" s="0" t="inlineStr">
        <is>
          <t>3行 16列，源：299792448.0 备：</t>
        </is>
      </c>
      <c r="ER44" s="0" t="inlineStr">
        <is>
          <t>22行 1列，源：1981-05-11 14:31:00 备：1900-01-01 00:00:00</t>
        </is>
      </c>
      <c r="ES44" s="0" t="inlineStr">
        <is>
          <t>3行 16列，源：299792448.0 备：</t>
        </is>
      </c>
      <c r="ET44" s="0" t="inlineStr">
        <is>
          <t>4行 6列，源：9999-12-31 23:59:59.99999 +00:00 备：1971-05-11 00:00:00.00000 +14:00</t>
        </is>
      </c>
    </row>
    <row r="45">
      <c r="A45" s="0" t="inlineStr">
        <is>
          <t>info_sdt_dml_batch1_pk_urp2</t>
        </is>
      </c>
      <c r="K45" s="0" t="inlineStr">
        <is>
          <t>[0;34m info_sdt_dml_batch1_pk_urp2 [0m源备字段数相同，源端字段：2 	备端字段2</t>
        </is>
      </c>
      <c r="W45" s="2">
        <f>HYPERLINK("#2026041905hbase4!AF2","NO 源备存在差异，共25个")</f>
        <v/>
      </c>
      <c r="X45" s="0">
        <f>A45</f>
        <v/>
      </c>
      <c r="AC45" s="0" t="inlineStr">
        <is>
          <t>22行 0列，源：57 备：63</t>
        </is>
      </c>
      <c r="AI45" s="0" t="inlineStr">
        <is>
          <t xml:space="preserve">6行 2列，源：this is a testcaseyf 备：€¶I€¶               </t>
        </is>
      </c>
      <c r="AM45" s="0" t="inlineStr">
        <is>
          <t>4行 14列，源：None 备：-9876543210954.32</t>
        </is>
      </c>
      <c r="AO45" s="0" t="inlineStr">
        <is>
          <t>21行 1列，源：2024-05-11 12:00:00.567000 备：2000-05-11 14:30:29.000</t>
        </is>
      </c>
      <c r="AP45" s="0" t="inlineStr">
        <is>
          <t>22行 0列，源：23 备：166</t>
        </is>
      </c>
      <c r="AR45" s="0" t="inlineStr">
        <is>
          <t>21行 1列，源：2024-05-11 12:00:00.567000 备：2000-05-11 14:30:29.000</t>
        </is>
      </c>
      <c r="AS45" s="0" t="inlineStr">
        <is>
          <t>4行 14列，源：None 备：-9876543210954.32</t>
        </is>
      </c>
      <c r="AT45" s="0" t="inlineStr">
        <is>
          <t>22行 0列，源：23 备：14</t>
        </is>
      </c>
      <c r="AU45" s="0" t="inlineStr">
        <is>
          <t>8行 1列，源：英 备：0</t>
        </is>
      </c>
      <c r="AV45" s="0" t="inlineStr">
        <is>
          <t>21行 1列，源：9999-12-31 23:59:59.997000 备：9999-12-31 23:59:59.997</t>
        </is>
      </c>
      <c r="AZ45" s="0" t="inlineStr">
        <is>
          <t xml:space="preserve">6行 2列，源：this is a testcaseyf 备：€¶I€¶               </t>
        </is>
      </c>
      <c r="BE45" s="0" t="inlineStr">
        <is>
          <t>4行 7列，源：9999-12-31 23:59:59.999999 备：2065-05-11 14:30:45.123457</t>
        </is>
      </c>
      <c r="BG45" s="0" t="inlineStr">
        <is>
          <t>2行 2列，源：nan 备：</t>
        </is>
      </c>
      <c r="BI45" s="0" t="inlineStr">
        <is>
          <t>4行 7列，源：9999-12-31 23:59:59.999999 备：2065-05-11 14:30:45.123457</t>
        </is>
      </c>
      <c r="BJ45" s="0" t="inlineStr">
        <is>
          <t>3行 9列，源：None 备：123456712345.6789</t>
        </is>
      </c>
      <c r="BL45" s="0" t="inlineStr">
        <is>
          <t xml:space="preserve">6行 2列，源：这是一个长字符串             备：                    </t>
        </is>
      </c>
      <c r="BO45" s="0" t="inlineStr">
        <is>
          <t>6行 2列，源：this is a testcaseyf 备：€¶I€¶</t>
        </is>
      </c>
      <c r="BP45" s="0" t="inlineStr">
        <is>
          <t>10行 3列，源：None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45" s="0" t="inlineStr">
        <is>
          <t>8行 1列，源：英 备：0</t>
        </is>
      </c>
      <c r="BV45" s="0" t="inlineStr">
        <is>
          <t>4行 7列，源：9999-12-31 23:59:59.999999 +00:00 备：1971-05-11 00:00:00.000000 +14:00</t>
        </is>
      </c>
      <c r="BX45" s="0" t="inlineStr">
        <is>
          <t>4行 7列，源：9999-12-31 23:59:59.999999 +00:00 备：1900-01-01 00:00:00.000000 +00:00</t>
        </is>
      </c>
      <c r="BY45" s="0" t="inlineStr">
        <is>
          <t>4行 7列，源：9999-12-31 23:59:59.999999 +00:00 备：1971-05-11 00:00:00.000000 +14:00</t>
        </is>
      </c>
      <c r="CA45" s="0" t="inlineStr">
        <is>
          <t>10行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45" s="0" t="inlineStr">
        <is>
          <t>4行 7列，源：9999-12-31 23:59:59.999999 +00:00 备：0001-01-01 00:00:00.000000 +00:00</t>
        </is>
      </c>
      <c r="CD45" s="0" t="inlineStr">
        <is>
          <t>8行 6列，源：None 备：</t>
        </is>
      </c>
      <c r="CE45" s="0" t="inlineStr">
        <is>
          <t>5行 6列，源：2063-05-11 10:30:45.12346 -04:00 备：2000-05-11 00:30:45.12346 +09:00</t>
        </is>
      </c>
      <c r="CF45" s="0" t="inlineStr">
        <is>
          <t>4行 7列，源：12:30:45.100000 备：</t>
        </is>
      </c>
      <c r="CG45" s="0" t="inlineStr">
        <is>
          <t>23行 1列，源：0001-01-02 备：1970-01-01</t>
        </is>
      </c>
      <c r="CM45" s="0" t="inlineStr">
        <is>
          <t>3行 19列，源：None 备：</t>
        </is>
      </c>
      <c r="CN45" s="0" t="inlineStr">
        <is>
          <t>22行 0列，源：204 备：61</t>
        </is>
      </c>
      <c r="DA45" s="0" t="inlineStr">
        <is>
          <t>4行 0列，源：8 备：14</t>
        </is>
      </c>
      <c r="DB45" s="0" t="inlineStr">
        <is>
          <t>21行 1列，源：2024-05-11 12:00:00.567000 备：2000-05-11 14:30:29.000</t>
        </is>
      </c>
      <c r="DH45" s="0" t="inlineStr">
        <is>
          <t>6行 2列，源：this is a testcaseyf 备：€¶I€¶</t>
        </is>
      </c>
      <c r="DJ45" s="0" t="inlineStr">
        <is>
          <t>4行 7列，源：12:30:45.100000 备：</t>
        </is>
      </c>
      <c r="DL45" s="0" t="inlineStr">
        <is>
          <t>5行 6列，源：12:30:45.120000 备：00:00:01.12346</t>
        </is>
      </c>
      <c r="DN45" s="0" t="inlineStr">
        <is>
          <t>6行 2列，源：这是一个长字符串 备：</t>
        </is>
      </c>
      <c r="DT45" s="0" t="inlineStr">
        <is>
          <t>4行 7列，源：12:30:45.100000 备：</t>
        </is>
      </c>
      <c r="DU45" s="0" t="inlineStr">
        <is>
          <t>10行 3列，源：None 备：</t>
        </is>
      </c>
      <c r="DX45" s="0" t="inlineStr">
        <is>
          <t>3行 19列，源：True 备：</t>
        </is>
      </c>
      <c r="EC45" s="0" t="inlineStr">
        <is>
          <t>5行 6列，源：12:30:45.120000 备：00:00:01.12346</t>
        </is>
      </c>
      <c r="EG45" s="0" t="inlineStr">
        <is>
          <t>5行 6列，源：12:30:45.120000 备：12:00:00.12346</t>
        </is>
      </c>
      <c r="EH45" s="0" t="inlineStr">
        <is>
          <t>3行 19列，源：True 备：</t>
        </is>
      </c>
      <c r="EK45" s="0" t="inlineStr">
        <is>
          <t>5行 5列，源：23:59:59.123500 备：00:00:01.1235</t>
        </is>
      </c>
      <c r="EN45" s="0" t="inlineStr">
        <is>
          <t>5行 1列，源：23:59:59 备：18:10:06</t>
        </is>
      </c>
      <c r="EO45" s="0" t="inlineStr">
        <is>
          <t>10行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P45" s="0" t="inlineStr">
        <is>
          <t>3行 19列，源：True 备：</t>
        </is>
      </c>
      <c r="ER45" s="0" t="inlineStr">
        <is>
          <t>23行 0列，源：30 备：24</t>
        </is>
      </c>
      <c r="ES45" s="0" t="inlineStr">
        <is>
          <t>3行 19列，源：True 备：</t>
        </is>
      </c>
      <c r="ET45" s="0" t="inlineStr">
        <is>
          <t>4行 7列，源：9999-12-31 23:59:59.999999 +00:00 备：1971-05-11 00:00:00.000000 +14:00</t>
        </is>
      </c>
    </row>
    <row r="46">
      <c r="B46" s="0" t="inlineStr">
        <is>
          <t>YES</t>
        </is>
      </c>
      <c r="C46" s="0" t="inlineStr">
        <is>
          <t>NULL</t>
        </is>
      </c>
      <c r="D46" s="0" t="inlineStr">
        <is>
          <t>NULL</t>
        </is>
      </c>
      <c r="E46" s="0" t="inlineStr">
        <is>
          <t>NULL</t>
        </is>
      </c>
      <c r="F46" s="0" t="inlineStr">
        <is>
          <t>NULL</t>
        </is>
      </c>
      <c r="G46" s="0" t="inlineStr">
        <is>
          <t>NULL</t>
        </is>
      </c>
      <c r="H46" s="0" t="inlineStr">
        <is>
          <t>NULL</t>
        </is>
      </c>
      <c r="I46" s="0" t="inlineStr">
        <is>
          <t>YES!PK__info_sdt__3213E83FAE7332A4</t>
        </is>
      </c>
      <c r="J46" s="0" t="inlineStr">
        <is>
          <t>YES! 主键相关索引</t>
        </is>
      </c>
      <c r="K46" s="0" t="inlineStr">
        <is>
          <t xml:space="preserve"> NO!  	 id列源备映射错误，源端为int None位	期望更改为text	实际备端为int None位</t>
        </is>
      </c>
      <c r="AC46" s="0" t="inlineStr">
        <is>
          <t>22行 1列，源：2000-05-11 14:30:00 备：2025-05-11 12:00:00</t>
        </is>
      </c>
      <c r="AI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M46" s="0" t="inlineStr">
        <is>
          <t>4行 15列，源：1.23456789012345e-30 备：0.0000000000000</t>
        </is>
      </c>
      <c r="AO46" s="0" t="inlineStr">
        <is>
          <t>22行 0列，源：23 备：8</t>
        </is>
      </c>
      <c r="AP46" s="0" t="inlineStr">
        <is>
          <t>22行 1列，源：2025-01-01 00:00:00.233000 备：2002-06-11 23:59:59.993</t>
        </is>
      </c>
      <c r="AR46" s="0" t="inlineStr">
        <is>
          <t>22行 0列，源：23 备：8</t>
        </is>
      </c>
      <c r="AS46" s="0" t="inlineStr">
        <is>
          <t>4行 15列，源：123.456789 备：0.0000000000000</t>
        </is>
      </c>
      <c r="AT46" s="0" t="inlineStr">
        <is>
          <t>22行 1列，源：2025-01-01 00:00:00.233000 备：2000-05-01 23:59:59.993</t>
        </is>
      </c>
      <c r="AU46" s="0" t="inlineStr">
        <is>
          <t>8行 2列，源：€¶I€¶                备：12345678901234567890</t>
        </is>
      </c>
      <c r="AV46" s="0" t="inlineStr">
        <is>
          <t>22行 0列，源：23 备：8</t>
        </is>
      </c>
      <c r="AZ46"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E46" s="0" t="inlineStr">
        <is>
          <t>4行 8列，源：9999-12-31 23:59:59.999999 备：2065-05-11 14:30:45.1234567</t>
        </is>
      </c>
      <c r="BG46" s="0" t="inlineStr">
        <is>
          <t>2行 3列，源：nan 备：</t>
        </is>
      </c>
      <c r="BI46" s="0" t="inlineStr">
        <is>
          <t>4行 8列，源：9999-12-31 23:59:59.999999 备：2065-05-11 14:30:45.1234567</t>
        </is>
      </c>
      <c r="BJ46" s="0" t="inlineStr">
        <is>
          <t>3行 10列，源：None 备：988</t>
        </is>
      </c>
      <c r="BL46"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O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P46" s="0" t="inlineStr">
        <is>
          <t>11行 0列，源：22 备：23</t>
        </is>
      </c>
      <c r="BS46" s="0" t="inlineStr">
        <is>
          <t>8行 2列，源：€¶I€¶ 备：12345678901234567890</t>
        </is>
      </c>
      <c r="BV46" s="0" t="inlineStr">
        <is>
          <t>4行 8列，源：9999-12-31 23:59:59.9999999 +00:00 备：1971-05-11 00:00:00.0000001 +14:00</t>
        </is>
      </c>
      <c r="BX46" s="0" t="inlineStr">
        <is>
          <t>4行 8列，源：9999-12-31 23:59:59.9999999 +00:00 备：1900-01-01 00:00:00.0000000 +00:00</t>
        </is>
      </c>
      <c r="BY46" s="0" t="inlineStr">
        <is>
          <t>4行 8列，源：9999-12-31 23:59:59.9999999 +00:00 备：1971-05-11 00:00:00.0000001 +14:00</t>
        </is>
      </c>
      <c r="CA46" s="0" t="inlineStr">
        <is>
          <t>11行 0列，源：54 备：3</t>
        </is>
      </c>
      <c r="CB46" s="0" t="inlineStr">
        <is>
          <t>4行 8列，源：9999-12-31 23:59:59.9999999 +00:00 备：0001-01-01 00:00:00.0000000 +00:00</t>
        </is>
      </c>
      <c r="CD46" s="0" t="inlineStr">
        <is>
          <t>8行 8列，源：None 备：</t>
        </is>
      </c>
      <c r="CE46" s="0" t="inlineStr">
        <is>
          <t>5行 7列，源：2063-05-11 10:30:45.123457 -04:00 备：2000-05-11 00:30:45.123457 +09:00</t>
        </is>
      </c>
      <c r="CF46" s="0" t="inlineStr">
        <is>
          <t>4行 8列，源：12:30:45.100000 备：00:00:01.1234567</t>
        </is>
      </c>
      <c r="CG46" s="0" t="inlineStr">
        <is>
          <t>24行 0列，源：79 备：279</t>
        </is>
      </c>
      <c r="CM46" s="0" t="inlineStr">
        <is>
          <t>4行 0列，源：5 备：13</t>
        </is>
      </c>
      <c r="CN46" s="0" t="inlineStr">
        <is>
          <t>22行 1列，源：9999-12-31 备：2068-06-01</t>
        </is>
      </c>
      <c r="DA46" s="0" t="inlineStr">
        <is>
          <t>4行 1列，源：nan 备：</t>
        </is>
      </c>
      <c r="DB46" s="0" t="inlineStr">
        <is>
          <t>22行 0列，源：23 备：8</t>
        </is>
      </c>
      <c r="DH46"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J46" s="0" t="inlineStr">
        <is>
          <t>4行 8列，源：12:30:45.100000 备：00:00:01.1234567</t>
        </is>
      </c>
      <c r="DL46" s="0" t="inlineStr">
        <is>
          <t>5行 7列，源：12:30:45.120000 备：</t>
        </is>
      </c>
      <c r="DN46"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DT46" s="0" t="inlineStr">
        <is>
          <t>4行 8列，源：12:30:45.100000 备：00:00:01.1234567</t>
        </is>
      </c>
      <c r="DU46" s="0" t="inlineStr">
        <is>
          <t>11行 0列，源：22 备：23</t>
        </is>
      </c>
      <c r="DX46" s="0" t="inlineStr">
        <is>
          <t>4行 0列，源：5 备：13</t>
        </is>
      </c>
      <c r="EC46" s="0" t="inlineStr">
        <is>
          <t>5行 7列，源：12:30:45.120000 备：</t>
        </is>
      </c>
      <c r="EG46" s="0" t="inlineStr">
        <is>
          <t>5行 7列，源：09:12:34.123457 备：</t>
        </is>
      </c>
      <c r="EH46" s="0" t="inlineStr">
        <is>
          <t>4行 0列，源：5 备：103</t>
        </is>
      </c>
      <c r="EK46" s="0" t="inlineStr">
        <is>
          <t>5行 6列，源：23:59:59.123460 备：</t>
        </is>
      </c>
      <c r="EN46" s="0" t="inlineStr">
        <is>
          <t>5行 2列，源：23:59:59.100000 备：18:10:06.1</t>
        </is>
      </c>
      <c r="EO46" s="0" t="inlineStr">
        <is>
          <t>11行 0列，源：54 备：5</t>
        </is>
      </c>
      <c r="EP46" s="0" t="inlineStr">
        <is>
          <t>4行 0列，源：5 备：13</t>
        </is>
      </c>
      <c r="ER46" s="0" t="inlineStr">
        <is>
          <t>23行 1列，源：2079-06-05 23:59:00 备：2079-06-06 23:59:00</t>
        </is>
      </c>
      <c r="ES46" s="0" t="inlineStr">
        <is>
          <t>4行 0列，源：5 备：103</t>
        </is>
      </c>
      <c r="ET46" s="0" t="inlineStr">
        <is>
          <t>4行 8列，源：9999-12-31 23:59:59.9999999 +00:00 备：1971-05-11 00:00:00.0000001 +14:00</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c_sdt列源备映射错误，源端为smalldatetime None位	期望更改为text	实际备端为smalldatetime None位</t>
        </is>
      </c>
      <c r="AC47" s="0" t="inlineStr">
        <is>
          <t>23行 0列，源：58 备：64</t>
        </is>
      </c>
      <c r="AI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AM47" s="0" t="inlineStr">
        <is>
          <t>4行 16列，源：1.2345669834560371e-20 备：0.000000</t>
        </is>
      </c>
      <c r="AO47" s="0" t="inlineStr">
        <is>
          <t>22行 1列，源：2025-01-01 00:00:00.233000 备：2068-05-11 14:30:30.000</t>
        </is>
      </c>
      <c r="AP47" s="0" t="inlineStr">
        <is>
          <t>23行 0列，源：24 备：167</t>
        </is>
      </c>
      <c r="AR47" s="0" t="inlineStr">
        <is>
          <t>22行 1列，源：2025-01-01 00:00:00.233000 备：2068-05-11 14:30:30.000</t>
        </is>
      </c>
      <c r="AS47" s="0" t="inlineStr">
        <is>
          <t>4行 16列，源：1.2345669834560371e-20 备：0.000000</t>
        </is>
      </c>
      <c r="AT47" s="0" t="inlineStr">
        <is>
          <t>23行 0列，源：24 备：15</t>
        </is>
      </c>
      <c r="AU47" s="0" t="inlineStr">
        <is>
          <t>8行 2列，源：€¶I€¶                备：12345678901234567890</t>
        </is>
      </c>
      <c r="AV47" s="0" t="inlineStr">
        <is>
          <t>22行 1列，源：9999-12-31 23:59:59.997000 备：9999-12-31 23:59:59.997</t>
        </is>
      </c>
      <c r="AZ47" s="0" t="inlineStr">
        <is>
          <t xml:space="preserve">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t>
        </is>
      </c>
      <c r="BE47" s="0" t="inlineStr">
        <is>
          <t>5行 0列，源：6 备：175</t>
        </is>
      </c>
      <c r="BG47" s="0" t="inlineStr">
        <is>
          <t>2行 4列，源：nan 备：</t>
        </is>
      </c>
      <c r="BI47" s="0" t="inlineStr">
        <is>
          <t>5行 0列，源：6 备：2</t>
        </is>
      </c>
      <c r="BJ47" s="0" t="inlineStr">
        <is>
          <t>3行 11列，源：None 备：987654321098765410987654321098765432</t>
        </is>
      </c>
      <c r="BL47" s="0" t="inlineStr">
        <is>
          <t xml:space="preserve">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                                                                                                                                                                                                                                                                                                                                                                                                                                                                                                                                                                                                                                                                                                                                                                                                                                                                                                                                                                                                                                                                                                                                                                                                                                                                                                                                                                                                                                                                                                                                                                                                                                                                                                                                                                                                                                                                                                                                                                                                                                                                                                                                                                                                                                                                                                                                                                                                                                                                                                                                                                                                                                                                                                                                                                                                                                                                                                                                                                                                                                                                                                                                                                                                                                                                                                                                                                                                                                                                                                                                                                                                                                            </t>
        </is>
      </c>
      <c r="BO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BP47" s="0" t="inlineStr">
        <is>
          <t>11行 1列，源：b'\x00' 备：00</t>
        </is>
      </c>
      <c r="BS47" s="0" t="inlineStr">
        <is>
          <t>8行 2列，源：€¶I€¶ 备：12345678901234567890</t>
        </is>
      </c>
      <c r="BV47" s="0" t="inlineStr">
        <is>
          <t>5行 0列，源：6 备：2</t>
        </is>
      </c>
      <c r="BX47" s="0" t="inlineStr">
        <is>
          <t>5行 0列，源：6 备：123</t>
        </is>
      </c>
      <c r="BY47" s="0" t="inlineStr">
        <is>
          <t>5行 0列，源：6 备：2</t>
        </is>
      </c>
      <c r="CA47" s="0" t="inlineStr">
        <is>
          <t>11行 1列，源：b' ' 备：00</t>
        </is>
      </c>
      <c r="CB47" s="0" t="inlineStr">
        <is>
          <t>5行 0列，源：6 备：107</t>
        </is>
      </c>
      <c r="CD47" s="0" t="inlineStr">
        <is>
          <t>9行 0列，源：10 备：6</t>
        </is>
      </c>
      <c r="CE47" s="0" t="inlineStr">
        <is>
          <t>5行 8列，源：2063-05-11 10:30:45.1234567 -04:00 备：2000-05-11 00:30:45.1234567 +09:00</t>
        </is>
      </c>
      <c r="CF47" s="0" t="inlineStr">
        <is>
          <t>5行 0列，源：6 备：14</t>
        </is>
      </c>
      <c r="CG47" s="0" t="inlineStr">
        <is>
          <t>25行 0列，源：80 备：28</t>
        </is>
      </c>
      <c r="CM47" s="0" t="inlineStr">
        <is>
          <t>4行 1列，源：123.0 备：</t>
        </is>
      </c>
      <c r="CN47" s="0" t="inlineStr">
        <is>
          <t>23行 0列，源：205 备：7</t>
        </is>
      </c>
      <c r="DA47" s="0" t="inlineStr">
        <is>
          <t>4行 2列，源：nan 备：</t>
        </is>
      </c>
      <c r="DB47" s="0" t="inlineStr">
        <is>
          <t>22行 1列，源：2025-01-01 00:00:00.233000 备：2068-05-11 14:30:30.000</t>
        </is>
      </c>
      <c r="DH47" s="0" t="inlineStr">
        <is>
          <t>6行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t>
        </is>
      </c>
      <c r="DJ47" s="0" t="inlineStr">
        <is>
          <t>5行 0列，源：6 备：14</t>
        </is>
      </c>
      <c r="DL47" s="0" t="inlineStr">
        <is>
          <t>5行 8列，源：12:30:45.120000 备：00:00:01.1234567</t>
        </is>
      </c>
      <c r="DN47" s="0" t="inlineStr">
        <is>
          <t>6行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
        </is>
      </c>
      <c r="DT47" s="0" t="inlineStr">
        <is>
          <t>5行 0列，源：6 备：14</t>
        </is>
      </c>
      <c r="DU47" s="0" t="inlineStr">
        <is>
          <t>11行 1列，源：b'' 备：</t>
        </is>
      </c>
      <c r="DX47" s="0" t="inlineStr">
        <is>
          <t>4行 1列，源：0.0 备：</t>
        </is>
      </c>
      <c r="EC47" s="0" t="inlineStr">
        <is>
          <t>5行 8列，源：12:30:45.120000 备：00:00:01.1234567</t>
        </is>
      </c>
      <c r="EG47" s="0" t="inlineStr">
        <is>
          <t>5行 8列，源：12:30:45.120000 备：12:00:00.1234567</t>
        </is>
      </c>
      <c r="EH47" s="0" t="inlineStr">
        <is>
          <t>4行 1列，源：0.0 备：</t>
        </is>
      </c>
      <c r="EK47" s="0" t="inlineStr">
        <is>
          <t>5行 7列，源：23:59:59.123457 备：00:00:01.123457</t>
        </is>
      </c>
      <c r="EN47" s="0" t="inlineStr">
        <is>
          <t>5行 3列，源：23:59:59.120000 备：18:10:06.12</t>
        </is>
      </c>
      <c r="EO47" s="0" t="inlineStr">
        <is>
          <t>11行 1列，源：b' ' 备：41</t>
        </is>
      </c>
      <c r="EP47" s="0" t="inlineStr">
        <is>
          <t>4行 1列，源：0.0 备：</t>
        </is>
      </c>
      <c r="ER47" s="0" t="inlineStr">
        <is>
          <t>24行 0列，源：31 备：25</t>
        </is>
      </c>
      <c r="ES47" s="0" t="inlineStr">
        <is>
          <t>4行 1列，源：0.0 备：</t>
        </is>
      </c>
      <c r="ET47" s="0" t="inlineStr">
        <is>
          <t>5行 0列，源：6 备：2</t>
        </is>
      </c>
    </row>
    <row r="48">
      <c r="A48" s="0" t="inlineStr">
        <is>
          <t>info_text_dml_single_pk_urp</t>
        </is>
      </c>
      <c r="K48" s="0" t="inlineStr">
        <is>
          <t>[0;34m info_text_dml_single_pk_urp [0m源备字段数相同，源端字段：3 	备端字段3</t>
        </is>
      </c>
      <c r="W48" s="2">
        <f>HYPERLINK("#2026041905hbase4!AG2","NO 源备存在差异，共2个")</f>
        <v/>
      </c>
      <c r="X48" s="0">
        <f>A48</f>
        <v/>
      </c>
      <c r="AC48" s="0" t="inlineStr">
        <is>
          <t>23行 1列，源：2068-05-11 14:31:00 备：2023-12-25 23:59:00</t>
        </is>
      </c>
      <c r="AI48" s="0" t="inlineStr">
        <is>
          <t>7行 0列，源：8 备：16</t>
        </is>
      </c>
      <c r="AM48" s="0" t="inlineStr">
        <is>
          <t>4行 18列，源：None 备：</t>
        </is>
      </c>
      <c r="AO48" s="0" t="inlineStr">
        <is>
          <t>23行 0列，源：24 备：9</t>
        </is>
      </c>
      <c r="AP48" s="0" t="inlineStr">
        <is>
          <t>23行 1列，源：2040-12-25 23:59:59.997000 备：2003-11-04 23:59:59.990</t>
        </is>
      </c>
      <c r="AR48" s="0" t="inlineStr">
        <is>
          <t>23行 0列，源：24 备：9</t>
        </is>
      </c>
      <c r="AS48" s="0" t="inlineStr">
        <is>
          <t>4行 18列，源：None 备：</t>
        </is>
      </c>
      <c r="AT48" s="0" t="inlineStr">
        <is>
          <t>23行 1列，源：2040-12-25 23:59:59.997000 备：2001-04-09 23:59:59.993</t>
        </is>
      </c>
      <c r="AU48"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AV48" s="0" t="inlineStr">
        <is>
          <t>23行 0列，源：24 备：9</t>
        </is>
      </c>
      <c r="AZ48" s="0" t="inlineStr">
        <is>
          <t>7行 0列，源：8 备：16</t>
        </is>
      </c>
      <c r="BE48" s="0" t="inlineStr">
        <is>
          <t>5行 1列，源：1945-05-11 14:30:45 备：9999-12-31 23:59:59</t>
        </is>
      </c>
      <c r="BG48" s="0" t="inlineStr">
        <is>
          <t>2行 15列，源：nan 备：</t>
        </is>
      </c>
      <c r="BI48" s="0" t="inlineStr">
        <is>
          <t>5行 1列，源：1945-05-11 14:30:45 备：1900-01-01 00:00:00</t>
        </is>
      </c>
      <c r="BJ48" s="0" t="inlineStr">
        <is>
          <t>3行 12列，源：None 备：0.98765432109874321098765432109876543200</t>
        </is>
      </c>
      <c r="BL48" s="0" t="inlineStr">
        <is>
          <t>7行 0列，源：8 备：23</t>
        </is>
      </c>
      <c r="BO48" s="0" t="inlineStr">
        <is>
          <t>7行 0列，源：8 备：16</t>
        </is>
      </c>
      <c r="BP48" s="0" t="inlineStr">
        <is>
          <t>11行 2列，源：b'\x00\x00\x00\x00\x00\x00\x00\x00\x00\x00\x00\x00\x00\x00\x00\x00\x00\x00\x00\x00' 备：0000000000000000000000000000000000000000</t>
        </is>
      </c>
      <c r="BS48"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BV48" s="0" t="inlineStr">
        <is>
          <t>5行 1列，源：2063-05-11 10:30:45 -04:00 备：1900-01-01 00:00:00 +00:00</t>
        </is>
      </c>
      <c r="BX48" s="0" t="inlineStr">
        <is>
          <t>5行 1列，源：2063-05-11 10:30:45 -04:00 备：2026-04-17 17:18:23 +08:00</t>
        </is>
      </c>
      <c r="BY48" s="0" t="inlineStr">
        <is>
          <t>5行 1列，源：2063-05-11 10:30:45 -04:00 备：1900-01-01 00:00:00 +00:00</t>
        </is>
      </c>
      <c r="CA48" s="0" t="inlineStr">
        <is>
          <t>11行 2列，源：b'                    ' 备：0000000000000000000000000000000000000000</t>
        </is>
      </c>
      <c r="CB48" s="0" t="inlineStr">
        <is>
          <t>5行 1列，源：2063-05-11 10:30:45 -04:00 备：1933-05-11 15:30:45 +01:00</t>
        </is>
      </c>
      <c r="CD48" s="0" t="inlineStr">
        <is>
          <t>9行 2列，源：None 备：</t>
        </is>
      </c>
      <c r="CE48" s="0" t="inlineStr">
        <is>
          <t>6行 0列，源：7 备：3</t>
        </is>
      </c>
      <c r="CF48" s="0" t="inlineStr">
        <is>
          <t>5行 1列，源：12:30:45 备：12:00:00</t>
        </is>
      </c>
      <c r="CG48" s="0" t="inlineStr">
        <is>
          <t>25行 1列，源：1990-05-11 备：0001-01-02</t>
        </is>
      </c>
      <c r="CM48" s="0" t="inlineStr">
        <is>
          <t>4行 2列，源：12345.0 备：</t>
        </is>
      </c>
      <c r="CN48" s="0" t="inlineStr">
        <is>
          <t>23行 1列，源：2026-04-17 备：1970-01-01</t>
        </is>
      </c>
      <c r="DA48" s="0" t="inlineStr">
        <is>
          <t>4行 3列，源：nan 备：</t>
        </is>
      </c>
      <c r="DB48" s="0" t="inlineStr">
        <is>
          <t>23行 0列，源：24 备：9</t>
        </is>
      </c>
      <c r="DH48" s="0" t="inlineStr">
        <is>
          <t>7行 0列，源：8 备：16</t>
        </is>
      </c>
      <c r="DJ48" s="0" t="inlineStr">
        <is>
          <t>5行 1列，源：12:30:45 备：</t>
        </is>
      </c>
      <c r="DL48" s="0" t="inlineStr">
        <is>
          <t>6行 0列，源：7 备：14</t>
        </is>
      </c>
      <c r="DN48" s="0" t="inlineStr">
        <is>
          <t>7行 0列，源：8 备：23</t>
        </is>
      </c>
      <c r="DT48" s="0" t="inlineStr">
        <is>
          <t>5行 1列，源：12:30:45 备：</t>
        </is>
      </c>
      <c r="DU48" s="0" t="inlineStr">
        <is>
          <t>11行 2列，源：b'' 备：</t>
        </is>
      </c>
      <c r="DX48" s="0" t="inlineStr">
        <is>
          <t>4行 2列，源：0.0 备：</t>
        </is>
      </c>
      <c r="EC48" s="0" t="inlineStr">
        <is>
          <t>6行 0列，源：7 备：14</t>
        </is>
      </c>
      <c r="EG48" s="0" t="inlineStr">
        <is>
          <t>6行 0列，源：7 备：15</t>
        </is>
      </c>
      <c r="EH48" s="0" t="inlineStr">
        <is>
          <t>4行 2列，源：0.0 备：</t>
        </is>
      </c>
      <c r="EK48" s="0" t="inlineStr">
        <is>
          <t>5行 8列，源：23:59:59.123456 备：</t>
        </is>
      </c>
      <c r="EN48" s="0" t="inlineStr">
        <is>
          <t>5行 4列，源：23:59:59.123000 备：18:10:06.123</t>
        </is>
      </c>
      <c r="EO48" s="0" t="inlineStr">
        <is>
          <t>11行 2列，源：b'          ' 备：5661726961626C65206C656E6774682062696E61</t>
        </is>
      </c>
      <c r="EP48" s="0" t="inlineStr">
        <is>
          <t>4行 2列，源：0.0 备：</t>
        </is>
      </c>
      <c r="ER48" s="0" t="inlineStr">
        <is>
          <t>24行 1列，源：1900-01-02 00:00:00 备：2026-04-17 17:15:00</t>
        </is>
      </c>
      <c r="ES48" s="0" t="inlineStr">
        <is>
          <t>4行 2列，源：0.0 备：</t>
        </is>
      </c>
      <c r="ET48" s="0" t="inlineStr">
        <is>
          <t>5行 1列，源：2063-05-11 10:30:45 -04:00 备：1900-01-01 00:00:00 +00:00</t>
        </is>
      </c>
    </row>
    <row r="49">
      <c r="B49" s="0" t="inlineStr">
        <is>
          <t>YES</t>
        </is>
      </c>
      <c r="C49" s="0" t="inlineStr">
        <is>
          <t>NULL</t>
        </is>
      </c>
      <c r="D49" s="0" t="inlineStr">
        <is>
          <t>NULL</t>
        </is>
      </c>
      <c r="E49" s="0" t="inlineStr">
        <is>
          <t>NULL</t>
        </is>
      </c>
      <c r="F49" s="0" t="inlineStr">
        <is>
          <t>NULL</t>
        </is>
      </c>
      <c r="G49" s="0" t="inlineStr">
        <is>
          <t>NULL</t>
        </is>
      </c>
      <c r="H49" s="0" t="inlineStr">
        <is>
          <t>NULL</t>
        </is>
      </c>
      <c r="I49" s="0" t="inlineStr">
        <is>
          <t>YES!PK__info_tex__3213E83FC088BC6F</t>
        </is>
      </c>
      <c r="J49" s="0" t="inlineStr">
        <is>
          <t>YES! 主键相关索引</t>
        </is>
      </c>
      <c r="K49" s="0" t="inlineStr">
        <is>
          <t xml:space="preserve"> NO!  	 id列源备映射错误，源端为int None位	期望更改为text	实际备端为int None位</t>
        </is>
      </c>
      <c r="AC49" s="0" t="inlineStr">
        <is>
          <t>24行 0列，源：60 备：7</t>
        </is>
      </c>
      <c r="AI49" s="0" t="inlineStr">
        <is>
          <t>7行 1列，源：a 备：X</t>
        </is>
      </c>
      <c r="AM49" s="0" t="inlineStr">
        <is>
          <t>4行 19列，源：False 备：0</t>
        </is>
      </c>
      <c r="AO49" s="0" t="inlineStr">
        <is>
          <t>23行 1列，源：2040-12-25 23:59:59.997000 备：1981-05-11 14:30:59.000</t>
        </is>
      </c>
      <c r="AP49" s="0" t="inlineStr">
        <is>
          <t>24行 0列，源：51 备：168</t>
        </is>
      </c>
      <c r="AR49" s="0" t="inlineStr">
        <is>
          <t>23行 1列，源：2040-12-25 23:59:59.997000 备：1981-05-11 14:30:59.000</t>
        </is>
      </c>
      <c r="AS49" s="0" t="inlineStr">
        <is>
          <t>4行 19列，源：True 备：0</t>
        </is>
      </c>
      <c r="AT49" s="0" t="inlineStr">
        <is>
          <t>24行 0列，源：103 备：16</t>
        </is>
      </c>
      <c r="AU49" s="0" t="inlineStr">
        <is>
          <t xml:space="preserve">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                                                                                                                                                                                                                                                                                                                                                                                                                                                                                                                                                                                                                                                                                                                                                                                                                                                                                                                                                                                                                                                                                                                                                                                                                                                                                                                                                                                                                                                                                                                                                                                                                                                                                                                                                                                                                                                                                                                                                                                                                                                                                                                                                                                                                                                                                                                                                                                                                                                                                                                                                                                                    </t>
        </is>
      </c>
      <c r="AV49" s="0" t="inlineStr">
        <is>
          <t>23行 1列，源：9999-12-31 23:59:59.997000 备：9999-12-31 23:59:59.997</t>
        </is>
      </c>
      <c r="AZ49" s="0" t="inlineStr">
        <is>
          <t>7行 1列，源：a 备：X</t>
        </is>
      </c>
      <c r="BE49" s="0" t="inlineStr">
        <is>
          <t>5行 2列，源：1945-05-11 14:30:45.100000 备：9999-12-31 23:59:59.9</t>
        </is>
      </c>
      <c r="BG49" s="0" t="inlineStr">
        <is>
          <t>2行 16列，源：nan 备：</t>
        </is>
      </c>
      <c r="BI49" s="0" t="inlineStr">
        <is>
          <t>5行 2列，源：1945-05-11 14:30:45.100000 备：1900-01-01 00:00:00.0</t>
        </is>
      </c>
      <c r="BJ49" s="0" t="inlineStr">
        <is>
          <t>3行 13列，源：None 备：987654321098765432105432.1098542000</t>
        </is>
      </c>
      <c r="BL49" s="0" t="inlineStr">
        <is>
          <t>7行 1列，源：试 备：A</t>
        </is>
      </c>
      <c r="BO49" s="0" t="inlineStr">
        <is>
          <t>7行 1列，源：a 备：X</t>
        </is>
      </c>
      <c r="BP49" s="0" t="inlineStr">
        <is>
          <t>11行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S49" s="0" t="inlineStr">
        <is>
          <t>8行 3列，源：€¶I€¶€¶I€¶€¶I€¶€¶I€¶€¶I€¶€¶I€¶€¶I€¶€¶I€¶€¶I€¶€¶I€¶€¶I€¶€¶I€¶€¶I€¶€¶I€¶€¶I€¶€¶I€¶€¶I€¶€¶I€¶€¶I€¶€¶I€¶€¶I€¶€¶I€¶€¶I€¶€¶I€¶€¶I€¶€¶I€¶€¶I€¶€¶I€¶€¶I€¶€¶I€¶€¶I€¶€¶I€¶€¶I€¶€¶I€¶€¶I€¶€¶I€¶€¶I€¶€¶I€¶€¶I€¶€¶I€¶€¶I€¶€¶I€¶€¶I€¶€¶I€¶€¶I€¶€¶I€¶€¶I€¶€¶I€¶€¶I€¶€¶I€¶€¶I€¶€¶I€¶€¶I€¶€¶I€¶€¶I€¶€¶I€¶€¶I€¶€¶I€¶€¶I€¶€¶I€¶€¶I€¶€¶I€¶€¶I€¶€¶I€¶€¶I€¶€¶I€¶€¶I€¶€¶I€¶€¶I€¶€¶I€¶€¶I€¶€¶I€¶€¶I€¶€¶I€¶€¶I€¶€¶I€¶€¶I€¶€¶I€¶€¶I€¶€¶I€¶ 备：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2825628257</t>
        </is>
      </c>
      <c r="BV49" s="0" t="inlineStr">
        <is>
          <t>5行 2列，源：2063-05-11 10:30:45.1 -04:00 备：1900-01-01 00:00:00.0 +00:00</t>
        </is>
      </c>
      <c r="BX49" s="0" t="inlineStr">
        <is>
          <t>5行 2列，源：2063-05-11 10:30:45.1 -04:00 备：2026-04-17 17:18:22.8 +08:00</t>
        </is>
      </c>
      <c r="BY49" s="0" t="inlineStr">
        <is>
          <t>5行 2列，源：2063-05-11 10:30:45.1 -04:00 备：1900-01-01 00:00:00.0 +00:00</t>
        </is>
      </c>
      <c r="CA49" s="0" t="inlineStr">
        <is>
          <t>11行 3列，源：b'                                                                                                                                                                                                        '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49" s="0" t="inlineStr">
        <is>
          <t>5行 2列，源：2063-05-11 10:30:45.1 -04:00 备：1933-05-11 15:30:45.1 +01:00</t>
        </is>
      </c>
      <c r="CD49" s="0" t="inlineStr">
        <is>
          <t>9行 4列，源：None 备：</t>
        </is>
      </c>
      <c r="CE49" s="0" t="inlineStr">
        <is>
          <t>6行 1列，源：2063-03-12 02:00:00 -04:25 备：2000-05-11 00:30:45 +09:00</t>
        </is>
      </c>
      <c r="CF49" s="0" t="inlineStr">
        <is>
          <t>5行 2列，源：12:30:45.100000 备：</t>
        </is>
      </c>
      <c r="CG49" s="0" t="inlineStr">
        <is>
          <t>26行 0列，源：81 备：281</t>
        </is>
      </c>
      <c r="CM49" s="0" t="inlineStr">
        <is>
          <t>4行 3列，源：1234567890.0 备：</t>
        </is>
      </c>
      <c r="CN49" s="0" t="inlineStr">
        <is>
          <t>24行 0列，源：209 备：8</t>
        </is>
      </c>
      <c r="DA49" s="0" t="inlineStr">
        <is>
          <t>4行 4列，源：nan 备：</t>
        </is>
      </c>
      <c r="DB49" s="0" t="inlineStr">
        <is>
          <t>23行 1列，源：2040-12-25 23:59:59.997000 备：1981-05-11 14:30:59.000</t>
        </is>
      </c>
      <c r="DH49" s="0" t="inlineStr">
        <is>
          <t>7行 1列，源：a 备：X</t>
        </is>
      </c>
      <c r="DJ49" s="0" t="inlineStr">
        <is>
          <t>5行 2列，源：12:30:45.100000 备：12:00:00.1</t>
        </is>
      </c>
      <c r="DL49" s="0" t="inlineStr">
        <is>
          <t>6行 1列，源：12:30:45 备：</t>
        </is>
      </c>
      <c r="DN49" s="0" t="inlineStr">
        <is>
          <t>7行 1列，源：试 备：A</t>
        </is>
      </c>
      <c r="DT49" s="0" t="inlineStr">
        <is>
          <t>5行 2列，源：12:30:45.100000 备：12:00:00.1</t>
        </is>
      </c>
      <c r="DU49" s="0" t="inlineStr">
        <is>
          <t>11行 3列，源：b'' 备：</t>
        </is>
      </c>
      <c r="DX49" s="0" t="inlineStr">
        <is>
          <t>4行 3列，源：0.0 备：</t>
        </is>
      </c>
      <c r="EC49" s="0" t="inlineStr">
        <is>
          <t>6行 1列，源：12:30:45 备：</t>
        </is>
      </c>
      <c r="EG49" s="0" t="inlineStr">
        <is>
          <t>6行 1列，源：12:30:45 备：00:00:01</t>
        </is>
      </c>
      <c r="EH49" s="0" t="inlineStr">
        <is>
          <t>4行 3列，源：0.0 备：</t>
        </is>
      </c>
      <c r="EK49" s="0" t="inlineStr">
        <is>
          <t>6行 0列，源：13 备：2</t>
        </is>
      </c>
      <c r="EN49" s="0" t="inlineStr">
        <is>
          <t>5行 5列，源：23:59:59.123500 备：18:10:06.1235</t>
        </is>
      </c>
      <c r="EO49" s="0" t="inlineStr">
        <is>
          <t>11行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P49" s="0" t="inlineStr">
        <is>
          <t>4行 3列，源：0.0 备：</t>
        </is>
      </c>
      <c r="ER49" s="0" t="inlineStr">
        <is>
          <t>25行 0列，源：32 备：26</t>
        </is>
      </c>
      <c r="ES49" s="0" t="inlineStr">
        <is>
          <t>4行 3列，源：0.0 备：</t>
        </is>
      </c>
      <c r="ET49" s="0" t="inlineStr">
        <is>
          <t>5行 2列，源：2063-05-11 10:30:45.1 -04:00 备：1900-01-01 00:00:00.0 +00:00</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YES! 	 c_text列源备映射正确，源端为text 2147483647位	期望更改为text	实际备端为text 2147483647位</t>
        </is>
      </c>
      <c r="AC50" s="0" t="inlineStr">
        <is>
          <t>24行 1列，源：2079-06-05 23:59:00 备：2000-05-11 14:30:00</t>
        </is>
      </c>
      <c r="AI50" s="0" t="inlineStr">
        <is>
          <t>7行 1列，源：a 备：X</t>
        </is>
      </c>
      <c r="AM50" s="0" t="inlineStr">
        <is>
          <t>5行 0列，源：6 备：14</t>
        </is>
      </c>
      <c r="AP50" s="0" t="inlineStr">
        <is>
          <t>24行 1列，源：None 备：2004-12-24 23:59:59.990</t>
        </is>
      </c>
      <c r="AS50" s="0" t="inlineStr">
        <is>
          <t>5行 0列，源：6 备：14</t>
        </is>
      </c>
      <c r="AT50" s="0" t="inlineStr">
        <is>
          <t>24行 1列，源：1753-01-01 00:00:00 备：2002-06-11 23:59:59.993</t>
        </is>
      </c>
      <c r="AU50" s="0" t="inlineStr">
        <is>
          <t>9行 0列，源：10 备：9</t>
        </is>
      </c>
      <c r="AZ50" s="0" t="inlineStr">
        <is>
          <t>7行 1列，源：a 备：X</t>
        </is>
      </c>
      <c r="BE50" s="0" t="inlineStr">
        <is>
          <t>5行 3列，源：1945-05-11 14:30:45.120000 备：9999-12-31 23:59:59.99</t>
        </is>
      </c>
      <c r="BG50" s="0" t="inlineStr">
        <is>
          <t>2行 17列，源：None 备：</t>
        </is>
      </c>
      <c r="BI50" s="0" t="inlineStr">
        <is>
          <t>5行 3列，源：1945-05-11 14:30:45.120000 备：1900-01-01 00:00:00.00</t>
        </is>
      </c>
      <c r="BJ50" s="0" t="inlineStr">
        <is>
          <t>3行 14列，源：None 备：1234567012456.78</t>
        </is>
      </c>
      <c r="BL50" s="0" t="inlineStr">
        <is>
          <t>7行 1列，源：试 备：A</t>
        </is>
      </c>
      <c r="BO50" s="0" t="inlineStr">
        <is>
          <t>7行 1列，源：a 备：X</t>
        </is>
      </c>
      <c r="BP50" s="0" t="inlineStr">
        <is>
          <t>12行 0列，源：23 备：24</t>
        </is>
      </c>
      <c r="BS50" s="0" t="inlineStr">
        <is>
          <t>9行 0列，源：10 备：9</t>
        </is>
      </c>
      <c r="BV50" s="0" t="inlineStr">
        <is>
          <t>5行 3列，源：2063-05-11 10:30:45.12 -04:00 备：1900-01-01 00:00:00.00 +00:00</t>
        </is>
      </c>
      <c r="BX50" s="0" t="inlineStr">
        <is>
          <t>5行 3列，源：2063-05-11 10:30:45.12 -04:00 备：2026-04-17 17:18:22.75 +08:00</t>
        </is>
      </c>
      <c r="BY50" s="0" t="inlineStr">
        <is>
          <t>5行 3列，源：2063-05-11 10:30:45.12 -04:00 备：1900-01-01 00:00:00.00 +00:00</t>
        </is>
      </c>
      <c r="CA50" s="0" t="inlineStr">
        <is>
          <t>12行 0列，源：55 备：4</t>
        </is>
      </c>
      <c r="CB50" s="0" t="inlineStr">
        <is>
          <t>5行 3列，源：2063-05-11 10:30:45.12 -04:00 备：1933-05-11 15:30:45.12 +01:00</t>
        </is>
      </c>
      <c r="CD50" s="0" t="inlineStr">
        <is>
          <t>9行 6列，源：None 备：</t>
        </is>
      </c>
      <c r="CE50" s="0" t="inlineStr">
        <is>
          <t>6行 2列，源：2063-03-12 02:00:00.0 -04:25 备：2000-05-11 00:30:45.1 +09:00</t>
        </is>
      </c>
      <c r="CF50" s="0" t="inlineStr">
        <is>
          <t>5行 3列，源：12:30:45.120000 备：12:00:00.12</t>
        </is>
      </c>
      <c r="CG50" s="0" t="inlineStr">
        <is>
          <t>27行 0列，源：122 备：29</t>
        </is>
      </c>
      <c r="CM50" s="0" t="inlineStr">
        <is>
          <t>4行 4列，源：1234567890123456.0 备：</t>
        </is>
      </c>
      <c r="CN50" s="0" t="inlineStr">
        <is>
          <t>24行 1列，源：9999-12-30 备：0001-01-02</t>
        </is>
      </c>
      <c r="DA50" s="0" t="inlineStr">
        <is>
          <t>4行 5列，源：None 备：</t>
        </is>
      </c>
      <c r="DH50" s="0" t="inlineStr">
        <is>
          <t>7行 1列，源：a 备：X</t>
        </is>
      </c>
      <c r="DJ50" s="0" t="inlineStr">
        <is>
          <t>5行 3列，源：12:30:45.120000 备：</t>
        </is>
      </c>
      <c r="DL50" s="0" t="inlineStr">
        <is>
          <t>6行 2列，源：12:30:45.100000 备：12:00:00.1</t>
        </is>
      </c>
      <c r="DN50" s="0" t="inlineStr">
        <is>
          <t>7行 1列，源：试 备：A</t>
        </is>
      </c>
      <c r="DT50" s="0" t="inlineStr">
        <is>
          <t>5行 3列，源：12:30:45.120000 备：</t>
        </is>
      </c>
      <c r="DU50" s="0" t="inlineStr">
        <is>
          <t>12行 0列，源：23 备：24</t>
        </is>
      </c>
      <c r="DX50" s="0" t="inlineStr">
        <is>
          <t>4行 4列，源：0.0 备：</t>
        </is>
      </c>
      <c r="EC50" s="0" t="inlineStr">
        <is>
          <t>6行 2列，源：12:30:45.100000 备：12:00:00.1</t>
        </is>
      </c>
      <c r="EG50" s="0" t="inlineStr">
        <is>
          <t>6行 2列，源：12:30:45.100000 备：05:44:11.1</t>
        </is>
      </c>
      <c r="EH50" s="0" t="inlineStr">
        <is>
          <t>4行 4列，源：0.0 备：</t>
        </is>
      </c>
      <c r="EK50" s="0" t="inlineStr">
        <is>
          <t>6行 1列，源：None 备：00:00:00</t>
        </is>
      </c>
      <c r="EN50" s="0" t="inlineStr">
        <is>
          <t>5行 6列，源：23:59:59.123460 备：18:10:06.12346</t>
        </is>
      </c>
      <c r="EO50" s="0" t="inlineStr">
        <is>
          <t>12行 0列，源：55 备：53</t>
        </is>
      </c>
      <c r="EP50" s="0" t="inlineStr">
        <is>
          <t>4行 4列，源：0.0 备：</t>
        </is>
      </c>
      <c r="ER50" s="0" t="inlineStr">
        <is>
          <t>25行 1列，源：1990-11-26 00:01:00 备：2020-03-01 00:00:00</t>
        </is>
      </c>
      <c r="ES50" s="0" t="inlineStr">
        <is>
          <t>4行 4列，源：0.0 备：</t>
        </is>
      </c>
      <c r="ET50" s="0" t="inlineStr">
        <is>
          <t>5行 3列，源：2063-05-11 10:30:45.12 -04:00 备：1900-01-01 00:00:00.00 +00:00</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c_ntext列源备映射错误，源端为ntext 2147483646位	期望更改为text	实际备端为ntext 2147483646位</t>
        </is>
      </c>
      <c r="AC51" s="0" t="inlineStr">
        <is>
          <t>25行 0列，源：63 备：8</t>
        </is>
      </c>
      <c r="AI51" s="0" t="inlineStr">
        <is>
          <t xml:space="preserve">7行 2列，源：this is a testcaseyf 备：𧿹䗪䒦𠀀              </t>
        </is>
      </c>
      <c r="AM51" s="0" t="inlineStr">
        <is>
          <t>5行 2列，源：255.0 备：</t>
        </is>
      </c>
      <c r="AP51" s="0" t="inlineStr">
        <is>
          <t>25行 0列，源：52 备：169</t>
        </is>
      </c>
      <c r="AS51" s="0" t="inlineStr">
        <is>
          <t>5行 2列，源：0.0 备：</t>
        </is>
      </c>
      <c r="AT51" s="0" t="inlineStr">
        <is>
          <t>25行 0列，源：106 备：17</t>
        </is>
      </c>
      <c r="AU51" s="0" t="inlineStr">
        <is>
          <t>9行 1列，源：￥ 备：英</t>
        </is>
      </c>
      <c r="AZ51" s="0" t="inlineStr">
        <is>
          <t xml:space="preserve">7行 2列，源：this is a testcaseyf 备：𧿹䗪䒦𠀀              </t>
        </is>
      </c>
      <c r="BE51" s="0" t="inlineStr">
        <is>
          <t>5行 4列，源：1945-05-11 14:30:45.123000 备：9999-12-31 23:59:59.999</t>
        </is>
      </c>
      <c r="BG51" s="0" t="inlineStr">
        <is>
          <t>2行 18列，源：None 备：</t>
        </is>
      </c>
      <c r="BI51" s="0" t="inlineStr">
        <is>
          <t>5行 4列，源：1945-05-11 14:30:45.123000 备：1900-01-01 00:00:00.000</t>
        </is>
      </c>
      <c r="BJ51" s="0" t="inlineStr">
        <is>
          <t>3行 15列，源：nan 备：</t>
        </is>
      </c>
      <c r="BL51" s="0" t="inlineStr">
        <is>
          <t>7行 2列，源：更新生僻字                备：THIS IS A TESTCASEYF</t>
        </is>
      </c>
      <c r="BO51" s="0" t="inlineStr">
        <is>
          <t>7行 2列，源：this is a test 备：𧿹䗪䒦𠀀</t>
        </is>
      </c>
      <c r="BP51" s="0" t="inlineStr">
        <is>
          <t>12行 1列，源：b'\x00' 备：20</t>
        </is>
      </c>
      <c r="BS51" s="0" t="inlineStr">
        <is>
          <t>9行 1列，源：￥ 备：英</t>
        </is>
      </c>
      <c r="BV51" s="0" t="inlineStr">
        <is>
          <t>5行 4列，源：2063-05-11 10:30:45.123 -04:00 备：1900-01-01 00:00:00.000 +00:00</t>
        </is>
      </c>
      <c r="BX51" s="0" t="inlineStr">
        <is>
          <t>5行 4列，源：2063-05-11 10:30:45.123 -04:00 备：2026-04-17 17:18:22.755 +08:00</t>
        </is>
      </c>
      <c r="BY51" s="0" t="inlineStr">
        <is>
          <t>5行 4列，源：2063-05-11 10:30:45.123 -04:00 备：1900-01-01 00:00:00.000 +00:00</t>
        </is>
      </c>
      <c r="CA51" s="0" t="inlineStr">
        <is>
          <t>12行 1列，源：b'A' 备：20</t>
        </is>
      </c>
      <c r="CB51" s="0" t="inlineStr">
        <is>
          <t>5行 4列，源：2063-05-11 10:30:45.123 -04:00 备：1933-05-11 15:30:45.123 +01:00</t>
        </is>
      </c>
      <c r="CD51" s="0" t="inlineStr">
        <is>
          <t>9行 8列，源：None 备：</t>
        </is>
      </c>
      <c r="CE51" s="0" t="inlineStr">
        <is>
          <t>6行 3列，源：2063-03-12 02:00:00.00 -04:25 备：2000-05-11 00:30:45.12 +09:00</t>
        </is>
      </c>
      <c r="CF51" s="0" t="inlineStr">
        <is>
          <t>5行 4列，源：12:30:45.120000 备：</t>
        </is>
      </c>
      <c r="CG51" s="0" t="inlineStr">
        <is>
          <t>27行 1列，源：1900-01-01 备：9999-12-30</t>
        </is>
      </c>
      <c r="CM51" s="0" t="inlineStr">
        <is>
          <t>4行 15列，源：6.62607015e-34 备：</t>
        </is>
      </c>
      <c r="CN51" s="0" t="inlineStr">
        <is>
          <t>25行 0列，源：211 备：9</t>
        </is>
      </c>
      <c r="DA51" s="0" t="inlineStr">
        <is>
          <t>4行 6列，源：None 备：</t>
        </is>
      </c>
      <c r="DH51" s="0" t="inlineStr">
        <is>
          <t>7行 2列，源：this is a testcaseyf 备：𧿹䗪䒦𠀀</t>
        </is>
      </c>
      <c r="DJ51" s="0" t="inlineStr">
        <is>
          <t>5行 4列，源：12:30:45.120000 备：12:00:00.123</t>
        </is>
      </c>
      <c r="DL51" s="0" t="inlineStr">
        <is>
          <t>6行 3列，源：12:30:45.120000 备：</t>
        </is>
      </c>
      <c r="DN51" s="0" t="inlineStr">
        <is>
          <t>7行 2列，源：更新生僻字 备：THIS IS A TESTCASEYF</t>
        </is>
      </c>
      <c r="DT51" s="0" t="inlineStr">
        <is>
          <t>5行 4列，源：12:30:45.120000 备：12:00:00.123</t>
        </is>
      </c>
      <c r="DU51" s="0" t="inlineStr">
        <is>
          <t>12行 1列，源：b'' 备：20</t>
        </is>
      </c>
      <c r="DX51" s="0" t="inlineStr">
        <is>
          <t>4行 5列，源：None 备：-457</t>
        </is>
      </c>
      <c r="EC51" s="0" t="inlineStr">
        <is>
          <t>6行 3列，源：12:30:45.120000 备：</t>
        </is>
      </c>
      <c r="EG51" s="0" t="inlineStr">
        <is>
          <t>6行 3列，源：12:30:45.120000 备：00:00:01.12</t>
        </is>
      </c>
      <c r="EH51" s="0" t="inlineStr">
        <is>
          <t>4行 5列，源：None 备：</t>
        </is>
      </c>
      <c r="EK51" s="0" t="inlineStr">
        <is>
          <t>6行 3列，源：None 备：00:00:00.00</t>
        </is>
      </c>
      <c r="EN51" s="0" t="inlineStr">
        <is>
          <t>5行 7列，源：23:59:59.123457 备：18:10:06.123457</t>
        </is>
      </c>
      <c r="EO51" s="0" t="inlineStr">
        <is>
          <t>12行 1列，源：b'A' 备：</t>
        </is>
      </c>
      <c r="EP51" s="0" t="inlineStr">
        <is>
          <t>4行 5列，源：None 备：-457</t>
        </is>
      </c>
      <c r="ER51" s="0" t="inlineStr">
        <is>
          <t>26行 0列，源：33 备：27</t>
        </is>
      </c>
      <c r="ES51" s="0" t="inlineStr">
        <is>
          <t>4行 5列，源：None 备：</t>
        </is>
      </c>
      <c r="ET51" s="0" t="inlineStr">
        <is>
          <t>5行 4列，源：2063-05-11 10:30:45.123 -04:00 备：1900-01-01 00:00:00.000 +00:00</t>
        </is>
      </c>
    </row>
    <row r="52">
      <c r="A52" s="0" t="inlineStr">
        <is>
          <t>info_sdt_dml_batch1_pk_drp1</t>
        </is>
      </c>
      <c r="K52" s="0" t="inlineStr">
        <is>
          <t>[0;34m info_sdt_dml_batch1_pk_drp1 [0m源备字段数相同，源端字段：2 	备端字段2</t>
        </is>
      </c>
      <c r="W52" s="0" t="inlineStr">
        <is>
          <t>YES 源备无差异</t>
        </is>
      </c>
      <c r="X52" s="0">
        <f>A52</f>
        <v/>
      </c>
      <c r="AC52" s="0" t="inlineStr">
        <is>
          <t>25行 1列，源：2025-05-11 12:00:00 备：2068-05-11 14:31:00</t>
        </is>
      </c>
      <c r="AI52" s="0" t="inlineStr">
        <is>
          <t xml:space="preserve">7行 2列，源：this is a testcaseyf 备：𧿹䗪䒦𠀀              </t>
        </is>
      </c>
      <c r="AM52" s="0" t="inlineStr">
        <is>
          <t>5行 5列，源：None 备：</t>
        </is>
      </c>
      <c r="AP52" s="0" t="inlineStr">
        <is>
          <t>25行 1列，源：1900-01-01 00:00:00 备：1753-01-02 00:00:00.000</t>
        </is>
      </c>
      <c r="AS52" s="0" t="inlineStr">
        <is>
          <t>5行 3列，源：0 备：123456</t>
        </is>
      </c>
      <c r="AT52" s="0" t="inlineStr">
        <is>
          <t>25行 1列，源：2020-02-29 19:27:31.123000 备：2003-11-04 23:59:59.990</t>
        </is>
      </c>
      <c r="AU52" s="0" t="inlineStr">
        <is>
          <t>9行 1列，源：￥ 备：英</t>
        </is>
      </c>
      <c r="AZ52" s="0" t="inlineStr">
        <is>
          <t xml:space="preserve">7行 2列，源：this is a testcaseyf 备：𧿹䗪䒦𠀀              </t>
        </is>
      </c>
      <c r="BE52" s="0" t="inlineStr">
        <is>
          <t>5行 5列，源：1945-05-11 14:30:45.123500 备：9999-12-31 23:59:59.9999</t>
        </is>
      </c>
      <c r="BG52" s="0" t="inlineStr">
        <is>
          <t>2行 19列，源：None 备：</t>
        </is>
      </c>
      <c r="BI52" s="0" t="inlineStr">
        <is>
          <t>5行 5列，源：1945-05-11 14:30:45.123500 备：1900-01-01 00:00:00.0000</t>
        </is>
      </c>
      <c r="BJ52" s="0" t="inlineStr">
        <is>
          <t>3行 16列，源：nan 备：</t>
        </is>
      </c>
      <c r="BL52" s="0" t="inlineStr">
        <is>
          <t>7行 2列，源：更新生僻字                备：THIS IS A TESTCASEYF</t>
        </is>
      </c>
      <c r="BO52" s="0" t="inlineStr">
        <is>
          <t>7行 2列，源：this is a test 备：𧿹䗪䒦𠀀</t>
        </is>
      </c>
      <c r="BP52" s="0" t="inlineStr">
        <is>
          <t>12行 2列，源：b'\x00\x00\x00\x00\x00\x00\x00\x00\x00\x00\x00\x00\x00\x00\x00\x00\x00\x00\x00\x00' 备：2020202020202020202020202020202020202020</t>
        </is>
      </c>
      <c r="BS52" s="0" t="inlineStr">
        <is>
          <t>9行 1列，源：￥ 备：英</t>
        </is>
      </c>
      <c r="BV52" s="0" t="inlineStr">
        <is>
          <t>5行 5列，源：2063-05-11 10:30:45.1235 -04:00 备：1900-01-01 00:00:00.0000 +00:00</t>
        </is>
      </c>
      <c r="BX52" s="0" t="inlineStr">
        <is>
          <t>5行 5列，源：2063-05-11 10:30:45.1235 -04:00 备：2026-04-17 17:18:22.7550 +08:00</t>
        </is>
      </c>
      <c r="BY52" s="0" t="inlineStr">
        <is>
          <t>5行 5列，源：2063-05-11 10:30:45.1235 -04:00 备：1900-01-01 00:00:00.0000 +00:00</t>
        </is>
      </c>
      <c r="CA52" s="0" t="inlineStr">
        <is>
          <t>12行 2列，源：b'Variable length bina' 备：2020202020202020202020202020202020202020</t>
        </is>
      </c>
      <c r="CB52" s="0" t="inlineStr">
        <is>
          <t>5行 5列，源：2063-05-11 10:30:45.1235 -04:00 备：1933-05-11 15:30:45.1235 +01:00</t>
        </is>
      </c>
      <c r="CD52" s="0" t="inlineStr">
        <is>
          <t>10行 0列，源：11 备：7</t>
        </is>
      </c>
      <c r="CE52" s="0" t="inlineStr">
        <is>
          <t>6行 4列，源：2063-03-12 02:00:00.000 -04:25 备：2000-05-11 00:30:45.123 +09:00</t>
        </is>
      </c>
      <c r="CF52" s="0" t="inlineStr">
        <is>
          <t>5行 5列，源：12:30:45.120000 备：12:00:00.1235</t>
        </is>
      </c>
      <c r="CG52" s="0" t="inlineStr">
        <is>
          <t>28行 0列，源：123 备：3</t>
        </is>
      </c>
      <c r="CM52" s="0" t="inlineStr">
        <is>
          <t>4行 16列，源：299792448.0 备：</t>
        </is>
      </c>
      <c r="CN52" s="0" t="inlineStr">
        <is>
          <t>25行 1列，源：2068-06-01 备：9999-12-30</t>
        </is>
      </c>
      <c r="DA52" s="0" t="inlineStr">
        <is>
          <t>4行 7列，源：None 备：</t>
        </is>
      </c>
      <c r="DH52" s="0" t="inlineStr">
        <is>
          <t>7行 2列，源：this is a testcaseyf 备：𧿹䗪䒦𠀀</t>
        </is>
      </c>
      <c r="DJ52" s="0" t="inlineStr">
        <is>
          <t>5行 5列，源：12:30:45.120000 备：</t>
        </is>
      </c>
      <c r="DL52" s="0" t="inlineStr">
        <is>
          <t>6行 4列，源：12:30:45.123000 备：12:00:00.123</t>
        </is>
      </c>
      <c r="DN52" s="0" t="inlineStr">
        <is>
          <t>7行 2列，源：更新生僻字 备：THIS IS A TESTCASEYF</t>
        </is>
      </c>
      <c r="DT52" s="0" t="inlineStr">
        <is>
          <t>5行 5列，源：12:30:45.120000 备：</t>
        </is>
      </c>
      <c r="DU52" s="0" t="inlineStr">
        <is>
          <t>12行 2列，源：b'' 备：20202020202020202020</t>
        </is>
      </c>
      <c r="DX52" s="0" t="inlineStr">
        <is>
          <t>4行 6列，源：None 备：-123456780123456781234589012345678</t>
        </is>
      </c>
      <c r="EC52" s="0" t="inlineStr">
        <is>
          <t>6行 4列，源：12:30:45.123000 备：12:00:00.123</t>
        </is>
      </c>
      <c r="EG52" s="0" t="inlineStr">
        <is>
          <t>6行 4列，源：12:30:45.123000 备：05:44:11.123</t>
        </is>
      </c>
      <c r="EH52" s="0" t="inlineStr">
        <is>
          <t>4行 6列，源：None 备：</t>
        </is>
      </c>
      <c r="EK52" s="0" t="inlineStr">
        <is>
          <t>6行 5列，源：None 备：00:00:00.0000</t>
        </is>
      </c>
      <c r="EN52" s="0" t="inlineStr">
        <is>
          <t>5行 8列，源：23:59:59.123456 备：18:10:06.1234567</t>
        </is>
      </c>
      <c r="EO52" s="0" t="inlineStr">
        <is>
          <t>12行 2列，源：b'Variable length bina' 备：</t>
        </is>
      </c>
      <c r="EP52" s="0" t="inlineStr">
        <is>
          <t>4行 6列，源：None 备：-123456780123456781234589012345678</t>
        </is>
      </c>
      <c r="ER52" s="0" t="inlineStr">
        <is>
          <t>26行 1列，源：2025-05-11 12:00:00 备：2000-05-11 14:30:00</t>
        </is>
      </c>
      <c r="ES52" s="0" t="inlineStr">
        <is>
          <t>4行 6列，源：None 备：</t>
        </is>
      </c>
      <c r="ET52" s="0" t="inlineStr">
        <is>
          <t>5行 5列，源：2063-05-11 10:30:45.1235 -04:00 备：1900-01-01 00:00:00.0000 +00:00</t>
        </is>
      </c>
    </row>
    <row r="53">
      <c r="B53" s="0" t="inlineStr">
        <is>
          <t>YES</t>
        </is>
      </c>
      <c r="C53" s="0" t="inlineStr">
        <is>
          <t>NULL</t>
        </is>
      </c>
      <c r="D53" s="0" t="inlineStr">
        <is>
          <t>NULL</t>
        </is>
      </c>
      <c r="E53" s="0" t="inlineStr">
        <is>
          <t>NULL</t>
        </is>
      </c>
      <c r="F53" s="0" t="inlineStr">
        <is>
          <t>NULL</t>
        </is>
      </c>
      <c r="G53" s="0" t="inlineStr">
        <is>
          <t>NULL</t>
        </is>
      </c>
      <c r="H53" s="0" t="inlineStr">
        <is>
          <t>NULL</t>
        </is>
      </c>
      <c r="I53" s="0" t="inlineStr">
        <is>
          <t>YES!PK__info_sdt__3213E83FF2DD07F3</t>
        </is>
      </c>
      <c r="J53" s="0" t="inlineStr">
        <is>
          <t>YES! 主键相关索引</t>
        </is>
      </c>
      <c r="K53" s="0" t="inlineStr">
        <is>
          <t xml:space="preserve"> NO!  	 id列源备映射错误，源端为int None位	期望更改为text	实际备端为int None位</t>
        </is>
      </c>
      <c r="AC53" s="0" t="inlineStr">
        <is>
          <t>26行 0列，源：64 备：9</t>
        </is>
      </c>
      <c r="AI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M53" s="0" t="inlineStr">
        <is>
          <t>5行 6列，源：None 备：99999999999999999999999999999999</t>
        </is>
      </c>
      <c r="AP53" s="0" t="inlineStr">
        <is>
          <t>26行 0列，源：53 备：17</t>
        </is>
      </c>
      <c r="AS53" s="0" t="inlineStr">
        <is>
          <t>5行 4列，源：0 备：1000000</t>
        </is>
      </c>
      <c r="AT53" s="0" t="inlineStr">
        <is>
          <t>26行 0列，源：107 备：18</t>
        </is>
      </c>
      <c r="AU53" s="0" t="inlineStr">
        <is>
          <t xml:space="preserve">9行 2列，源：𧿹䗪䒦𠀀               备：€¶I€¶               </t>
        </is>
      </c>
      <c r="AZ53"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E53" s="0" t="inlineStr">
        <is>
          <t>5行 6列，源：1945-05-11 14:30:45.123460 备：9999-12-31 23:59:59.99999</t>
        </is>
      </c>
      <c r="BG53" s="0" t="inlineStr">
        <is>
          <t>3行 0列，源：13 备：14</t>
        </is>
      </c>
      <c r="BI53" s="0" t="inlineStr">
        <is>
          <t>5行 6列，源：1945-05-11 14:30:45.123460 备：1900-01-01 00:00:00.00000</t>
        </is>
      </c>
      <c r="BJ53" s="0" t="inlineStr">
        <is>
          <t>3行 17列，源：None 备：</t>
        </is>
      </c>
      <c r="BL53"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P53" s="0" t="inlineStr">
        <is>
          <t>12行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S53" s="0" t="inlineStr">
        <is>
          <t>9行 2列，源：𧿹䗪䒦𠀀 备：€¶I€¶</t>
        </is>
      </c>
      <c r="BV53" s="0" t="inlineStr">
        <is>
          <t>5行 6列，源：2063-05-11 10:30:45.12346 -04:00 备：1900-01-01 00:00:00.00000 +00:00</t>
        </is>
      </c>
      <c r="BX53" s="0" t="inlineStr">
        <is>
          <t>5行 6列，源：2063-05-11 10:30:45.12346 -04:00 备：2026-04-17 17:18:22.75495 +08:00</t>
        </is>
      </c>
      <c r="BY53" s="0" t="inlineStr">
        <is>
          <t>5行 6列，源：2063-05-11 10:30:45.12346 -04:00 备：1900-01-01 00:00:00.00000 +00:00</t>
        </is>
      </c>
      <c r="CA53" s="0" t="inlineStr">
        <is>
          <t>12行 3列，源：b'TestTestTestTestTestTestTestTestTestTestTestTestTestTestTestTestTestTestTestTestTestTestTestTestTestTestTestTestTestTestTestTestTestTestTestTestTestTestTestTestTestTestTestTestTestTestTestTestTestTest'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B53" s="0" t="inlineStr">
        <is>
          <t>5行 6列，源：2063-05-11 10:30:45.12346 -04:00 备：1933-05-11 15:30:45.12346 +01:00</t>
        </is>
      </c>
      <c r="CD53" s="0" t="inlineStr">
        <is>
          <t>10行 2列，源：None 备：</t>
        </is>
      </c>
      <c r="CE53" s="0" t="inlineStr">
        <is>
          <t>6行 5列，源：2063-03-12 02:00:00.0000 -04:25 备：2000-05-11 00:30:45.1235 +09:00</t>
        </is>
      </c>
      <c r="CF53" s="0" t="inlineStr">
        <is>
          <t>5行 6列，源：12:30:45.120000 备：</t>
        </is>
      </c>
      <c r="CG53" s="0" t="inlineStr">
        <is>
          <t>29行 0列，源：126 备：30</t>
        </is>
      </c>
      <c r="CM53" s="0" t="inlineStr">
        <is>
          <t>4行 19列，源：True 备：</t>
        </is>
      </c>
      <c r="DA53" s="0" t="inlineStr">
        <is>
          <t>4行 9列，源：None 备：</t>
        </is>
      </c>
      <c r="DH53"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J53" s="0" t="inlineStr">
        <is>
          <t>5行 6列，源：12:30:45.120000 备：12:00:00.12346</t>
        </is>
      </c>
      <c r="DL53" s="0" t="inlineStr">
        <is>
          <t>6行 5列，源：12:30:45.123000 备：</t>
        </is>
      </c>
      <c r="DN53"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53" s="0" t="inlineStr">
        <is>
          <t>5行 6列，源：12:30:45.120000 备：12:00:00.12346</t>
        </is>
      </c>
      <c r="DU53" s="0" t="inlineStr">
        <is>
          <t>12行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X53" s="0" t="inlineStr">
        <is>
          <t>4行 7列，源：None 备：-0.45678901234792345678901456789010000000</t>
        </is>
      </c>
      <c r="EC53" s="0" t="inlineStr">
        <is>
          <t>6行 5列，源：12:30:45.123000 备：</t>
        </is>
      </c>
      <c r="EG53" s="0" t="inlineStr">
        <is>
          <t>6行 5列，源：12:30:45.123000 备：00:00:01.1235</t>
        </is>
      </c>
      <c r="EH53" s="0" t="inlineStr">
        <is>
          <t>4行 7列，源：None 备：</t>
        </is>
      </c>
      <c r="EK53" s="0" t="inlineStr">
        <is>
          <t>6行 7列，源：None 备：00:00:00.000000</t>
        </is>
      </c>
      <c r="EN53" s="0" t="inlineStr">
        <is>
          <t>6行 0列，源：13 备：4</t>
        </is>
      </c>
      <c r="EO53" s="0" t="inlineStr">
        <is>
          <t>12行 3列，源：b'TestTestTestTestTestTestTestTestTestTestTestTestTestTestTestTestTestTestTestTestTestTestTestTestTestTestTestTestTestTestTestTestTestTestTestTestTestTestTestTestTestTestTestTestTestTestTestTestTestTest' 备：</t>
        </is>
      </c>
      <c r="EP53" s="0" t="inlineStr">
        <is>
          <t>4行 7列，源：None 备：-0.45678901234792345678901456789010000000</t>
        </is>
      </c>
      <c r="ER53" s="0" t="inlineStr">
        <is>
          <t>27行 0列，源：34 备：28</t>
        </is>
      </c>
      <c r="ES53" s="0" t="inlineStr">
        <is>
          <t>4行 7列，源：None 备：</t>
        </is>
      </c>
      <c r="ET53" s="0" t="inlineStr">
        <is>
          <t>5行 6列，源：2063-05-11 10:30:45.12346 -04:00 备：1900-01-01 00:00:00.00000 +00:00</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c_sdt列源备映射错误，源端为smalldatetime None位	期望更改为text	实际备端为smalldatetime None位</t>
        </is>
      </c>
      <c r="AC54" s="0" t="inlineStr">
        <is>
          <t>26行 1列，源：2023-12-25 23:59:00 备：1981-05-11 14:31:00</t>
        </is>
      </c>
      <c r="AI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AM54" s="0" t="inlineStr">
        <is>
          <t>5行 7列，源：None 备：0.99999999999999999999999999999900000000</t>
        </is>
      </c>
      <c r="AP54" s="0" t="inlineStr">
        <is>
          <t>26行 1列，源：1753-01-01 00:00:00 备：2003-11-04 23:59:59.990</t>
        </is>
      </c>
      <c r="AS54" s="0" t="inlineStr">
        <is>
          <t>5行 5列，源：None 备：</t>
        </is>
      </c>
      <c r="AT54" s="0" t="inlineStr">
        <is>
          <t>26行 1列，源：2000-05-11 14:30:29 备：2004-12-24 23:59:59.990</t>
        </is>
      </c>
      <c r="AU54" s="0" t="inlineStr">
        <is>
          <t xml:space="preserve">9行 2列，源：𧿹䗪䒦𠀀               备：€¶I€¶               </t>
        </is>
      </c>
      <c r="AZ54" s="0" t="inlineStr">
        <is>
          <t xml:space="preserve">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t>
        </is>
      </c>
      <c r="BE54" s="0" t="inlineStr">
        <is>
          <t>5行 7列，源：1945-05-11 14:30:45.123457 备：9999-12-31 23:59:59.999999</t>
        </is>
      </c>
      <c r="BG54" s="0" t="inlineStr">
        <is>
          <t>3行 1列，源：nan 备：</t>
        </is>
      </c>
      <c r="BI54" s="0" t="inlineStr">
        <is>
          <t>5行 7列，源：1945-05-11 14:30:45.123457 备：1900-01-01 00:00:00.000000</t>
        </is>
      </c>
      <c r="BJ54" s="0" t="inlineStr">
        <is>
          <t>3行 18列，源：None 备：</t>
        </is>
      </c>
      <c r="BL54" s="0" t="inlineStr">
        <is>
          <t xml:space="preserve">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BP54" s="0" t="inlineStr">
        <is>
          <t>13行 0列，源：24 备：25</t>
        </is>
      </c>
      <c r="BS54" s="0" t="inlineStr">
        <is>
          <t>9行 2列，源：𧿹䗪䒦𠀀 备：€¶I€¶</t>
        </is>
      </c>
      <c r="BV54" s="0" t="inlineStr">
        <is>
          <t>5行 7列，源：2063-05-11 10:30:45.123457 -04:00 备：1900-01-01 00:00:00.000000 +00:00</t>
        </is>
      </c>
      <c r="BX54" s="0" t="inlineStr">
        <is>
          <t>5行 7列，源：2063-05-11 10:30:45.123457 -04:00 备：2026-04-17 17:18:22.754952 +08:00</t>
        </is>
      </c>
      <c r="BY54" s="0" t="inlineStr">
        <is>
          <t>5行 7列，源：2063-05-11 10:30:45.123457 -04:00 备：1900-01-01 00:00:00.000000 +00:00</t>
        </is>
      </c>
      <c r="CA54" s="0" t="inlineStr">
        <is>
          <t>13行 0列，源：56 备：5</t>
        </is>
      </c>
      <c r="CB54" s="0" t="inlineStr">
        <is>
          <t>5行 7列，源：2063-05-11 10:30:45.123457 -04:00 备：1933-05-11 15:30:45.123457 +01:00</t>
        </is>
      </c>
      <c r="CD54" s="0" t="inlineStr">
        <is>
          <t>10行 4列，源：None 备：</t>
        </is>
      </c>
      <c r="CE54" s="0" t="inlineStr">
        <is>
          <t>6行 6列，源：2063-03-12 02:00:00.00000 -04:25 备：2000-05-11 00:30:45.12346 +09:00</t>
        </is>
      </c>
      <c r="CF54" s="0" t="inlineStr">
        <is>
          <t>5行 7列，源：12:30:45.120000 备：12:00:00.123457</t>
        </is>
      </c>
      <c r="CG54" s="0" t="inlineStr">
        <is>
          <t>29行 1列，源：2020-02-29 备：1990-05-11</t>
        </is>
      </c>
      <c r="CM54" s="0" t="inlineStr">
        <is>
          <t>5行 0列，源：6 备：14</t>
        </is>
      </c>
      <c r="DA54" s="0" t="inlineStr">
        <is>
          <t>4行 10列，源：None 备：</t>
        </is>
      </c>
      <c r="DH54" s="0" t="inlineStr">
        <is>
          <t>7行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t>
        </is>
      </c>
      <c r="DJ54" s="0" t="inlineStr">
        <is>
          <t>5行 7列，源：12:30:45.120000 备：</t>
        </is>
      </c>
      <c r="DL54" s="0" t="inlineStr">
        <is>
          <t>6行 6列，源：12:30:45.123000 备：12:00:00.12346</t>
        </is>
      </c>
      <c r="DN54" s="0" t="inlineStr">
        <is>
          <t>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54" s="0" t="inlineStr">
        <is>
          <t>5行 7列，源：12:30:45.120000 备：</t>
        </is>
      </c>
      <c r="DU54" s="0" t="inlineStr">
        <is>
          <t>13行 0列，源：24 备：25</t>
        </is>
      </c>
      <c r="DX54" s="0" t="inlineStr">
        <is>
          <t>4行 8列，源：None 备：-123456789012347890345678.9874321000</t>
        </is>
      </c>
      <c r="EC54" s="0" t="inlineStr">
        <is>
          <t>6行 6列，源：12:30:45.123000 备：12:00:00.12346</t>
        </is>
      </c>
      <c r="EG54" s="0" t="inlineStr">
        <is>
          <t>6行 6列，源：12:30:45.123000 备：05:44:11.12346</t>
        </is>
      </c>
      <c r="EH54" s="0" t="inlineStr">
        <is>
          <t>4行 8列，源：None 备：</t>
        </is>
      </c>
      <c r="EK54" s="0" t="inlineStr">
        <is>
          <t>7行 0列，源：14 备：4</t>
        </is>
      </c>
      <c r="EN54" s="0" t="inlineStr">
        <is>
          <t>6行 1列，源：None 备：09:12:34</t>
        </is>
      </c>
      <c r="EO54" s="0" t="inlineStr">
        <is>
          <t>13行 0列，源：56 备：54</t>
        </is>
      </c>
      <c r="EP54" s="0" t="inlineStr">
        <is>
          <t>4行 8列，源：None 备：-123456789012347890345678.9874321000</t>
        </is>
      </c>
      <c r="ER54" s="0" t="inlineStr">
        <is>
          <t>27行 1列，源：2023-12-25 23:59:00 备：2068-05-11 14:31:00</t>
        </is>
      </c>
      <c r="ES54" s="0" t="inlineStr">
        <is>
          <t>4行 8列，源：None 备：</t>
        </is>
      </c>
      <c r="ET54" s="0" t="inlineStr">
        <is>
          <t>5行 7列，源：2063-05-11 10:30:45.123457 -04:00 备：1900-01-01 00:00:00.000000 +00:00</t>
        </is>
      </c>
    </row>
    <row r="55">
      <c r="K55" s="0" t="inlineStr">
        <is>
          <t>~ 空表</t>
        </is>
      </c>
      <c r="AI55" s="0" t="inlineStr">
        <is>
          <t>8行 0列，源：9 备：2</t>
        </is>
      </c>
      <c r="AM55" s="0" t="inlineStr">
        <is>
          <t>5行 8列，源：None 备：9999999999999999999999.9999990000</t>
        </is>
      </c>
      <c r="AP55" s="0" t="inlineStr">
        <is>
          <t>27行 0列，源：54 备：171</t>
        </is>
      </c>
      <c r="AS55" s="0" t="inlineStr">
        <is>
          <t>5行 6列，源：None 备：99999999999999999999999999999999</t>
        </is>
      </c>
      <c r="AT55" s="0" t="inlineStr">
        <is>
          <t>27行 0列，源：109 备：19</t>
        </is>
      </c>
      <c r="AU55"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AZ55" s="0" t="inlineStr">
        <is>
          <t>8行 0列，源：9 备：2</t>
        </is>
      </c>
      <c r="BE55" s="0" t="inlineStr">
        <is>
          <t>5行 8列，源：1945-05-11 14:30:45.123456 备：9999-12-31 23:59:59.9999999</t>
        </is>
      </c>
      <c r="BG55" s="0" t="inlineStr">
        <is>
          <t>3行 2列，源：nan 备：</t>
        </is>
      </c>
      <c r="BI55" s="0" t="inlineStr">
        <is>
          <t>5行 8列，源：1945-05-11 14:30:45.123456 备：1900-01-01 00:00:00.0000000</t>
        </is>
      </c>
      <c r="BJ55" s="0" t="inlineStr">
        <is>
          <t>3行 19列，源：None 备：</t>
        </is>
      </c>
      <c r="BL55" s="0" t="inlineStr">
        <is>
          <t>8行 0列，源：21 备：24</t>
        </is>
      </c>
      <c r="BO55" s="0" t="inlineStr">
        <is>
          <t>8行 0列，源：9 备：2</t>
        </is>
      </c>
      <c r="BP55" s="0" t="inlineStr">
        <is>
          <t>13行 1列，源：b' ' 备：41</t>
        </is>
      </c>
      <c r="BS55"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BV55" s="0" t="inlineStr">
        <is>
          <t>5行 8列，源：2063-05-11 10:30:45.1234567 -04:00 备：1900-01-01 00:00:00.0000000 +00:00</t>
        </is>
      </c>
      <c r="BX55" s="0" t="inlineStr">
        <is>
          <t>5行 8列，源：2063-05-11 10:30:45.1234567 -04:00 备：2026-04-17 17:18:22.7549521 +08:00</t>
        </is>
      </c>
      <c r="BY55" s="0" t="inlineStr">
        <is>
          <t>5行 8列，源：2063-05-11 10:30:45.1234567 -04:00 备：1900-01-01 00:00:00.0000000 +00:00</t>
        </is>
      </c>
      <c r="CA55" s="0" t="inlineStr">
        <is>
          <t>13行 1列，源：b'\xaf' 备：41</t>
        </is>
      </c>
      <c r="CB55" s="0" t="inlineStr">
        <is>
          <t>5行 8列，源：2063-05-11 10:30:45.1234567 -04:00 备：1933-05-11 15:30:45.1234567 +01:00</t>
        </is>
      </c>
      <c r="CD55" s="0" t="inlineStr">
        <is>
          <t>10行 6列，源：None 备：</t>
        </is>
      </c>
      <c r="CE55" s="0" t="inlineStr">
        <is>
          <t>6行 7列，源：2063-03-12 02:00:00.000000 -04:25 备：2000-05-11 00:30:45.123457 +09:00</t>
        </is>
      </c>
      <c r="CF55" s="0" t="inlineStr">
        <is>
          <t>5行 8列，源：12:30:45.120000 备：</t>
        </is>
      </c>
      <c r="CG55" s="0" t="inlineStr">
        <is>
          <t>30行 0列，源：127 备：31</t>
        </is>
      </c>
      <c r="CM55" s="0" t="inlineStr">
        <is>
          <t>5行 1列，源：nan 备：</t>
        </is>
      </c>
      <c r="DA55" s="0" t="inlineStr">
        <is>
          <t>4行 11列，源：None 备：</t>
        </is>
      </c>
      <c r="DH55" s="0" t="inlineStr">
        <is>
          <t>8行 0列，源：9 备：2</t>
        </is>
      </c>
      <c r="DJ55" s="0" t="inlineStr">
        <is>
          <t>5行 8列，源：12:30:45.120000 备：12:00:00.1234567</t>
        </is>
      </c>
      <c r="DL55" s="0" t="inlineStr">
        <is>
          <t>6行 7列，源：12:30:45.123000 备：</t>
        </is>
      </c>
      <c r="DN55" s="0" t="inlineStr">
        <is>
          <t>8行 0列，源：21 备：24</t>
        </is>
      </c>
      <c r="DT55" s="0" t="inlineStr">
        <is>
          <t>5行 8列，源：12:30:45.120000 备：12:00:00.1234567</t>
        </is>
      </c>
      <c r="DU55" s="0" t="inlineStr">
        <is>
          <t>13行 1列，源：b' ' 备：41</t>
        </is>
      </c>
      <c r="DX55" s="0" t="inlineStr">
        <is>
          <t>4行 9列，源：None 备：-98743298765.4321</t>
        </is>
      </c>
      <c r="EC55" s="0" t="inlineStr">
        <is>
          <t>6行 7列，源：12:30:45.123000 备：</t>
        </is>
      </c>
      <c r="EG55" s="0" t="inlineStr">
        <is>
          <t>6行 7列，源：12:30:45.123000 备：00:00:01.123457</t>
        </is>
      </c>
      <c r="EH55" s="0" t="inlineStr">
        <is>
          <t>4行 9列，源：None 备：</t>
        </is>
      </c>
      <c r="EK55" s="0" t="inlineStr">
        <is>
          <t>7行 1列，源：None 备：12:30:45</t>
        </is>
      </c>
      <c r="EN55" s="0" t="inlineStr">
        <is>
          <t>6行 2列，源：00:00:01.100000 备：12:30:45.0</t>
        </is>
      </c>
      <c r="EO55" s="0" t="inlineStr">
        <is>
          <t>13行 1列，源：b'\\' 备：20</t>
        </is>
      </c>
      <c r="EP55" s="0" t="inlineStr">
        <is>
          <t>4行 9列，源：None 备：-98743298765.4321</t>
        </is>
      </c>
      <c r="ER55" s="0" t="inlineStr">
        <is>
          <t>28行 0列，源：77 备：29</t>
        </is>
      </c>
      <c r="ES55" s="0" t="inlineStr">
        <is>
          <t>4行 9列，源：None 备：</t>
        </is>
      </c>
      <c r="ET55" s="0" t="inlineStr">
        <is>
          <t>5行 8列，源：2063-05-11 10:30:45.1234567 -04:00 备：1900-01-01 00:00:00.0000000 +00:00</t>
        </is>
      </c>
    </row>
    <row r="56">
      <c r="A56" s="0" t="inlineStr">
        <is>
          <t>info_datetimeoffset_dml_single_pk_drp</t>
        </is>
      </c>
      <c r="K56" s="0" t="inlineStr">
        <is>
          <t>[0;34m info_datetimeoffset_dml_single_pk_drp [0m源备字段数相同，源端字段：9 	备端字段9</t>
        </is>
      </c>
      <c r="W56" s="2">
        <f>HYPERLINK("#2026041905hbase4!AH2","NO 源备存在差异，共36个")</f>
        <v/>
      </c>
      <c r="X56" s="0">
        <f>A56</f>
        <v/>
      </c>
      <c r="AI56" s="0" t="inlineStr">
        <is>
          <t xml:space="preserve">8行 1列，源：Y 备： </t>
        </is>
      </c>
      <c r="AM56" s="0" t="inlineStr">
        <is>
          <t>5行 10列，源：None 备：100000000000000</t>
        </is>
      </c>
      <c r="AP56" s="0" t="inlineStr">
        <is>
          <t>27行 1列，源：9999-12-31 23:59:59.997000 备：2023-05-11 00:00:00.123</t>
        </is>
      </c>
      <c r="AS56" s="0" t="inlineStr">
        <is>
          <t>5行 7列，源：None 备：0.99999999999999999999999999999900000000</t>
        </is>
      </c>
      <c r="AT56" s="0" t="inlineStr">
        <is>
          <t>27行 1列，源：1981-05-11 14:30:59 备：1753-01-02 00:00:00.000</t>
        </is>
      </c>
      <c r="AU56" s="0" t="inlineStr">
        <is>
          <t xml:space="preserve">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                                                                                                                                                                                                                                                                                                                                                                                                                                                                                                                                                                                                                                                                                                                                                                                                                                                                                                                                                                                                                                                                                                                                                                                                                                                                                                                                                                                                                                                                                                                                                                                                                                                                                                                                                                                                                                                                                                                                                                                                                                                                                                                                                                                                                                                                                                                                                                                                                                                                                                                                                                                                                                                                                                                                                                                                                                                                                                                                                                                                                                                                                                                                                                                                                            </t>
        </is>
      </c>
      <c r="AZ56" s="0" t="inlineStr">
        <is>
          <t xml:space="preserve">8行 1列，源：Y 备： </t>
        </is>
      </c>
      <c r="BE56" s="0" t="inlineStr">
        <is>
          <t>6行 0列，源：7 备：176</t>
        </is>
      </c>
      <c r="BG56" s="0" t="inlineStr">
        <is>
          <t>3行 3列，源：nan 备：</t>
        </is>
      </c>
      <c r="BI56" s="0" t="inlineStr">
        <is>
          <t>6行 0列，源：7 备：203</t>
        </is>
      </c>
      <c r="BJ56" s="0" t="inlineStr">
        <is>
          <t>4行 0列，源：6 备：13</t>
        </is>
      </c>
      <c r="BL56" s="0" t="inlineStr">
        <is>
          <t>8行 1列，源：None 备：6</t>
        </is>
      </c>
      <c r="BO56" s="0" t="inlineStr">
        <is>
          <t>8行 1列，源：Y 备：</t>
        </is>
      </c>
      <c r="BP56" s="0" t="inlineStr">
        <is>
          <t>13行 2列，源：b'                    ' 备：5661726961626C65206C656E6774682062696E61</t>
        </is>
      </c>
      <c r="BS56" s="0" t="inlineStr">
        <is>
          <t>9行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I€¶€¶I€¶€¶I€¶€¶I€¶€¶I€¶€¶I€¶€¶I€¶€¶I€¶€¶I€¶€¶I€¶€¶I€¶€¶I€¶€¶I€¶€¶I€¶€¶I€¶€¶I€¶€¶I€¶€¶I€¶€¶I€¶€¶I€¶€¶I€¶€¶I€¶€¶I€¶€¶I€¶€¶I€¶€¶I€¶€¶I€¶€¶I€¶€¶I€¶€¶I€¶€¶I€¶€¶I€¶€¶I€¶€¶I€¶€¶I€¶€¶I€¶€¶I€¶€¶I€¶€¶I€¶€¶I€¶€¶I€¶€¶I€¶€¶I€¶€¶I€¶€¶I€¶€¶I€¶€¶I€¶€¶I€¶€¶I€¶€¶I€¶€¶I€¶€¶I€¶€¶I€¶€¶I€¶€¶I€¶€¶I€¶€¶I€¶€¶I€¶€¶I€¶€¶I€¶€¶I€¶€¶I€¶€¶I€¶€¶I€¶€¶I€¶€¶I€¶€¶I€¶€¶I€¶€¶I€¶€¶I€¶€¶I€¶€¶I€¶€¶I€¶€¶I€¶€¶I€¶€¶I€¶€¶I€¶€¶I€¶€¶I€¶€¶I€¶</t>
        </is>
      </c>
      <c r="BV56" s="0" t="inlineStr">
        <is>
          <t>6行 0列，源：7 备：3</t>
        </is>
      </c>
      <c r="BX56" s="0" t="inlineStr">
        <is>
          <t>6行 0列，源：7 备：124</t>
        </is>
      </c>
      <c r="BY56" s="0" t="inlineStr">
        <is>
          <t>6行 0列，源：7 备：3</t>
        </is>
      </c>
      <c r="CA56" s="0" t="inlineStr">
        <is>
          <t>13行 2列，源：b'h\x00\x85\xcb\x87\xdd\x92\xbb\x17\x9eD}\x9fS\xb74\x1c^d\x80' 备：5661726961626C65206C656E6774682062696E61</t>
        </is>
      </c>
      <c r="CB56" s="0" t="inlineStr">
        <is>
          <t>6行 0列，源：7 备：108</t>
        </is>
      </c>
      <c r="CD56" s="0" t="inlineStr">
        <is>
          <t>10行 8列，源：None 备：</t>
        </is>
      </c>
      <c r="CE56" s="0" t="inlineStr">
        <is>
          <t>6行 8列，源：2063-03-12 02:00:00.0000000 -04:25 备：2000-05-11 00:30:45.1234567 +09:00</t>
        </is>
      </c>
      <c r="CF56" s="0" t="inlineStr">
        <is>
          <t>6行 0列，源：7 备：2</t>
        </is>
      </c>
      <c r="CG56" s="0" t="inlineStr">
        <is>
          <t>30行 1列，源：1970-01-01 备：2068-06-01</t>
        </is>
      </c>
      <c r="CM56" s="0" t="inlineStr">
        <is>
          <t>5行 2列，源：nan 备：</t>
        </is>
      </c>
      <c r="DA56" s="0" t="inlineStr">
        <is>
          <t>4行 12列，源：None 备：</t>
        </is>
      </c>
      <c r="DH56" s="0" t="inlineStr">
        <is>
          <t>8行 1列，源：Y 备：</t>
        </is>
      </c>
      <c r="DJ56" s="0" t="inlineStr">
        <is>
          <t>6行 0列，源：7 备：15</t>
        </is>
      </c>
      <c r="DL56" s="0" t="inlineStr">
        <is>
          <t>6行 8列，源：12:30:45.123000 备：12:00:00.1234567</t>
        </is>
      </c>
      <c r="DN56" s="0" t="inlineStr">
        <is>
          <t>8行 1列，源：None 备：6</t>
        </is>
      </c>
      <c r="DT56" s="0" t="inlineStr">
        <is>
          <t>6行 0列，源：7 备：15</t>
        </is>
      </c>
      <c r="DU56" s="0" t="inlineStr">
        <is>
          <t>13行 2列，源：b'          ' 备：5661726961626C65206C656E6774682062696E61</t>
        </is>
      </c>
      <c r="DX56" s="0" t="inlineStr">
        <is>
          <t>4行 10列，源：None 备：-321</t>
        </is>
      </c>
      <c r="EC56" s="0" t="inlineStr">
        <is>
          <t>6行 8列，源：12:30:45.123000 备：12:00:00.1234567</t>
        </is>
      </c>
      <c r="EG56" s="0" t="inlineStr">
        <is>
          <t>6行 8列，源：12:30:45.123000 备：05:44:11.1234567</t>
        </is>
      </c>
      <c r="EH56" s="0" t="inlineStr">
        <is>
          <t>4行 10列，源：None 备：</t>
        </is>
      </c>
      <c r="EK56" s="0" t="inlineStr">
        <is>
          <t>7行 2列，源：12:00:00.100000 备：12:30:45.0</t>
        </is>
      </c>
      <c r="EN56" s="0" t="inlineStr">
        <is>
          <t>6行 3列，源：None 备：09:12:34.12</t>
        </is>
      </c>
      <c r="EO56" s="0" t="inlineStr">
        <is>
          <t>13行 2列，源：b'mC\xac\x05\xc6\x08)\xcb5\xa6]H\xc3U\xae\xa1\x03\x1a\xd7f\xe6\xf6\\I\xceM,\xbe\xe4\x9d\x10N:\xc8\xc8}Mj\xcez\xd6\x1d\xf1O\x0e\xc0*$\x14\xaa\xc5\x1d?\xf9\xad]q\x1eq\xda\x9b\xf7\xa5\xa1o\xac;\xcbT*\x12\xc8,\xc1\xe5\xfe\x1b\x8fN\x14v\xc6\xd9w\xda\xc6\xfaFx\xc8\xc3=k\xb6w\xae\xbde\xf6,' 备：20202020202020202020</t>
        </is>
      </c>
      <c r="EP56" s="0" t="inlineStr">
        <is>
          <t>4行 10列，源：None 备：-321</t>
        </is>
      </c>
      <c r="ER56" s="0" t="inlineStr">
        <is>
          <t>28行 1列，源：2000-05-11 14:30:00 备：1981-05-11 14:31:00</t>
        </is>
      </c>
      <c r="ES56" s="0" t="inlineStr">
        <is>
          <t>4行 10列，源：None 备：</t>
        </is>
      </c>
      <c r="ET56" s="0" t="inlineStr">
        <is>
          <t>6行 0列，源：7 备：3</t>
        </is>
      </c>
    </row>
    <row r="57">
      <c r="B57" s="0" t="inlineStr">
        <is>
          <t>YES</t>
        </is>
      </c>
      <c r="C57" s="0" t="inlineStr">
        <is>
          <t>NULL</t>
        </is>
      </c>
      <c r="D57" s="0" t="inlineStr">
        <is>
          <t>NULL</t>
        </is>
      </c>
      <c r="E57" s="0" t="inlineStr">
        <is>
          <t>NULL</t>
        </is>
      </c>
      <c r="F57" s="0" t="inlineStr">
        <is>
          <t>NULL</t>
        </is>
      </c>
      <c r="G57" s="0" t="inlineStr">
        <is>
          <t>NULL</t>
        </is>
      </c>
      <c r="H57" s="0" t="inlineStr">
        <is>
          <t>NULL</t>
        </is>
      </c>
      <c r="I57" s="0" t="inlineStr">
        <is>
          <t>YES!PK__info_dat__3213E83FE621F744</t>
        </is>
      </c>
      <c r="J57" s="0" t="inlineStr">
        <is>
          <t>YES! 主键相关索引</t>
        </is>
      </c>
      <c r="K57" s="0" t="inlineStr">
        <is>
          <t xml:space="preserve"> NO!  	 id列源备映射错误，源端为int None位	期望更改为text	实际备端为int None位</t>
        </is>
      </c>
      <c r="AI57" s="0" t="inlineStr">
        <is>
          <t xml:space="preserve">8行 1列，源：Y 备： </t>
        </is>
      </c>
      <c r="AM57" s="0" t="inlineStr">
        <is>
          <t>5行 11列，源：None 备：999999999999999999999</t>
        </is>
      </c>
      <c r="AP57" s="0" t="inlineStr">
        <is>
          <t>28行 0列，源：55 备：172</t>
        </is>
      </c>
      <c r="AS57" s="0" t="inlineStr">
        <is>
          <t>5行 8列，源：None 备：9999999999999999999999.9999990000</t>
        </is>
      </c>
      <c r="AT57" s="0" t="inlineStr">
        <is>
          <t>28行 0列，源：110 备：2</t>
        </is>
      </c>
      <c r="AZ57" s="0" t="inlineStr">
        <is>
          <t xml:space="preserve">8行 1列，源：Y 备： </t>
        </is>
      </c>
      <c r="BE57" s="0" t="inlineStr">
        <is>
          <t>6行 1列，源：2065-05-11 14:30:45 备：1945-05-11 14:30:45</t>
        </is>
      </c>
      <c r="BG57" s="0" t="inlineStr">
        <is>
          <t>3行 4列，源：nan 备：</t>
        </is>
      </c>
      <c r="BI57" s="0" t="inlineStr">
        <is>
          <t>6行 1列，源：2065-05-11 14:30:45 备：2026-04-17 17:17:33</t>
        </is>
      </c>
      <c r="BJ57" s="0" t="inlineStr">
        <is>
          <t>4行 1列，源：127.0 备：</t>
        </is>
      </c>
      <c r="BL57" s="0" t="inlineStr">
        <is>
          <t>8行 2列，源：None 备：12345678901234567890</t>
        </is>
      </c>
      <c r="BO57" s="0" t="inlineStr">
        <is>
          <t>8行 1列，源：Y 备：</t>
        </is>
      </c>
      <c r="BP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57" s="0" t="inlineStr">
        <is>
          <t>6行 1列，源：1933-05-11 15:30:45 +01:00 备：2026-04-17 17:18:21 +08:00</t>
        </is>
      </c>
      <c r="BX57" s="0" t="inlineStr">
        <is>
          <t>6行 1列，源：1933-05-11 15:30:45 +01:00 备：0001-01-01 00:00:00 +00:00</t>
        </is>
      </c>
      <c r="BY57" s="0" t="inlineStr">
        <is>
          <t>6行 1列，源：1933-05-11 15:30:45 +01:00 备：2026-04-17 17:18:32 +08:00</t>
        </is>
      </c>
      <c r="CA57" s="0" t="inlineStr">
        <is>
          <t>13行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B57" s="0" t="inlineStr">
        <is>
          <t>6行 1列，源：1933-05-11 15:30:45 +01:00 备：2000-05-11 00:30:45 +09:00</t>
        </is>
      </c>
      <c r="CD57" s="0" t="inlineStr">
        <is>
          <t>11行 0列，源：12 备：8</t>
        </is>
      </c>
      <c r="CE57" s="0" t="inlineStr">
        <is>
          <t>7行 0列，源：8 备：4</t>
        </is>
      </c>
      <c r="CF57" s="0" t="inlineStr">
        <is>
          <t>6行 1列，源：12:30:45 备：00:00:00</t>
        </is>
      </c>
      <c r="CG57" s="0" t="inlineStr">
        <is>
          <t>31行 0列，源：128 备：4</t>
        </is>
      </c>
      <c r="CM57" s="0" t="inlineStr">
        <is>
          <t>5行 3列，源：nan 备：</t>
        </is>
      </c>
      <c r="DA57" s="0" t="inlineStr">
        <is>
          <t>4行 13列，源：None 备：</t>
        </is>
      </c>
      <c r="DH57" s="0" t="inlineStr">
        <is>
          <t>8行 1列，源：Y 备：</t>
        </is>
      </c>
      <c r="DJ57" s="0" t="inlineStr">
        <is>
          <t>6行 1列，源：12:30:45 备：00:00:01</t>
        </is>
      </c>
      <c r="DL57" s="0" t="inlineStr">
        <is>
          <t>7行 0列，源：8 备：15</t>
        </is>
      </c>
      <c r="DN57" s="0" t="inlineStr">
        <is>
          <t>8行 2列，源：None 备：12345678901234567890</t>
        </is>
      </c>
      <c r="DT57" s="0" t="inlineStr">
        <is>
          <t>6行 1列，源：12:30:45 备：00:00:01</t>
        </is>
      </c>
      <c r="DU57" s="0" t="inlineStr">
        <is>
          <t>13行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X57" s="0" t="inlineStr">
        <is>
          <t>4行 11列，源：None 备：-987654321096543210987654321098765432</t>
        </is>
      </c>
      <c r="EC57" s="0" t="inlineStr">
        <is>
          <t>7行 0列，源：8 备：15</t>
        </is>
      </c>
      <c r="EG57" s="0" t="inlineStr">
        <is>
          <t>7行 0列，源：8 备：16</t>
        </is>
      </c>
      <c r="EH57" s="0" t="inlineStr">
        <is>
          <t>4行 11列，源：None 备：</t>
        </is>
      </c>
      <c r="EK57" s="0" t="inlineStr">
        <is>
          <t>7行 3列，源：None 备：12:30:45.00</t>
        </is>
      </c>
      <c r="EN57" s="0" t="inlineStr">
        <is>
          <t>6行 4列，源：00:00:01.123000 备：12:30:45.000</t>
        </is>
      </c>
      <c r="EO57" s="0" t="inlineStr">
        <is>
          <t>13行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EP57" s="0" t="inlineStr">
        <is>
          <t>4行 11列，源：None 备：-987654321096543210987654321098765432</t>
        </is>
      </c>
      <c r="ER57" s="0" t="inlineStr">
        <is>
          <t>29行 0列，源：78 备：3</t>
        </is>
      </c>
      <c r="ES57" s="0" t="inlineStr">
        <is>
          <t>4行 11列，源：None 备：</t>
        </is>
      </c>
      <c r="ET57" s="0" t="inlineStr">
        <is>
          <t>6行 1列，源：1933-05-11 15:30:45 +01:00 备：2026-04-17 16:56:53 +08:00</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c_dtoffset_0列源备映射错误，源端为datetimeoffset None位	期望更改为text	实际备端为datetimeoffset None位</t>
        </is>
      </c>
      <c r="AI58" s="0" t="inlineStr">
        <is>
          <t xml:space="preserve">8行 2列，源：上海英方股份有限公司           备：                    </t>
        </is>
      </c>
      <c r="AM58" s="0" t="inlineStr">
        <is>
          <t>5行 12列，源：None 备：0.99999999999999999999999999900000000000</t>
        </is>
      </c>
      <c r="AP58" s="0" t="inlineStr">
        <is>
          <t>28行 1列，源：2026-04-17 17:16:25.287000 备：2024-05-11 12:00:00.567</t>
        </is>
      </c>
      <c r="AS58" s="0" t="inlineStr">
        <is>
          <t>5行 10列，源：None 备：100000000000000</t>
        </is>
      </c>
      <c r="AT58" s="0" t="inlineStr">
        <is>
          <t>28行 1列，源：1996-03-03 23:59:59.997000 备：1900-01-01 00:00:00.000</t>
        </is>
      </c>
      <c r="AZ58" s="0" t="inlineStr">
        <is>
          <t xml:space="preserve">8行 2列，源：上海英方股份有限公司           备：                    </t>
        </is>
      </c>
      <c r="BE58" s="0" t="inlineStr">
        <is>
          <t>6行 2列，源：2065-05-11 14:30:45.100000 备：1945-05-11 14:30:45.1</t>
        </is>
      </c>
      <c r="BG58" s="0" t="inlineStr">
        <is>
          <t>3行 15列，源：nan 备：</t>
        </is>
      </c>
      <c r="BI58" s="0" t="inlineStr">
        <is>
          <t>6行 2列，源：2065-05-11 14:30:45.100000 备：2026-04-17 17:17:33.4</t>
        </is>
      </c>
      <c r="BJ58" s="0" t="inlineStr">
        <is>
          <t>4行 2列，源：0.0 备：</t>
        </is>
      </c>
      <c r="BL58" s="0" t="inlineStr">
        <is>
          <t xml:space="preserve">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O58" s="0" t="inlineStr">
        <is>
          <t>8行 2列，源：上海英方股份有限公司 备：</t>
        </is>
      </c>
      <c r="BP58" s="0" t="inlineStr">
        <is>
          <t>14行 0列，源：25 备：26</t>
        </is>
      </c>
      <c r="BV58" s="0" t="inlineStr">
        <is>
          <t>6行 2列，源：1933-05-11 15:30:45.1 +01:00 备：2026-04-17 17:18:20.6 +08:00</t>
        </is>
      </c>
      <c r="BX58" s="0" t="inlineStr">
        <is>
          <t>6行 2列，源：1933-05-11 15:30:45.1 +01:00 备：0001-01-01 00:00:00.0 +00:00</t>
        </is>
      </c>
      <c r="BY58" s="0" t="inlineStr">
        <is>
          <t>6行 2列，源：1933-05-11 15:30:45.1 +01:00 备：2026-04-17 17:18:31.5 +08:00</t>
        </is>
      </c>
      <c r="CA58" s="0" t="inlineStr">
        <is>
          <t>14行 0列，源：57 备：53</t>
        </is>
      </c>
      <c r="CB58" s="0" t="inlineStr">
        <is>
          <t>6行 2列，源：1933-05-11 15:30:45.1 +01:00 备：2000-05-11 00:30:45.1 +09:00</t>
        </is>
      </c>
      <c r="CD58" s="0" t="inlineStr">
        <is>
          <t>11行 2列，源：None 备：</t>
        </is>
      </c>
      <c r="CE58" s="0" t="inlineStr">
        <is>
          <t>7行 1列，源：2000-05-11 00:30:45 +09:00 备：0001-01-01 00:00:00 +00:00</t>
        </is>
      </c>
      <c r="CF58" s="0" t="inlineStr">
        <is>
          <t>6行 2列，源：12:30:45.100000 备：00:00:00.0</t>
        </is>
      </c>
      <c r="CG58" s="0" t="inlineStr">
        <is>
          <t>31行 1列，源：0001-01-02 备：9999-12-31</t>
        </is>
      </c>
      <c r="CM58" s="0" t="inlineStr">
        <is>
          <t>5行 4列，源：nan 备：</t>
        </is>
      </c>
      <c r="DA58" s="0" t="inlineStr">
        <is>
          <t>4行 14列，源：None 备：</t>
        </is>
      </c>
      <c r="DH58" s="0" t="inlineStr">
        <is>
          <t>8行 2列，源：上海英方股份有限公司 备：</t>
        </is>
      </c>
      <c r="DJ58" s="0" t="inlineStr">
        <is>
          <t>6行 2列，源：12:30:45.100000 备：</t>
        </is>
      </c>
      <c r="DL58" s="0" t="inlineStr">
        <is>
          <t>7行 1列，源：12:30:45 备：00:00:01</t>
        </is>
      </c>
      <c r="DN58" s="0" t="inlineStr">
        <is>
          <t>8行 3列，源：None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T58" s="0" t="inlineStr">
        <is>
          <t>6行 2列，源：12:30:45.100000 备：</t>
        </is>
      </c>
      <c r="DU58" s="0" t="inlineStr">
        <is>
          <t>14行 0列，源：25 备：26</t>
        </is>
      </c>
      <c r="DX58" s="0" t="inlineStr">
        <is>
          <t>4行 12列，源：None 备：-0.12345690123456712345678901234567800000</t>
        </is>
      </c>
      <c r="EC58" s="0" t="inlineStr">
        <is>
          <t>7行 1列，源：12:30:45 备：00:00:01</t>
        </is>
      </c>
      <c r="EG58" s="0" t="inlineStr">
        <is>
          <t>7行 1列，源：09:12:34 备：12:00:00</t>
        </is>
      </c>
      <c r="EH58" s="0" t="inlineStr">
        <is>
          <t>4行 12列，源：None 备：</t>
        </is>
      </c>
      <c r="EK58" s="0" t="inlineStr">
        <is>
          <t>7行 4列，源：12:00:00.123000 备：12:30:45.000</t>
        </is>
      </c>
      <c r="EN58" s="0" t="inlineStr">
        <is>
          <t>6行 5列，源：None 备：09:12:34.1235</t>
        </is>
      </c>
      <c r="EO58" s="0" t="inlineStr">
        <is>
          <t>14行 0列，源：57 备：55</t>
        </is>
      </c>
      <c r="EP58" s="0" t="inlineStr">
        <is>
          <t>4行 12列，源：None 备：-0.12345690123456712345678901234567800000</t>
        </is>
      </c>
      <c r="ER58" s="0" t="inlineStr">
        <is>
          <t>29行 1列，源：2068-05-11 14:31:00 备：1900-01-01 00:00:00</t>
        </is>
      </c>
      <c r="ES58" s="0" t="inlineStr">
        <is>
          <t>4行 12列，源：None 备：</t>
        </is>
      </c>
      <c r="ET58" s="0" t="inlineStr">
        <is>
          <t>6行 2列，源：1933-05-11 15:30:45.1 +01:00 备：2026-04-17 16:56:52.8 +08:00</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c_dtoffset_1列源备映射错误，源端为datetimeoffset None位	期望更改为text	实际备端为datetimeoffset None位</t>
        </is>
      </c>
      <c r="AI59" s="0" t="inlineStr">
        <is>
          <t xml:space="preserve">8行 2列，源：上海英方股份有限公司           备：                    </t>
        </is>
      </c>
      <c r="AM59" s="0" t="inlineStr">
        <is>
          <t>5行 13列，源：None 备：999999999999999999999.9999990000</t>
        </is>
      </c>
      <c r="AP59" s="0" t="inlineStr">
        <is>
          <t>29行 0列，源：56 备：173</t>
        </is>
      </c>
      <c r="AS59" s="0" t="inlineStr">
        <is>
          <t>5行 11列，源：None 备：999999999999999999999</t>
        </is>
      </c>
      <c r="AT59" s="0" t="inlineStr">
        <is>
          <t>29行 0列，源：111 备：20</t>
        </is>
      </c>
      <c r="AZ59" s="0" t="inlineStr">
        <is>
          <t xml:space="preserve">8行 2列，源：上海英方股份有限公司           备：                    </t>
        </is>
      </c>
      <c r="BE59" s="0" t="inlineStr">
        <is>
          <t>6行 3列，源：2065-05-11 14:30:45.120000 备：1945-05-11 14:30:45.12</t>
        </is>
      </c>
      <c r="BG59" s="0" t="inlineStr">
        <is>
          <t>3行 16列，源：nan 备：</t>
        </is>
      </c>
      <c r="BI59" s="0" t="inlineStr">
        <is>
          <t>6行 3列，源：2065-05-11 14:30:45.120000 备：2026-04-17 17:17:33.41</t>
        </is>
      </c>
      <c r="BJ59" s="0" t="inlineStr">
        <is>
          <t>4行 3列，源：0.0 备：</t>
        </is>
      </c>
      <c r="BL59" s="0" t="inlineStr">
        <is>
          <t>9行 0列，源：22 备：25</t>
        </is>
      </c>
      <c r="BO59" s="0" t="inlineStr">
        <is>
          <t>8行 2列，源：上海英方股份有限公司 备：</t>
        </is>
      </c>
      <c r="BP59" s="0" t="inlineStr">
        <is>
          <t>14行 1列，源：b'A' 备：70</t>
        </is>
      </c>
      <c r="BV59" s="0" t="inlineStr">
        <is>
          <t>6行 3列，源：1933-05-11 15:30:45.12 +01:00 备：2026-04-17 17:18:20.57 +08:00</t>
        </is>
      </c>
      <c r="BX59" s="0" t="inlineStr">
        <is>
          <t>6行 3列，源：1933-05-11 15:30:45.12 +01:00 备：0001-01-01 00:00:00.00 +00:00</t>
        </is>
      </c>
      <c r="BY59" s="0" t="inlineStr">
        <is>
          <t>6行 3列，源：1933-05-11 15:30:45.12 +01:00 备：2026-04-17 17:18:31.54 +08:00</t>
        </is>
      </c>
      <c r="CA59" s="0" t="inlineStr">
        <is>
          <t>14行 1列，源：b'T' 备：00</t>
        </is>
      </c>
      <c r="CB59" s="0" t="inlineStr">
        <is>
          <t>6行 3列，源：1933-05-11 15:30:45.12 +01:00 备：2000-05-11 00:30:45.12 +09:00</t>
        </is>
      </c>
      <c r="CD59" s="0" t="inlineStr">
        <is>
          <t>11行 4列，源：None 备：</t>
        </is>
      </c>
      <c r="CE59" s="0" t="inlineStr">
        <is>
          <t>7行 2列，源：2000-05-11 00:30:45.1 +09:00 备：0001-01-01 00:00:00.0 +00:00</t>
        </is>
      </c>
      <c r="CF59" s="0" t="inlineStr">
        <is>
          <t>6行 3列，源：12:30:45.120000 备：00:00:00.00</t>
        </is>
      </c>
      <c r="CG59" s="0" t="inlineStr">
        <is>
          <t>32行 0列，源：130 备：5</t>
        </is>
      </c>
      <c r="CM59" s="0" t="inlineStr">
        <is>
          <t>5行 6列，源：None 备：</t>
        </is>
      </c>
      <c r="DA59" s="0" t="inlineStr">
        <is>
          <t>4行 15列，源：nan 备：</t>
        </is>
      </c>
      <c r="DH59" s="0" t="inlineStr">
        <is>
          <t>8行 2列，源：上海英方股份有限公司 备：</t>
        </is>
      </c>
      <c r="DJ59" s="0" t="inlineStr">
        <is>
          <t>6行 3列，源：12:30:45.120000 备：00:00:01.12</t>
        </is>
      </c>
      <c r="DL59" s="0" t="inlineStr">
        <is>
          <t>7行 2列，源：12:30:45.100000 备：</t>
        </is>
      </c>
      <c r="DN59" s="0" t="inlineStr">
        <is>
          <t>9行 0列，源：22 备：25</t>
        </is>
      </c>
      <c r="DT59" s="0" t="inlineStr">
        <is>
          <t>6行 3列，源：12:30:45.120000 备：00:00:01.12</t>
        </is>
      </c>
      <c r="DU59" s="0" t="inlineStr">
        <is>
          <t>14行 1列，源：b'A' 备：A1</t>
        </is>
      </c>
      <c r="DX59" s="0" t="inlineStr">
        <is>
          <t>4行 13列，源：None 备：-6543210976543287654321.0987654321</t>
        </is>
      </c>
      <c r="EC59" s="0" t="inlineStr">
        <is>
          <t>7行 2列，源：12:30:45.100000 备：</t>
        </is>
      </c>
      <c r="EG59" s="0" t="inlineStr">
        <is>
          <t>7行 2列，源：12:30:45.100000 备：05:44:11.1</t>
        </is>
      </c>
      <c r="EH59" s="0" t="inlineStr">
        <is>
          <t>4行 13列，源：None 备：</t>
        </is>
      </c>
      <c r="EK59" s="0" t="inlineStr">
        <is>
          <t>7行 5列，源：None 备：12:30:45.0000</t>
        </is>
      </c>
      <c r="EN59" s="0" t="inlineStr">
        <is>
          <t>6行 6列，源：00:00:01.123460 备：12:30:45.00000</t>
        </is>
      </c>
      <c r="EO59" s="0" t="inlineStr">
        <is>
          <t>14行 1列，源：b'T' 备：41</t>
        </is>
      </c>
      <c r="EP59" s="0" t="inlineStr">
        <is>
          <t>4行 13列，源：None 备：-6543210976543287654321.0987654321</t>
        </is>
      </c>
      <c r="ER59" s="0" t="inlineStr">
        <is>
          <t>30行 0列，源：79 备：30</t>
        </is>
      </c>
      <c r="ES59" s="0" t="inlineStr">
        <is>
          <t>4行 13列，源：None 备：</t>
        </is>
      </c>
      <c r="ET59" s="0" t="inlineStr">
        <is>
          <t>6行 3列，源：1933-05-11 15:30:45.12 +01:00 备：2026-04-17 16:56:52.83 +08:00</t>
        </is>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c_dtoffset_2列源备映射错误，源端为datetimeoffset None位	期望更改为text	实际备端为datetimeoffset None位</t>
        </is>
      </c>
      <c r="AI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0" s="0" t="inlineStr">
        <is>
          <t>5行 14列，源：None 备：9999999999.99</t>
        </is>
      </c>
      <c r="AP60" s="0" t="inlineStr">
        <is>
          <t>29行 1列，源：2020-02-29 19:27:31.123000 备：2025-01-01 00:00:00.233</t>
        </is>
      </c>
      <c r="AS60" s="0" t="inlineStr">
        <is>
          <t>5行 12列，源：None 备：0.99999999999999999999999999900000000000</t>
        </is>
      </c>
      <c r="AT60" s="0" t="inlineStr">
        <is>
          <t>29行 1列，源：1997-04-04 23:59:59.997000 备：9999-12-30 23:59:59.997</t>
        </is>
      </c>
      <c r="AZ60"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0" s="0" t="inlineStr">
        <is>
          <t>6行 4列，源：2065-05-11 14:30:45.123000 备：1945-05-11 14:30:45.123</t>
        </is>
      </c>
      <c r="BG60" s="0" t="inlineStr">
        <is>
          <t>3行 17列，源：None 备：</t>
        </is>
      </c>
      <c r="BI60" s="0" t="inlineStr">
        <is>
          <t>6行 4列，源：2065-05-11 14:30:45.123000 备：2026-04-17 17:17:33.413</t>
        </is>
      </c>
      <c r="BJ60" s="0" t="inlineStr">
        <is>
          <t>4行 4列，源：0.0 备：</t>
        </is>
      </c>
      <c r="BL60" s="0" t="inlineStr">
        <is>
          <t>9行 1列，源：  备：X</t>
        </is>
      </c>
      <c r="BO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P60" s="0" t="inlineStr">
        <is>
          <t>14行 2列，源：b'Variable length bina' 备：327391B2CAEBBB33387BF93BC613762F886C2282</t>
        </is>
      </c>
      <c r="BV60" s="0" t="inlineStr">
        <is>
          <t>6行 4列，源：1933-05-11 15:30:45.123 +01:00 备：2026-04-17 17:18:20.568 +08:00</t>
        </is>
      </c>
      <c r="BX60" s="0" t="inlineStr">
        <is>
          <t>6行 4列，源：1933-05-11 15:30:45.123 +01:00 备：0001-01-01 00:00:00.000 +00:00</t>
        </is>
      </c>
      <c r="BY60" s="0" t="inlineStr">
        <is>
          <t>6行 4列，源：1933-05-11 15:30:45.123 +01:00 备：2026-04-17 17:18:31.537 +08:00</t>
        </is>
      </c>
      <c r="CA60" s="0" t="inlineStr">
        <is>
          <t>14行 2列，源：b'HelloWorld\x00\x00\x00\x00\x00\x00\x00\x00\x00\x00' 备：0000000000000000000000000000000000000000</t>
        </is>
      </c>
      <c r="CB60" s="0" t="inlineStr">
        <is>
          <t>6行 4列，源：1933-05-11 15:30:45.123 +01:00 备：2000-05-11 00:30:45.123 +09:00</t>
        </is>
      </c>
      <c r="CD60" s="0" t="inlineStr">
        <is>
          <t>11行 6列，源：None 备：</t>
        </is>
      </c>
      <c r="CE60" s="0" t="inlineStr">
        <is>
          <t>7行 3列，源：2000-05-11 00:30:45.12 +09:00 备：0001-01-01 00:00:00.00 +00:00</t>
        </is>
      </c>
      <c r="CF60" s="0" t="inlineStr">
        <is>
          <t>6行 4列，源：12:30:45.123000 备：00:00:00.000</t>
        </is>
      </c>
      <c r="CG60" s="0" t="inlineStr">
        <is>
          <t>32行 1列，源：1990-05-11 备：2026-04-17</t>
        </is>
      </c>
      <c r="CM60" s="0" t="inlineStr">
        <is>
          <t>5行 8列，源：None 备：</t>
        </is>
      </c>
      <c r="DA60" s="0" t="inlineStr">
        <is>
          <t>4行 16列，源：nan 备：</t>
        </is>
      </c>
      <c r="DH60"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J60" s="0" t="inlineStr">
        <is>
          <t>6行 4列，源：12:30:45.123000 备：</t>
        </is>
      </c>
      <c r="DL60" s="0" t="inlineStr">
        <is>
          <t>7行 3列，源：12:30:45.120000 备：00:00:01.12</t>
        </is>
      </c>
      <c r="DN60" s="0" t="inlineStr">
        <is>
          <t>9行 1列，源： 备：X</t>
        </is>
      </c>
      <c r="DT60" s="0" t="inlineStr">
        <is>
          <t>6行 4列，源：12:30:45.123000 备：</t>
        </is>
      </c>
      <c r="DU60" s="0" t="inlineStr">
        <is>
          <t>14行 2列，源：b'Variable length bina' 备：AD7ED41B1D00F92B45F25CF2229E24D477C63B5F7EF7CDF51E30E1613DE5498552FD76F5566B4B803FCBEB0B7FB9183DC9CBCAFAB6B920AE14DA302E3AEC4B6BE492E02B0FF485065D94B138BF11875CF2C74E23094E3A16D0558E47C5A60E4646AAD94B</t>
        </is>
      </c>
      <c r="DX60" s="0" t="inlineStr">
        <is>
          <t>4行 14列，源：None 备：-9876543210954.32</t>
        </is>
      </c>
      <c r="EC60" s="0" t="inlineStr">
        <is>
          <t>7行 3列，源：12:30:45.120000 备：00:00:01.12</t>
        </is>
      </c>
      <c r="EG60" s="0" t="inlineStr">
        <is>
          <t>7行 3列，源：09:12:34.120000 备：12:00:00.12</t>
        </is>
      </c>
      <c r="EH60" s="0" t="inlineStr">
        <is>
          <t>4行 14列，源：None 备：</t>
        </is>
      </c>
      <c r="EK60" s="0" t="inlineStr">
        <is>
          <t>7行 6列，源：12:00:00.123460 备：12:30:45.00000</t>
        </is>
      </c>
      <c r="EN60" s="0" t="inlineStr">
        <is>
          <t>6行 7列，源：None 备：09:12:34.123457</t>
        </is>
      </c>
      <c r="EO60" s="0" t="inlineStr">
        <is>
          <t>14行 2列，源：b'HelloWorld' 备：5661726961626C65206C656E6774682062696E61</t>
        </is>
      </c>
      <c r="EP60" s="0" t="inlineStr">
        <is>
          <t>4行 14列，源：None 备：-9876543210954.32</t>
        </is>
      </c>
      <c r="ER60" s="0" t="inlineStr">
        <is>
          <t>30行 1列，源：1981-05-11 14:31:00 备：2079-06-05 23:59:00</t>
        </is>
      </c>
      <c r="ES60" s="0" t="inlineStr">
        <is>
          <t>4行 14列，源：None 备：</t>
        </is>
      </c>
      <c r="ET60" s="0" t="inlineStr">
        <is>
          <t>6行 4列，源：1933-05-11 15:30:45.123 +01:00 备：2026-04-17 16:56:52.828 +08:00</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c_dtoffset_3列源备映射错误，源端为datetimeoffset None位	期望更改为text	实际备端为datetimeoffset None位</t>
        </is>
      </c>
      <c r="AI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1" s="0" t="inlineStr">
        <is>
          <t>5行 15列，源：1.23456789012345e-30 备：0.0000000000000</t>
        </is>
      </c>
      <c r="AP61" s="0" t="inlineStr">
        <is>
          <t>30行 0列，源：57 备：18</t>
        </is>
      </c>
      <c r="AS61" s="0" t="inlineStr">
        <is>
          <t>5行 13列，源：None 备：999999999999999999999.9999990000</t>
        </is>
      </c>
      <c r="AT61" s="0" t="inlineStr">
        <is>
          <t>30行 0列，源：112 备：21</t>
        </is>
      </c>
      <c r="AZ61" s="0" t="inlineStr">
        <is>
          <t xml:space="preserve">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1" s="0" t="inlineStr">
        <is>
          <t>6行 5列，源：2065-05-11 14:30:45.123500 备：1945-05-11 14:30:45.1235</t>
        </is>
      </c>
      <c r="BG61" s="0" t="inlineStr">
        <is>
          <t>3行 18列，源：None 备：</t>
        </is>
      </c>
      <c r="BI61" s="0" t="inlineStr">
        <is>
          <t>6行 5列，源：2065-05-11 14:30:45.123500 备：2026-04-17 17:17:33.4133</t>
        </is>
      </c>
      <c r="BJ61" s="0" t="inlineStr">
        <is>
          <t>4行 5列，源：None 备：-457</t>
        </is>
      </c>
      <c r="BL61" s="0" t="inlineStr">
        <is>
          <t>9行 1列，源：  备：X</t>
        </is>
      </c>
      <c r="BO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BP61" s="0" t="inlineStr">
        <is>
          <t>14行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V61" s="0" t="inlineStr">
        <is>
          <t>6行 5列，源：1933-05-11 15:30:45.1235 +01:00 备：2026-04-17 17:18:20.5678 +08:00</t>
        </is>
      </c>
      <c r="BX61" s="0" t="inlineStr">
        <is>
          <t>6行 5列，源：1933-05-11 15:30:45.1235 +01:00 备：0001-01-01 00:00:00.0000 +00:00</t>
        </is>
      </c>
      <c r="BY61" s="0" t="inlineStr">
        <is>
          <t>6行 5列，源：1933-05-11 15:30:45.1235 +01:00 备：2026-04-17 17:18:31.5370 +08:00</t>
        </is>
      </c>
      <c r="CA61" s="0" t="inlineStr">
        <is>
          <t>14行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61" s="0" t="inlineStr">
        <is>
          <t>6行 5列，源：1933-05-11 15:30:45.1235 +01:00 备：2000-05-11 00:30:45.1235 +09:00</t>
        </is>
      </c>
      <c r="CD61" s="0" t="inlineStr">
        <is>
          <t>11行 8列，源：None 备：</t>
        </is>
      </c>
      <c r="CE61" s="0" t="inlineStr">
        <is>
          <t>7行 4列，源：2000-05-11 00:30:45.123 +09:00 备：0001-01-01 00:00:00.000 +00:00</t>
        </is>
      </c>
      <c r="CF61" s="0" t="inlineStr">
        <is>
          <t>6行 5列，源：12:30:45.123000 备：00:00:00.0000</t>
        </is>
      </c>
      <c r="CG61" s="0" t="inlineStr">
        <is>
          <t>33行 0列，源：177 备：6</t>
        </is>
      </c>
      <c r="CM61" s="0" t="inlineStr">
        <is>
          <t>5行 9列，源：None 备：</t>
        </is>
      </c>
      <c r="DA61" s="0" t="inlineStr">
        <is>
          <t>4行 17列，源：None 备：100.5000</t>
        </is>
      </c>
      <c r="DH61" s="0" t="inlineStr">
        <is>
          <t>8行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t>
        </is>
      </c>
      <c r="DJ61" s="0" t="inlineStr">
        <is>
          <t>6行 5列，源：12:30:45.123000 备：00:00:01.1235</t>
        </is>
      </c>
      <c r="DL61" s="0" t="inlineStr">
        <is>
          <t>7行 4列，源：12:30:45.123000 备：</t>
        </is>
      </c>
      <c r="DN61" s="0" t="inlineStr">
        <is>
          <t>9行 1列，源： 备：X</t>
        </is>
      </c>
      <c r="DT61" s="0" t="inlineStr">
        <is>
          <t>6行 5列，源：12:30:45.123000 备：00:00:01.1235</t>
        </is>
      </c>
      <c r="DU61" s="0" t="inlineStr">
        <is>
          <t>14行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X61" s="0" t="inlineStr">
        <is>
          <t>4行 15列，源：nan 备：</t>
        </is>
      </c>
      <c r="EC61" s="0" t="inlineStr">
        <is>
          <t>7行 4列，源：12:30:45.123000 备：</t>
        </is>
      </c>
      <c r="EG61" s="0" t="inlineStr">
        <is>
          <t>7行 4列，源：12:30:45.123000 备：05:44:11.123</t>
        </is>
      </c>
      <c r="EH61" s="0" t="inlineStr">
        <is>
          <t>4行 15列，源：nan 备：</t>
        </is>
      </c>
      <c r="EK61" s="0" t="inlineStr">
        <is>
          <t>7行 7列，源：None 备：12:30:45.000000</t>
        </is>
      </c>
      <c r="EN61" s="0" t="inlineStr">
        <is>
          <t>6行 8列，源：00:00:01.123456 备：12:30:45.0000000</t>
        </is>
      </c>
      <c r="EO61" s="0" t="inlineStr">
        <is>
          <t>14行 3列，源：b'HelloWorldTestData'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EP61" s="0" t="inlineStr">
        <is>
          <t>4行 15列，源：nan 备：</t>
        </is>
      </c>
      <c r="ER61" s="0" t="inlineStr">
        <is>
          <t>31行 0列，源：80 备：31</t>
        </is>
      </c>
      <c r="ES61" s="0" t="inlineStr">
        <is>
          <t>4行 15列，源：nan 备：</t>
        </is>
      </c>
      <c r="ET61" s="0" t="inlineStr">
        <is>
          <t>6行 5列，源：1933-05-11 15:30:45.1235 +01:00 备：2026-04-17 16:56:52.8279 +08:00</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c_dtoffset_4列源备映射错误，源端为datetimeoffset None位	期望更改为text	实际备端为datetimeoffset None位</t>
        </is>
      </c>
      <c r="AI62" s="0" t="inlineStr">
        <is>
          <t>9行 0列，源：10 备：3</t>
        </is>
      </c>
      <c r="AM62" s="0" t="inlineStr">
        <is>
          <t>5行 16列，源：1.2345669834560371e-20 备：0.000000</t>
        </is>
      </c>
      <c r="AP62" s="0" t="inlineStr">
        <is>
          <t>30行 1列，源：2000-05-11 14:30:29 备：2004-12-24 23:59:59.990</t>
        </is>
      </c>
      <c r="AS62" s="0" t="inlineStr">
        <is>
          <t>5行 14列，源：None 备：9999999999.99</t>
        </is>
      </c>
      <c r="AT62" s="0" t="inlineStr">
        <is>
          <t>30行 1列，源：1998-05-05 23:59:59.997000 备：2023-05-11 00:00:00.123</t>
        </is>
      </c>
      <c r="AZ62" s="0" t="inlineStr">
        <is>
          <t>9行 0列，源：10 备：3</t>
        </is>
      </c>
      <c r="BE62" s="0" t="inlineStr">
        <is>
          <t>6行 6列，源：2065-05-11 14:30:45.123460 备：1945-05-11 14:30:45.12346</t>
        </is>
      </c>
      <c r="BG62" s="0" t="inlineStr">
        <is>
          <t>3行 19列，源：None 备：</t>
        </is>
      </c>
      <c r="BI62" s="0" t="inlineStr">
        <is>
          <t>6行 6列，源：2065-05-11 14:30:45.123460 备：2026-04-17 17:17:33.41330</t>
        </is>
      </c>
      <c r="BJ62" s="0" t="inlineStr">
        <is>
          <t>4行 6列，源：None 备：-123456780123456781234589012345678</t>
        </is>
      </c>
      <c r="BL62" s="0" t="inlineStr">
        <is>
          <t>9行 2列，源：                     备：This is a nchar stri</t>
        </is>
      </c>
      <c r="BO62" s="0" t="inlineStr">
        <is>
          <t>9行 0列，源：10 备：3</t>
        </is>
      </c>
      <c r="BP62" s="0" t="inlineStr">
        <is>
          <t>15行 0列，源：26 备：27</t>
        </is>
      </c>
      <c r="BV62" s="0" t="inlineStr">
        <is>
          <t>6行 6列，源：1933-05-11 15:30:45.12346 +01:00 备：2026-04-17 17:18:20.56779 +08:00</t>
        </is>
      </c>
      <c r="BX62" s="0" t="inlineStr">
        <is>
          <t>6行 6列，源：1933-05-11 15:30:45.12346 +01:00 备：0001-01-01 00:00:00.00000 +00:00</t>
        </is>
      </c>
      <c r="BY62" s="0" t="inlineStr">
        <is>
          <t>6行 6列，源：1933-05-11 15:30:45.12346 +01:00 备：2026-04-17 17:18:31.53698 +08:00</t>
        </is>
      </c>
      <c r="CA62" s="0" t="inlineStr">
        <is>
          <t>15行 0列，源：58 备：54</t>
        </is>
      </c>
      <c r="CB62" s="0" t="inlineStr">
        <is>
          <t>6行 6列，源：1933-05-11 15:30:45.12346 +01:00 备：2000-05-11 00:30:45.12346 +09:00</t>
        </is>
      </c>
      <c r="CD62" s="0" t="inlineStr">
        <is>
          <t>12行 0列，源：13 备：9</t>
        </is>
      </c>
      <c r="CE62" s="0" t="inlineStr">
        <is>
          <t>7行 5列，源：2000-05-11 00:30:45.1235 +09:00 备：0001-01-01 00:00:00.0000 +00:00</t>
        </is>
      </c>
      <c r="CF62" s="0" t="inlineStr">
        <is>
          <t>6行 6列，源：12:30:45.123000 备：00:00:00.00000</t>
        </is>
      </c>
      <c r="CG62" s="0" t="inlineStr">
        <is>
          <t>33行 1列，源：1970-01-01 备：2020-02-29</t>
        </is>
      </c>
      <c r="CM62" s="0" t="inlineStr">
        <is>
          <t>5行 10列，源：None 备：</t>
        </is>
      </c>
      <c r="DA62" s="0" t="inlineStr">
        <is>
          <t>4行 18列，源：None 备：99.5000</t>
        </is>
      </c>
      <c r="DH62" s="0" t="inlineStr">
        <is>
          <t>9行 0列，源：10 备：3</t>
        </is>
      </c>
      <c r="DJ62" s="0" t="inlineStr">
        <is>
          <t>6行 6列，源：12:30:45.123000 备：</t>
        </is>
      </c>
      <c r="DL62" s="0" t="inlineStr">
        <is>
          <t>7行 5列，源：12:30:45.123400 备：00:00:01.1235</t>
        </is>
      </c>
      <c r="DN62" s="0" t="inlineStr">
        <is>
          <t>9行 2列，源： 备：This is a nchar stri</t>
        </is>
      </c>
      <c r="DT62" s="0" t="inlineStr">
        <is>
          <t>6行 6列，源：12:30:45.123000 备：</t>
        </is>
      </c>
      <c r="DU62" s="0" t="inlineStr">
        <is>
          <t>15行 0列，源：26 备：27</t>
        </is>
      </c>
      <c r="DX62" s="0" t="inlineStr">
        <is>
          <t>4行 16列，源：nan 备：</t>
        </is>
      </c>
      <c r="EC62" s="0" t="inlineStr">
        <is>
          <t>7行 5列，源：12:30:45.123400 备：00:00:01.1235</t>
        </is>
      </c>
      <c r="EG62" s="0" t="inlineStr">
        <is>
          <t>7行 5列，源：09:12:34.123500 备：12:00:00.1235</t>
        </is>
      </c>
      <c r="EH62" s="0" t="inlineStr">
        <is>
          <t>4行 16列，源：nan 备：</t>
        </is>
      </c>
      <c r="EK62" s="0" t="inlineStr">
        <is>
          <t>7行 8列，源：12:00:00.123456 备：12:30:45.0000000</t>
        </is>
      </c>
      <c r="EN62" s="0" t="inlineStr">
        <is>
          <t>7行 0列，源：14 备：9</t>
        </is>
      </c>
      <c r="EO62" s="0" t="inlineStr">
        <is>
          <t>15行 0列，源：58 备：56</t>
        </is>
      </c>
      <c r="EP62" s="0" t="inlineStr">
        <is>
          <t>4行 16列，源：nan 备：</t>
        </is>
      </c>
      <c r="ER62" s="0" t="inlineStr">
        <is>
          <t>31行 1列，源：2079-06-05 23:59:00 备：1900-01-02 00:00:00</t>
        </is>
      </c>
      <c r="ES62" s="0" t="inlineStr">
        <is>
          <t>4行 16列，源：nan 备：</t>
        </is>
      </c>
      <c r="ET62" s="0" t="inlineStr">
        <is>
          <t>6行 6列，源：1933-05-11 15:30:45.12346 +01:00 备：2026-04-17 16:56:52.82789 +08:00</t>
        </is>
      </c>
    </row>
    <row r="63">
      <c r="B63" s="0" t="inlineStr">
        <is>
          <t>NULL</t>
        </is>
      </c>
      <c r="C63" s="0" t="inlineStr">
        <is>
          <t>NULL</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c_dtoffset_5列源备映射错误，源端为datetimeoffset None位	期望更改为text	实际备端为datetimeoffset None位</t>
        </is>
      </c>
      <c r="AI63" s="0" t="inlineStr">
        <is>
          <t xml:space="preserve">9行 1列，源：Y 备： </t>
        </is>
      </c>
      <c r="AM63" s="0" t="inlineStr">
        <is>
          <t>5行 18列，源：None 备：</t>
        </is>
      </c>
      <c r="AP63" s="0" t="inlineStr">
        <is>
          <t>31行 0列，源：58 备：19</t>
        </is>
      </c>
      <c r="AS63" s="0" t="inlineStr">
        <is>
          <t>5行 15列，源：1.23456789012345e-30 备：0.0000000000000</t>
        </is>
      </c>
      <c r="AT63" s="0" t="inlineStr">
        <is>
          <t>31行 0列，源：113 备：214</t>
        </is>
      </c>
      <c r="AZ63" s="0" t="inlineStr">
        <is>
          <t xml:space="preserve">9行 1列，源：Y 备： </t>
        </is>
      </c>
      <c r="BE63" s="0" t="inlineStr">
        <is>
          <t>6行 7列，源：2065-05-11 14:30:45.123457 备：1945-05-11 14:30:45.123457</t>
        </is>
      </c>
      <c r="BG63" s="0" t="inlineStr">
        <is>
          <t>4行 0列，源：14 备：15</t>
        </is>
      </c>
      <c r="BI63" s="0" t="inlineStr">
        <is>
          <t>6行 7列，源：2065-05-11 14:30:45.123457 备：2026-04-17 17:17:33.413301</t>
        </is>
      </c>
      <c r="BJ63" s="0" t="inlineStr">
        <is>
          <t>4行 7列，源：None 备：-0.45678901234792345678901456789010000000</t>
        </is>
      </c>
      <c r="BL63" s="0" t="inlineStr">
        <is>
          <t>9行 2列，源：                     备：This is a nchar stri</t>
        </is>
      </c>
      <c r="BO63" s="0" t="inlineStr">
        <is>
          <t xml:space="preserve">9行 1列，源：Y 备： </t>
        </is>
      </c>
      <c r="BP63" s="0" t="inlineStr">
        <is>
          <t>15行 1列，源：b'p' 备：54</t>
        </is>
      </c>
      <c r="BV63" s="0" t="inlineStr">
        <is>
          <t>6行 7列，源：1933-05-11 15:30:45.123457 +01:00 备：2026-04-17 17:18:20.567790 +08:00</t>
        </is>
      </c>
      <c r="BX63" s="0" t="inlineStr">
        <is>
          <t>6行 7列，源：1933-05-11 15:30:45.123457 +01:00 备：0001-01-01 00:00:00.000000 +00:00</t>
        </is>
      </c>
      <c r="BY63" s="0" t="inlineStr">
        <is>
          <t>6行 7列，源：1933-05-11 15:30:45.123457 +01:00 备：2026-04-17 17:18:31.536981 +08:00</t>
        </is>
      </c>
      <c r="CA63" s="0" t="inlineStr">
        <is>
          <t>15行 1列，源：b'B' 备：20</t>
        </is>
      </c>
      <c r="CB63" s="0" t="inlineStr">
        <is>
          <t>6行 7列，源：1933-05-11 15:30:45.123457 +01:00 备：2000-05-11 00:30:45.123457 +09:00</t>
        </is>
      </c>
      <c r="CD63" s="0" t="inlineStr">
        <is>
          <t>12行 2列，源：None 备：</t>
        </is>
      </c>
      <c r="CE63" s="0" t="inlineStr">
        <is>
          <t>7行 6列，源：2000-05-11 00:30:45.12346 +09:00 备：0001-01-01 00:00:00.00000 +00:00</t>
        </is>
      </c>
      <c r="CF63" s="0" t="inlineStr">
        <is>
          <t>6行 7列，源：12:30:45.123000 备：00:00:00.000000</t>
        </is>
      </c>
      <c r="CG63" s="0" t="inlineStr">
        <is>
          <t>34行 0列，源：178 备：7</t>
        </is>
      </c>
      <c r="CM63" s="0" t="inlineStr">
        <is>
          <t>5行 11列，源：None 备：</t>
        </is>
      </c>
      <c r="DA63" s="0" t="inlineStr">
        <is>
          <t>4行 19列，源：None 备：</t>
        </is>
      </c>
      <c r="DH63" s="0" t="inlineStr">
        <is>
          <t xml:space="preserve">9行 1列，源：Y 备： </t>
        </is>
      </c>
      <c r="DJ63" s="0" t="inlineStr">
        <is>
          <t>6行 7列，源：12:30:45.123000 备：00:00:01.123457</t>
        </is>
      </c>
      <c r="DL63" s="0" t="inlineStr">
        <is>
          <t>7行 6列，源：12:30:45.123400 备：</t>
        </is>
      </c>
      <c r="DN63" s="0" t="inlineStr">
        <is>
          <t>9行 2列，源： 备：This is a nchar stri</t>
        </is>
      </c>
      <c r="DT63" s="0" t="inlineStr">
        <is>
          <t>6行 7列，源：12:30:45.123000 备：00:00:01.123457</t>
        </is>
      </c>
      <c r="DU63" s="0" t="inlineStr">
        <is>
          <t>15行 1列，源：b'\xa1' 备：54</t>
        </is>
      </c>
      <c r="DX63" s="0" t="inlineStr">
        <is>
          <t>4行 17列，源：None 备：</t>
        </is>
      </c>
      <c r="EC63" s="0" t="inlineStr">
        <is>
          <t>7行 6列，源：12:30:45.123400 备：</t>
        </is>
      </c>
      <c r="EG63" s="0" t="inlineStr">
        <is>
          <t>7行 6列，源：12:30:45.123400 备：05:44:11.12346</t>
        </is>
      </c>
      <c r="EH63" s="0" t="inlineStr">
        <is>
          <t>4行 17列，源：None 备：</t>
        </is>
      </c>
      <c r="EK63" s="0" t="inlineStr">
        <is>
          <t>8行 0列，源：15 备：9</t>
        </is>
      </c>
      <c r="EN63" s="0" t="inlineStr">
        <is>
          <t>7行 1列，源：None 备：12:30:45</t>
        </is>
      </c>
      <c r="EO63" s="0" t="inlineStr">
        <is>
          <t>15行 1列，源：b'B' 备：5C</t>
        </is>
      </c>
      <c r="EP63" s="0" t="inlineStr">
        <is>
          <t>4行 17列，源：None 备：</t>
        </is>
      </c>
      <c r="ER63" s="0" t="inlineStr">
        <is>
          <t>32行 0列，源：81 备：32</t>
        </is>
      </c>
      <c r="ES63" s="0" t="inlineStr">
        <is>
          <t>4行 17列，源：None 备：</t>
        </is>
      </c>
      <c r="ET63" s="0" t="inlineStr">
        <is>
          <t>6行 7列，源：1933-05-11 15:30:45.123457 +01:00 备：2026-04-17 16:56:52.827894 +08:00</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c_dtoffset_6列源备映射错误，源端为datetimeoffset None位	期望更改为text	实际备端为datetimeoffset None位</t>
        </is>
      </c>
      <c r="AI64" s="0" t="inlineStr">
        <is>
          <t xml:space="preserve">9行 1列，源：Y 备： </t>
        </is>
      </c>
      <c r="AM64" s="0" t="inlineStr">
        <is>
          <t>5行 19列，源：False 备：0</t>
        </is>
      </c>
      <c r="AP64" s="0" t="inlineStr">
        <is>
          <t>31行 1列，源：2068-05-11 14:30:30 备：1753-01-02 00:00:00.000</t>
        </is>
      </c>
      <c r="AS64" s="0" t="inlineStr">
        <is>
          <t>5行 16列，源：1.2345669834560371e-20 备：0.000000</t>
        </is>
      </c>
      <c r="AT64" s="0" t="inlineStr">
        <is>
          <t>31行 1列，源：1999-06-06 23:59:59.997000 备：2000-05-01 23:59:59.993</t>
        </is>
      </c>
      <c r="AZ64" s="0" t="inlineStr">
        <is>
          <t xml:space="preserve">9行 1列，源：Y 备： </t>
        </is>
      </c>
      <c r="BE64" s="0" t="inlineStr">
        <is>
          <t>6行 8列，源：2065-05-11 14:30:45.123456 备：1945-05-11 14:30:45.1234567</t>
        </is>
      </c>
      <c r="BG64" s="0" t="inlineStr">
        <is>
          <t>4行 1列，源：nan 备：</t>
        </is>
      </c>
      <c r="BI64" s="0" t="inlineStr">
        <is>
          <t>6行 8列，源：2065-05-11 14:30:45.123456 备：2026-04-17 17:17:33.4133005</t>
        </is>
      </c>
      <c r="BJ64" s="0" t="inlineStr">
        <is>
          <t>4行 8列，源：None 备：-123456789012347890345678.9874321000</t>
        </is>
      </c>
      <c r="BL64"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64" s="0" t="inlineStr">
        <is>
          <t xml:space="preserve">9行 1列，源：Y 备： </t>
        </is>
      </c>
      <c r="BP64" s="0" t="inlineStr">
        <is>
          <t>15行 2列，源：b'2s\x91\xb2\xca\xeb\xbb38{\xf9;\xc6\x13v/\x88l"\x82' 备：48656C6C6F576F726C6400000000000000000000</t>
        </is>
      </c>
      <c r="BV64" s="0" t="inlineStr">
        <is>
          <t>6行 8列，源：1933-05-11 15:30:45.1234567 +01:00 备：2026-04-17 17:18:20.5677897 +08:00</t>
        </is>
      </c>
      <c r="BX64" s="0" t="inlineStr">
        <is>
          <t>6行 8列，源：1933-05-11 15:30:45.1234567 +01:00 备：0001-01-01 00:00:00.0000000 +00:00</t>
        </is>
      </c>
      <c r="BY64" s="0" t="inlineStr">
        <is>
          <t>6行 8列，源：1933-05-11 15:30:45.1234567 +01:00 备：2026-04-17 17:18:31.5369809 +08:00</t>
        </is>
      </c>
      <c r="CA64" s="0" t="inlineStr">
        <is>
          <t>15行 2列，源：b'\xc9\xcf\xba\xa3\xd3\xa2\xb7\xbd\xc8\xed\xbc\xfe\xb9\xc9\xb7\xdd\xb9\xab\xcb\xbe' 备：2020202020202020202020202020202020202020</t>
        </is>
      </c>
      <c r="CB64" s="0" t="inlineStr">
        <is>
          <t>6行 8列，源：1933-05-11 15:30:45.1234567 +01:00 备：2000-05-11 00:30:45.1234567 +09:00</t>
        </is>
      </c>
      <c r="CD64" s="0" t="inlineStr">
        <is>
          <t>12行 4列，源：None 备：</t>
        </is>
      </c>
      <c r="CE64" s="0" t="inlineStr">
        <is>
          <t>7行 7列，源：2000-05-11 00:30:45.123457 +09:00 备：0001-01-01 00:00:00.000000 +00:00</t>
        </is>
      </c>
      <c r="CF64" s="0" t="inlineStr">
        <is>
          <t>6行 8列，源：12:30:45.123000 备：00:00:00.0000000</t>
        </is>
      </c>
      <c r="CG64" s="0" t="inlineStr">
        <is>
          <t>34行 1列，源：0001-01-02 备：1970-01-01</t>
        </is>
      </c>
      <c r="CM64" s="0" t="inlineStr">
        <is>
          <t>5行 12列，源：None 备：</t>
        </is>
      </c>
      <c r="DA64" s="0" t="inlineStr">
        <is>
          <t>5行 0列，源：9 备：15</t>
        </is>
      </c>
      <c r="DH64" s="0" t="inlineStr">
        <is>
          <t xml:space="preserve">9行 1列，源：Y 备： </t>
        </is>
      </c>
      <c r="DJ64" s="0" t="inlineStr">
        <is>
          <t>6行 8列，源：12:30:45.123000 备：</t>
        </is>
      </c>
      <c r="DL64" s="0" t="inlineStr">
        <is>
          <t>7行 7列，源：12:30:45.123400 备：00:00:01.123457</t>
        </is>
      </c>
      <c r="DN64"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64" s="0" t="inlineStr">
        <is>
          <t>6行 8列，源：12:30:45.123000 备：</t>
        </is>
      </c>
      <c r="DU64" s="0" t="inlineStr">
        <is>
          <t>15行 2列，源：b'\xad~\xd4\x1b\x1d\x00\xf9+E\xf2\\\xf2"\x9e$\xd4w\xc6;_~\xf7\xcd\xf5\x1e0\xe1a=\xe5I\x85R\xfdv\xf5VkK\x80?\xcb\xeb\x0b\x7f\xb9\x18=\xc9\xcb\xca\xfa\xb6\xb9 \xae\x14\xda0.:\xecKk\xe4\x92\xe0+\x0f\xf4\x85\x06]\x94\xb18\xbf\x11\x87\\\xf2\xc7N#\tN:\x16\xd0U\x8eG\xc5\xa6\x0eFF\xaa\xd9K' 备：48656C6C6F576F726C64</t>
        </is>
      </c>
      <c r="DX64" s="0" t="inlineStr">
        <is>
          <t>4行 18列，源：None 备：</t>
        </is>
      </c>
      <c r="EC64" s="0" t="inlineStr">
        <is>
          <t>7行 7列，源：12:30:45.123400 备：00:00:01.123457</t>
        </is>
      </c>
      <c r="EG64" s="0" t="inlineStr">
        <is>
          <t>7行 7列，源：09:12:34.123457 备：12:00:00.123457</t>
        </is>
      </c>
      <c r="EH64" s="0" t="inlineStr">
        <is>
          <t>4行 18列，源：None 备：</t>
        </is>
      </c>
      <c r="EK64" s="0" t="inlineStr">
        <is>
          <t>8行 1列，源：00:00:01 备：12:30:45</t>
        </is>
      </c>
      <c r="EN64" s="0" t="inlineStr">
        <is>
          <t>7行 2列，源：12:00:00.100000 备：12:30:45.1</t>
        </is>
      </c>
      <c r="EO64" s="0" t="inlineStr">
        <is>
          <t>15行 2列，源：b'\xc9\xcf\xba\xa3\xd3\xa2\xb7\xbd\xc8\xed\xbc\xfe\xb9\xc9\xb7\xdd\xb9\xab\xcb\xbe' 备：6D43AC05C60829CB35A65D48C355AEA1031AD766E6F65C49CE4D2CBEE49D104E3AC8C87D4D6ACE7AD61DF14F0EC02A2414AAC51D3FF9AD5D711E71DA9BF7A5A16FAC3BCB542A12C82CC1E5FE1B8F4E1476C6D977DAC6FA4678C8C33D6BB677AEBD65F62C</t>
        </is>
      </c>
      <c r="EP64" s="0" t="inlineStr">
        <is>
          <t>4行 18列，源：None 备：</t>
        </is>
      </c>
      <c r="ER64" s="0" t="inlineStr">
        <is>
          <t>32行 1列，源：1900-01-02 00:00:00 备：1990-11-26 00:01:00</t>
        </is>
      </c>
      <c r="ES64" s="0" t="inlineStr">
        <is>
          <t>4行 18列，源：None 备：</t>
        </is>
      </c>
      <c r="ET64" s="0" t="inlineStr">
        <is>
          <t>6行 8列，源：1933-05-11 15:30:45.1234567 +01:00 备：2026-04-17 16:56:52.8278938 +08:00</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c_dtoffset列源备映射错误，源端为datetimeoffset None位	期望更改为text	实际备端为datetimeoffset None位</t>
        </is>
      </c>
      <c r="AI65" s="0" t="inlineStr">
        <is>
          <t xml:space="preserve">9行 2列，源：上海英方股份               备：                    </t>
        </is>
      </c>
      <c r="AM65" s="0" t="inlineStr">
        <is>
          <t>6行 0列，源：7 备：15</t>
        </is>
      </c>
      <c r="AP65" s="0" t="inlineStr">
        <is>
          <t>32行 0列，源：59 备：2</t>
        </is>
      </c>
      <c r="AS65" s="0" t="inlineStr">
        <is>
          <t>5行 18列，源：None 备：</t>
        </is>
      </c>
      <c r="AT65" s="0" t="inlineStr">
        <is>
          <t>32行 0列，源：114 备：215</t>
        </is>
      </c>
      <c r="AZ65" s="0" t="inlineStr">
        <is>
          <t xml:space="preserve">9行 2列，源：上海英方股份               备：                    </t>
        </is>
      </c>
      <c r="BE65" s="0" t="inlineStr">
        <is>
          <t>7行 0列，源：21 备：177</t>
        </is>
      </c>
      <c r="BG65" s="0" t="inlineStr">
        <is>
          <t>4行 2列，源：nan 备：</t>
        </is>
      </c>
      <c r="BI65" s="0" t="inlineStr">
        <is>
          <t>7行 0列，源：53 备：205</t>
        </is>
      </c>
      <c r="BJ65" s="0" t="inlineStr">
        <is>
          <t>4行 9列，源：None 备：-98743298765.4321</t>
        </is>
      </c>
      <c r="BL65" s="0" t="inlineStr">
        <is>
          <t xml:space="preserve">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65" s="0" t="inlineStr">
        <is>
          <t xml:space="preserve">9行 2列，源：上海英方股份 备：                    </t>
        </is>
      </c>
      <c r="BP65" s="0" t="inlineStr">
        <is>
          <t>15行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65" s="0" t="inlineStr">
        <is>
          <t>7行 0列，源：8 备：4</t>
        </is>
      </c>
      <c r="BX65" s="0" t="inlineStr">
        <is>
          <t>7行 0列，源：8 备：127</t>
        </is>
      </c>
      <c r="BY65" s="0" t="inlineStr">
        <is>
          <t>7行 0列，源：8 备：4</t>
        </is>
      </c>
      <c r="CA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CB65" s="0" t="inlineStr">
        <is>
          <t>7行 0列，源：8 备：109</t>
        </is>
      </c>
      <c r="CD65" s="0" t="inlineStr">
        <is>
          <t>12行 6列，源：None 备：</t>
        </is>
      </c>
      <c r="CE65" s="0" t="inlineStr">
        <is>
          <t>7行 8列，源：2000-05-11 00:30:45.1234567 +09:00 备：0001-01-01 00:00:00.0000000 +00:00</t>
        </is>
      </c>
      <c r="CF65" s="0" t="inlineStr">
        <is>
          <t>7行 0列，源：8 备：3</t>
        </is>
      </c>
      <c r="CG65" s="0" t="inlineStr">
        <is>
          <t>35行 0列，源：180 备：77</t>
        </is>
      </c>
      <c r="CM65" s="0" t="inlineStr">
        <is>
          <t>5行 13列，源：None 备：</t>
        </is>
      </c>
      <c r="DA65" s="0" t="inlineStr">
        <is>
          <t>5行 1列，源：nan 备：</t>
        </is>
      </c>
      <c r="DH65" s="0" t="inlineStr">
        <is>
          <t xml:space="preserve">9行 2列，源：上海英方股份 备：                    </t>
        </is>
      </c>
      <c r="DJ65" s="0" t="inlineStr">
        <is>
          <t>7行 0列，源：8 备：16</t>
        </is>
      </c>
      <c r="DL65" s="0" t="inlineStr">
        <is>
          <t>7行 8列，源：12:30:45.123400 备：</t>
        </is>
      </c>
      <c r="DN65" s="0" t="inlineStr">
        <is>
          <t>9行 3列，源：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65" s="0" t="inlineStr">
        <is>
          <t>7行 0列，源：8 备：16</t>
        </is>
      </c>
      <c r="DU65" s="0" t="inlineStr">
        <is>
          <t>15行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DX65" s="0" t="inlineStr">
        <is>
          <t>4行 19列，源：None 备：</t>
        </is>
      </c>
      <c r="EC65" s="0" t="inlineStr">
        <is>
          <t>7行 8列，源：12:30:45.123400 备：</t>
        </is>
      </c>
      <c r="EG65" s="0" t="inlineStr">
        <is>
          <t>7行 8列，源：12:30:45.123400 备：05:44:11.1234567</t>
        </is>
      </c>
      <c r="EH65" s="0" t="inlineStr">
        <is>
          <t>4行 19列，源：None 备：</t>
        </is>
      </c>
      <c r="EK65" s="0" t="inlineStr">
        <is>
          <t>8行 2列，源：None 备：12:30:45.1</t>
        </is>
      </c>
      <c r="EN65" s="0" t="inlineStr">
        <is>
          <t>7行 3列，源：None 备：12:30:45.12</t>
        </is>
      </c>
      <c r="EO65" s="0" t="inlineStr">
        <is>
          <t>15行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P65" s="0" t="inlineStr">
        <is>
          <t>4行 19列，源：None 备：</t>
        </is>
      </c>
      <c r="ER65" s="0" t="inlineStr">
        <is>
          <t>33行 0列，源：82 备：33</t>
        </is>
      </c>
      <c r="ES65" s="0" t="inlineStr">
        <is>
          <t>4行 19列，源：None 备：</t>
        </is>
      </c>
      <c r="ET65" s="0" t="inlineStr">
        <is>
          <t>7行 0列，源：8 备：4</t>
        </is>
      </c>
    </row>
    <row r="66">
      <c r="A66" s="0" t="inlineStr">
        <is>
          <t>info_nchar_dml_single_pk_irp</t>
        </is>
      </c>
      <c r="K66" s="0" t="inlineStr">
        <is>
          <t>[0;34m info_nchar_dml_single_pk_irp [0m源备字段数相同，源端字段：4 	备端字段4</t>
        </is>
      </c>
      <c r="W66" s="2">
        <f>HYPERLINK("#2026041905hbase4!AI2","NO 源备存在差异，共108个")</f>
        <v/>
      </c>
      <c r="X66" s="0">
        <f>A66</f>
        <v/>
      </c>
      <c r="AI66" s="0" t="inlineStr">
        <is>
          <t xml:space="preserve">9行 2列，源：上海英方股份               备：                    </t>
        </is>
      </c>
      <c r="AM66" s="0" t="inlineStr">
        <is>
          <t>6行 2列，源：32767.0 备：</t>
        </is>
      </c>
      <c r="AP66" s="0" t="inlineStr">
        <is>
          <t>32行 1列，源：1981-05-11 14:30:59 备：1900-01-01 00:00:00.000</t>
        </is>
      </c>
      <c r="AS66" s="0" t="inlineStr">
        <is>
          <t>5行 19列，源：False 备：0</t>
        </is>
      </c>
      <c r="AT66" s="0" t="inlineStr">
        <is>
          <t>32行 1列，源：2000-05-01 23:59:59.993000 备：2001-04-09 23:59:59.993</t>
        </is>
      </c>
      <c r="AZ66" s="0" t="inlineStr">
        <is>
          <t xml:space="preserve">9行 2列，源：上海英方股份               备：                    </t>
        </is>
      </c>
      <c r="BE66" s="0" t="inlineStr">
        <is>
          <t>7行 1列，源：None 备：2065-05-11 14:30:45</t>
        </is>
      </c>
      <c r="BG66" s="0" t="inlineStr">
        <is>
          <t>4行 3列，源：nan 备：</t>
        </is>
      </c>
      <c r="BI66" s="0" t="inlineStr">
        <is>
          <t>7行 1列，源：2026-04-17 17:17:33 备：9999-12-31 23:59:59</t>
        </is>
      </c>
      <c r="BJ66" s="0" t="inlineStr">
        <is>
          <t>4行 10列，源：None 备：-321</t>
        </is>
      </c>
      <c r="BL66" s="0" t="inlineStr">
        <is>
          <t>10行 0列，源：23 备：26</t>
        </is>
      </c>
      <c r="BO66" s="0" t="inlineStr">
        <is>
          <t xml:space="preserve">9行 2列，源：上海英方股份 备：                    </t>
        </is>
      </c>
      <c r="BP66" s="0" t="inlineStr">
        <is>
          <t>16行 0列，源：27 备：28</t>
        </is>
      </c>
      <c r="BV66" s="0" t="inlineStr">
        <is>
          <t>7行 1列，源：2000-05-11 00:30:45 +09:00 备：0001-01-01 00:00:00 +00:00</t>
        </is>
      </c>
      <c r="BX66" s="0" t="inlineStr">
        <is>
          <t>7行 1列，源：2000-05-11 00:30:45 +09:00 备：1933-05-11 15:30:45 +01:00</t>
        </is>
      </c>
      <c r="BY66" s="0" t="inlineStr">
        <is>
          <t>7行 1列，源：2000-05-11 00:30:45 +09:00 备：0001-01-01 00:00:00 +00:00</t>
        </is>
      </c>
      <c r="CA66" s="0" t="inlineStr">
        <is>
          <t>16行 0列，源：59 备：55</t>
        </is>
      </c>
      <c r="CB66" s="0" t="inlineStr">
        <is>
          <t>7行 1列，源：2000-05-11 00:30:45 +09:00 备：1999-05-16 01:30:45 +10:15</t>
        </is>
      </c>
      <c r="CD66" s="0" t="inlineStr">
        <is>
          <t>12行 8列，源：None 备：</t>
        </is>
      </c>
      <c r="CE66" s="0" t="inlineStr">
        <is>
          <t>8行 0列，源：9 备：5</t>
        </is>
      </c>
      <c r="CF66" s="0" t="inlineStr">
        <is>
          <t>7行 1列，源：12:30:45 备：23:59:59</t>
        </is>
      </c>
      <c r="CG66" s="0" t="inlineStr">
        <is>
          <t>35行 1列，源：1990-05-11 备：1970-01-01</t>
        </is>
      </c>
      <c r="CM66" s="0" t="inlineStr">
        <is>
          <t>5行 14列，源：None 备：</t>
        </is>
      </c>
      <c r="DA66" s="0" t="inlineStr">
        <is>
          <t>5行 2列，源：nan 备：</t>
        </is>
      </c>
      <c r="DH66" s="0" t="inlineStr">
        <is>
          <t xml:space="preserve">9行 2列，源：上海英方股份 备：                    </t>
        </is>
      </c>
      <c r="DJ66" s="0" t="inlineStr">
        <is>
          <t>7行 1列，源：12:30:45 备：12:00:00</t>
        </is>
      </c>
      <c r="DL66" s="0" t="inlineStr">
        <is>
          <t>8行 0列，源：9 备：16</t>
        </is>
      </c>
      <c r="DN66" s="0" t="inlineStr">
        <is>
          <t>10行 0列，源：23 备：26</t>
        </is>
      </c>
      <c r="DT66" s="0" t="inlineStr">
        <is>
          <t>7行 1列，源：12:30:45 备：12:00:00</t>
        </is>
      </c>
      <c r="DU66" s="0" t="inlineStr">
        <is>
          <t>16行 0列，源：27 备：28</t>
        </is>
      </c>
      <c r="DX66" s="0" t="inlineStr">
        <is>
          <t>5行 0列，源：6 备：14</t>
        </is>
      </c>
      <c r="EC66" s="0" t="inlineStr">
        <is>
          <t>8行 0列，源：9 备：16</t>
        </is>
      </c>
      <c r="EG66" s="0" t="inlineStr">
        <is>
          <t>8行 0列，源：9 备：2</t>
        </is>
      </c>
      <c r="EH66" s="0" t="inlineStr">
        <is>
          <t>5行 0列，源：6 备：104</t>
        </is>
      </c>
      <c r="EK66" s="0" t="inlineStr">
        <is>
          <t>8行 3列，源：00:00:01.120000 备：12:30:45.12</t>
        </is>
      </c>
      <c r="EN66" s="0" t="inlineStr">
        <is>
          <t>7行 4列，源：12:00:00.123000 备：12:30:45.123</t>
        </is>
      </c>
      <c r="EO66" s="0" t="inlineStr">
        <is>
          <t>16行 0列，源：59 备：57</t>
        </is>
      </c>
      <c r="EP66" s="0" t="inlineStr">
        <is>
          <t>5行 0列，源：6 备：14</t>
        </is>
      </c>
      <c r="ER66" s="0" t="inlineStr">
        <is>
          <t>33行 1列，源：1990-11-26 00:01:00 备：2025-05-11 12:00:00</t>
        </is>
      </c>
      <c r="ES66" s="0" t="inlineStr">
        <is>
          <t>5行 0列，源：6 备：104</t>
        </is>
      </c>
      <c r="ET66" s="0" t="inlineStr">
        <is>
          <t>7行 1列，源：2000-05-11 00:30:45 +09:00 备：0001-01-01 00:00:00 +00:00</t>
        </is>
      </c>
    </row>
    <row r="67">
      <c r="B67" s="0" t="inlineStr">
        <is>
          <t>YES</t>
        </is>
      </c>
      <c r="C67" s="0" t="inlineStr">
        <is>
          <t>NULL</t>
        </is>
      </c>
      <c r="D67" s="0" t="inlineStr">
        <is>
          <t>NULL</t>
        </is>
      </c>
      <c r="E67" s="0" t="inlineStr">
        <is>
          <t>NULL</t>
        </is>
      </c>
      <c r="F67" s="0" t="inlineStr">
        <is>
          <t>NULL</t>
        </is>
      </c>
      <c r="G67" s="0" t="inlineStr">
        <is>
          <t>NULL</t>
        </is>
      </c>
      <c r="H67" s="0" t="inlineStr">
        <is>
          <t>NULL</t>
        </is>
      </c>
      <c r="I67" s="0" t="inlineStr">
        <is>
          <t>YES!PK__info_nch__3213E83F0AE78F6F</t>
        </is>
      </c>
      <c r="J67" s="0" t="inlineStr">
        <is>
          <t>YES! 主键相关索引</t>
        </is>
      </c>
      <c r="K67" s="0" t="inlineStr">
        <is>
          <t xml:space="preserve"> NO!  	 id列源备映射错误，源端为int None位	期望更改为text	实际备端为int None位</t>
        </is>
      </c>
      <c r="AI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7" s="0" t="inlineStr">
        <is>
          <t>6行 5列，源：None 备：</t>
        </is>
      </c>
      <c r="AP67" s="0" t="inlineStr">
        <is>
          <t>33行 0列，源：60 备：20</t>
        </is>
      </c>
      <c r="AS67" s="0" t="inlineStr">
        <is>
          <t>6行 0列，源：7 备：15</t>
        </is>
      </c>
      <c r="AT67" s="0" t="inlineStr">
        <is>
          <t>33行 0列，源：115 备：216</t>
        </is>
      </c>
      <c r="AZ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7" s="0" t="inlineStr">
        <is>
          <t>7行 2列，源：None 备：2065-05-11 14:30:45.1</t>
        </is>
      </c>
      <c r="BG67" s="0" t="inlineStr">
        <is>
          <t>4行 4列，源：nan 备：</t>
        </is>
      </c>
      <c r="BI67" s="0" t="inlineStr">
        <is>
          <t>7行 2列，源：2026-04-17 17:17:33.400000 备：9999-12-31 23:59:59.9</t>
        </is>
      </c>
      <c r="BJ67" s="0" t="inlineStr">
        <is>
          <t>4行 11列，源：None 备：-987654321096543210987654321098765432</t>
        </is>
      </c>
      <c r="BL67" s="0" t="inlineStr">
        <is>
          <t>10行 1列，源：A 备：Y</t>
        </is>
      </c>
      <c r="BO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P67" s="0" t="inlineStr">
        <is>
          <t>16行 1列，源：b'T' 备：42</t>
        </is>
      </c>
      <c r="BV67" s="0" t="inlineStr">
        <is>
          <t>7行 2列，源：2000-05-11 00:30:45.1 +09:00 备：0001-01-01 00:00:00.0 +00:00</t>
        </is>
      </c>
      <c r="BX67" s="0" t="inlineStr">
        <is>
          <t>7行 2列，源：2000-05-11 00:30:45.1 +09:00 备：1933-05-11 15:30:45.1 +01:00</t>
        </is>
      </c>
      <c r="BY67" s="0" t="inlineStr">
        <is>
          <t>7行 2列，源：2000-05-11 00:30:45.1 +09:00 备：0001-01-01 00:00:00.0 +00:00</t>
        </is>
      </c>
      <c r="CA67" s="0" t="inlineStr">
        <is>
          <t>16行 1列，源：b'*' 备：41</t>
        </is>
      </c>
      <c r="CB67" s="0" t="inlineStr">
        <is>
          <t>7行 2列，源：2000-05-11 00:30:45.1 +09:00 备：1999-05-16 01:30:45.1 +10:15</t>
        </is>
      </c>
      <c r="CE67" s="0" t="inlineStr">
        <is>
          <t>9行 0列，源：10 备：6</t>
        </is>
      </c>
      <c r="CF67" s="0" t="inlineStr">
        <is>
          <t>7行 2列，源：12:30:45.100000 备：23:59:59.9</t>
        </is>
      </c>
      <c r="CG67" s="0" t="inlineStr">
        <is>
          <t>36行 0列，源：224 备：78</t>
        </is>
      </c>
      <c r="CM67" s="0" t="inlineStr">
        <is>
          <t>5行 15列，源：nan 备：</t>
        </is>
      </c>
      <c r="DA67" s="0" t="inlineStr">
        <is>
          <t>5行 3列，源：nan 备：</t>
        </is>
      </c>
      <c r="DH67"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J67" s="0" t="inlineStr">
        <is>
          <t>7行 2列，源：12:30:45.100000 备：</t>
        </is>
      </c>
      <c r="DL67" s="0" t="inlineStr">
        <is>
          <t>8行 1列，源：12:30:45 备：12:00:00</t>
        </is>
      </c>
      <c r="DN67" s="0" t="inlineStr">
        <is>
          <t>10行 1列，源：A 备：Y</t>
        </is>
      </c>
      <c r="DT67" s="0" t="inlineStr">
        <is>
          <t>7行 2列，源：12:30:45.100000 备：</t>
        </is>
      </c>
      <c r="DU67" s="0" t="inlineStr">
        <is>
          <t>16行 1列，源：b'T' 备：42</t>
        </is>
      </c>
      <c r="DX67" s="0" t="inlineStr">
        <is>
          <t>5行 1列，源：127.0 备：</t>
        </is>
      </c>
      <c r="EC67" s="0" t="inlineStr">
        <is>
          <t>8行 1列，源：12:30:45 备：12:00:00</t>
        </is>
      </c>
      <c r="EG67" s="0" t="inlineStr">
        <is>
          <t>8行 1列，源：12:30:45 备：18:10:06</t>
        </is>
      </c>
      <c r="EH67" s="0" t="inlineStr">
        <is>
          <t>5行 1列，源：127.0 备：</t>
        </is>
      </c>
      <c r="EK67" s="0" t="inlineStr">
        <is>
          <t>8行 4列，源：None 备：12:30:45.123</t>
        </is>
      </c>
      <c r="EN67" s="0" t="inlineStr">
        <is>
          <t>7行 5列，源：None 备：12:30:45.1235</t>
        </is>
      </c>
      <c r="EO67" s="0" t="inlineStr">
        <is>
          <t>16行 1列，源：b'*' 备：54</t>
        </is>
      </c>
      <c r="EP67" s="0" t="inlineStr">
        <is>
          <t>5行 1列，源：127.0 备：</t>
        </is>
      </c>
      <c r="ER67" s="0" t="inlineStr">
        <is>
          <t>34行 0列，源：83 备：34</t>
        </is>
      </c>
      <c r="ES67" s="0" t="inlineStr">
        <is>
          <t>5行 1列，源：127.0 备：</t>
        </is>
      </c>
      <c r="ET67" s="0" t="inlineStr">
        <is>
          <t>7行 2列，源：2000-05-11 00:30:45.1 +09:00 备：0001-01-01 00:00:00.0 +00:00</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c_nchar列源备映射错误，源端为nchar 2位	期望更改为text	实际备端为nchar 2位</t>
        </is>
      </c>
      <c r="AI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AM68" s="0" t="inlineStr">
        <is>
          <t>6行 6列，源：None 备：1</t>
        </is>
      </c>
      <c r="AP68" s="0" t="inlineStr">
        <is>
          <t>33行 1列，源：1996-03-03 23:59:59.997000 备：9999-12-30 23:59:59.997</t>
        </is>
      </c>
      <c r="AS68" s="0" t="inlineStr">
        <is>
          <t>6行 2列，源：0.0 备：</t>
        </is>
      </c>
      <c r="AT68" s="0" t="inlineStr">
        <is>
          <t>33行 1列，源：2001-04-09 23:59:59.993000 备：2002-06-11 23:59:59.993</t>
        </is>
      </c>
      <c r="AZ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E68" s="0" t="inlineStr">
        <is>
          <t>7行 3列，源：None 备：2065-05-11 14:30:45.12</t>
        </is>
      </c>
      <c r="BG68" s="0" t="inlineStr">
        <is>
          <t>4行 15列，源：nan 备：</t>
        </is>
      </c>
      <c r="BI68" s="0" t="inlineStr">
        <is>
          <t>7行 3列，源：2026-04-17 17:17:33.410000 备：9999-12-31 23:59:59.99</t>
        </is>
      </c>
      <c r="BJ68" s="0" t="inlineStr">
        <is>
          <t>4行 12列，源：None 备：-0.12345690123456712345678901234567800000</t>
        </is>
      </c>
      <c r="BL68" s="0" t="inlineStr">
        <is>
          <t>10行 1列，源：A 备：Y</t>
        </is>
      </c>
      <c r="BO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BP68" s="0" t="inlineStr">
        <is>
          <t>16行 2列，源：b'HelloWorld\x00\x00\x00\x00\x00\x00\x00\x00\x00\x00' 备：C9CFBAA3D3A2B7BDC8EDBCFEB9C9B7DDB9ABCBBE</t>
        </is>
      </c>
      <c r="BV68" s="0" t="inlineStr">
        <is>
          <t>7行 3列，源：2000-05-11 00:30:45.12 +09:00 备：0001-01-01 00:00:00.00 +00:00</t>
        </is>
      </c>
      <c r="BX68" s="0" t="inlineStr">
        <is>
          <t>7行 3列，源：2000-05-11 00:30:45.12 +09:00 备：1933-05-11 15:30:45.12 +01:00</t>
        </is>
      </c>
      <c r="BY68" s="0" t="inlineStr">
        <is>
          <t>7行 3列，源：2000-05-11 00:30:45.12 +09:00 备：0001-01-01 00:00:00.00 +00:00</t>
        </is>
      </c>
      <c r="CA68" s="0" t="inlineStr">
        <is>
          <t>16行 2列，源：b'~!@#$%^&amp;*]\x00\x00\x00\x00\x00\x00\x00\x00\x00\x00' 备：5661726961626C65206C656E6774682062696E61</t>
        </is>
      </c>
      <c r="CB68" s="0" t="inlineStr">
        <is>
          <t>7行 3列，源：2000-05-11 00:30:45.12 +09:00 备：1999-05-16 01:30:45.12 +10:15</t>
        </is>
      </c>
      <c r="CE68" s="0" t="inlineStr">
        <is>
          <t>9行 1列，源：2013-03-12 02:00:00 -04:25 备：2063-05-11 10:30:45 -04:00</t>
        </is>
      </c>
      <c r="CF68" s="0" t="inlineStr">
        <is>
          <t>7行 3列，源：12:30:45.120000 备：23:59:59.99</t>
        </is>
      </c>
      <c r="CG68" s="0" t="inlineStr">
        <is>
          <t>36行 1列，源：9999-12-31 备：0001-01-02</t>
        </is>
      </c>
      <c r="CM68" s="0" t="inlineStr">
        <is>
          <t>5行 16列，源：nan 备：</t>
        </is>
      </c>
      <c r="DA68" s="0" t="inlineStr">
        <is>
          <t>5行 4列，源：nan 备：</t>
        </is>
      </c>
      <c r="DH68" s="0" t="inlineStr">
        <is>
          <t xml:space="preserve">9行 3列，源：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 备：                                                                                                                                                                                                                                                                                                                                                                                                                                                                                                                                                                                                                                                                                                                                                                                                                                                                                                                                                                                                                                                                                                                                                                                                                                                                                                                                                                                                                                                                                                                                                                                                                                                                                                                                                                                                                                                                                                                                                                                                                                                                                                                                                                                                                                                                                                                                                                                                                                                                                                                                                                                                                                                                                                                                                                                                                                                                                                                                                                                                                                                                                                                                                                                                                                                                                                                                                                                                                                                                                                                                                                                                                                                                                                                                                                                                                                                                                                                                                                                                                                                                                                                                                                </t>
        </is>
      </c>
      <c r="DJ68" s="0" t="inlineStr">
        <is>
          <t>7行 3列，源：12:30:45.120000 备：12:00:00.12</t>
        </is>
      </c>
      <c r="DL68" s="0" t="inlineStr">
        <is>
          <t>8行 2列，源：12:30:45.100000 备：</t>
        </is>
      </c>
      <c r="DN68" s="0" t="inlineStr">
        <is>
          <t>10行 1列，源：A 备：Y</t>
        </is>
      </c>
      <c r="DT68" s="0" t="inlineStr">
        <is>
          <t>7行 3列，源：12:30:45.120000 备：12:00:00.12</t>
        </is>
      </c>
      <c r="DU68" s="0" t="inlineStr">
        <is>
          <t>16行 2列，源：b'HelloWorld' 备：C9CFBAA3D3A2B7BDC8EDBCFEB9C9B7DDB9ABCBBE</t>
        </is>
      </c>
      <c r="DX68" s="0" t="inlineStr">
        <is>
          <t>5行 2列，源：255.0 备：</t>
        </is>
      </c>
      <c r="EC68" s="0" t="inlineStr">
        <is>
          <t>8行 2列，源：12:30:45.100000 备：</t>
        </is>
      </c>
      <c r="EG68" s="0" t="inlineStr">
        <is>
          <t>8行 2列，源：12:30:45.100000 备：18:10:06.1</t>
        </is>
      </c>
      <c r="EH68" s="0" t="inlineStr">
        <is>
          <t>5行 2列，源：255.0 备：</t>
        </is>
      </c>
      <c r="EK68" s="0" t="inlineStr">
        <is>
          <t>8行 5列，源：00:00:01.123500 备：12:30:45.1235</t>
        </is>
      </c>
      <c r="EN68" s="0" t="inlineStr">
        <is>
          <t>7行 6列，源：12:00:00.123460 备：12:30:45.12345</t>
        </is>
      </c>
      <c r="EO68" s="0" t="inlineStr">
        <is>
          <t>16行 2列，源：b'~!@#$%^&amp;*]' 备：48656C6C6F576F726C64</t>
        </is>
      </c>
      <c r="EP68" s="0" t="inlineStr">
        <is>
          <t>5行 2列，源：255.0 备：</t>
        </is>
      </c>
      <c r="ER68" s="0" t="inlineStr">
        <is>
          <t>34行 1列，源：2025-05-11 12:00:00 备：2023-12-25 23:59:00</t>
        </is>
      </c>
      <c r="ES68" s="0" t="inlineStr">
        <is>
          <t>5行 2列，源：255.0 备：</t>
        </is>
      </c>
      <c r="ET68" s="0" t="inlineStr">
        <is>
          <t>7行 3列，源：2000-05-11 00:30:45.12 +09:00 备：0001-01-01 00:00:00.00 +00:00</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c_nchar20列源备映射错误，源端为nchar 40位	期望更改为text	实际备端为nchar 40位</t>
        </is>
      </c>
      <c r="AI69" s="0" t="inlineStr">
        <is>
          <t>10行 0列，源：11 备：4</t>
        </is>
      </c>
      <c r="AM69" s="0" t="inlineStr">
        <is>
          <t>6行 7列，源：None 备：0.00000000000000000000000000100000000000</t>
        </is>
      </c>
      <c r="AP69" s="0" t="inlineStr">
        <is>
          <t>34行 0列，源：61 备：21</t>
        </is>
      </c>
      <c r="AS69" s="0" t="inlineStr">
        <is>
          <t>6行 3列，源：0 备：123456</t>
        </is>
      </c>
      <c r="AT69" s="0" t="inlineStr">
        <is>
          <t>34行 0列，源：116 备：217</t>
        </is>
      </c>
      <c r="AZ69" s="0" t="inlineStr">
        <is>
          <t>10行 0列，源：11 备：4</t>
        </is>
      </c>
      <c r="BE69" s="0" t="inlineStr">
        <is>
          <t>7行 4列，源：None 备：2065-05-11 14:30:45.123</t>
        </is>
      </c>
      <c r="BG69" s="0" t="inlineStr">
        <is>
          <t>4行 16列，源：nan 备：</t>
        </is>
      </c>
      <c r="BI69" s="0" t="inlineStr">
        <is>
          <t>7行 4列，源：2026-04-17 17:17:33.413000 备：9999-12-31 23:59:59.999</t>
        </is>
      </c>
      <c r="BJ69" s="0" t="inlineStr">
        <is>
          <t>4行 13列，源：None 备：-6543210976543287654321.0987654321</t>
        </is>
      </c>
      <c r="BL69" s="0" t="inlineStr">
        <is>
          <t xml:space="preserve">10行 2列，源：THIS IS A TESTCASEYF 备：€¶I€¶               </t>
        </is>
      </c>
      <c r="BO69" s="0" t="inlineStr">
        <is>
          <t>10行 0列，源：11 备：4</t>
        </is>
      </c>
      <c r="BP69" s="0" t="inlineStr">
        <is>
          <t>16行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V69" s="0" t="inlineStr">
        <is>
          <t>7行 4列，源：2000-05-11 00:30:45.123 +09:00 备：0001-01-01 00:00:00.000 +00:00</t>
        </is>
      </c>
      <c r="BX69" s="0" t="inlineStr">
        <is>
          <t>7行 4列，源：2000-05-11 00:30:45.123 +09:00 备：1933-05-11 15:30:45.123 +01:00</t>
        </is>
      </c>
      <c r="BY69" s="0" t="inlineStr">
        <is>
          <t>7行 4列，源：2000-05-11 00:30:45.123 +09:00 备：0001-01-01 00:00:00.000 +00:00</t>
        </is>
      </c>
      <c r="CA69" s="0" t="inlineStr">
        <is>
          <t>16行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CB69" s="0" t="inlineStr">
        <is>
          <t>7行 4列，源：2000-05-11 00:30:45.123 +09:00 备：1999-05-16 01:30:45.123 +10:15</t>
        </is>
      </c>
      <c r="CE69" s="0" t="inlineStr">
        <is>
          <t>9行 2列，源：2013-03-12 02:00:00.0 -04:25 备：2063-05-11 10:30:45.1 -04:00</t>
        </is>
      </c>
      <c r="CF69" s="0" t="inlineStr">
        <is>
          <t>7行 4列，源：12:30:45.123000 备：23:59:59.999</t>
        </is>
      </c>
      <c r="CG69" s="0" t="inlineStr">
        <is>
          <t>37行 0列，源：225 备：79</t>
        </is>
      </c>
      <c r="CM69" s="0" t="inlineStr">
        <is>
          <t>5行 17列，源：None 备：100.5000</t>
        </is>
      </c>
      <c r="DA69" s="0" t="inlineStr">
        <is>
          <t>5行 5列，源：None 备：</t>
        </is>
      </c>
      <c r="DH69" s="0" t="inlineStr">
        <is>
          <t>10行 0列，源：11 备：4</t>
        </is>
      </c>
      <c r="DJ69" s="0" t="inlineStr">
        <is>
          <t>7行 4列，源：12:30:45.123000 备：</t>
        </is>
      </c>
      <c r="DL69" s="0" t="inlineStr">
        <is>
          <t>8行 3列，源：12:30:45.120000 备：12:00:00.12</t>
        </is>
      </c>
      <c r="DN69" s="0" t="inlineStr">
        <is>
          <t>10行 2列，源：THIS IS A TESTCASEYF 备：€¶I€¶</t>
        </is>
      </c>
      <c r="DT69" s="0" t="inlineStr">
        <is>
          <t>7行 4列，源：12:30:45.123000 备：</t>
        </is>
      </c>
      <c r="DU69" s="0" t="inlineStr">
        <is>
          <t>16行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69" s="0" t="inlineStr">
        <is>
          <t>5行 3列，源：65535.0 备：</t>
        </is>
      </c>
      <c r="EC69" s="0" t="inlineStr">
        <is>
          <t>8行 3列，源：12:30:45.120000 备：12:00:00.12</t>
        </is>
      </c>
      <c r="EG69" s="0" t="inlineStr">
        <is>
          <t>8行 3列，源：12:30:45.120000 备：18:10:06.12</t>
        </is>
      </c>
      <c r="EH69" s="0" t="inlineStr">
        <is>
          <t>5行 3列，源：65535.0 备：</t>
        </is>
      </c>
      <c r="EK69" s="0" t="inlineStr">
        <is>
          <t>8行 6列，源：None 备：12:30:45.12345</t>
        </is>
      </c>
      <c r="EN69" s="0" t="inlineStr">
        <is>
          <t>7行 7列，源：None 备：12:30:45.123450</t>
        </is>
      </c>
      <c r="EO69" s="0" t="inlineStr">
        <is>
          <t>16行 3列，源：b'~!@#$%^&amp;*]~!@#$%^&amp;*]~!@#$%^&amp;*]~!@#$%^&amp;*]~!@#$%^&amp;*]~!@#$%^&amp;*]~!@#$%^&amp;*]~!@#$%^&amp;*]~!@#$%^&amp;*]~!@#$%^&amp;*]~!@#$%^&amp;*]~!@#$%^&amp;*]~!@#$%^&amp;*]~!@#$%^&amp;*]~!@#$%^&amp;*]~!@#$%^&amp;*]~!@#$%^&amp;*]~!@#$%^&amp;*]~!@#$%^&amp;*]~!@#$%^&amp;*]' 备：48656C6C6F576F726C645465737444617461</t>
        </is>
      </c>
      <c r="EP69" s="0" t="inlineStr">
        <is>
          <t>5行 3列，源：65535.0 备：</t>
        </is>
      </c>
      <c r="ER69" s="0" t="inlineStr">
        <is>
          <t>35行 0列，源：84 备：4</t>
        </is>
      </c>
      <c r="ES69" s="0" t="inlineStr">
        <is>
          <t>5行 3列，源：65535.0 备：</t>
        </is>
      </c>
      <c r="ET69" s="0" t="inlineStr">
        <is>
          <t>7行 4列，源：2000-05-11 00:30:45.123 +09:00 备：0001-01-01 00:00:00.000 +00:00</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c_nchar4000列源备映射错误，源端为nchar 8000位	期望更改为text	实际备端为nchar 8000位</t>
        </is>
      </c>
      <c r="AI70" s="0" t="inlineStr">
        <is>
          <t xml:space="preserve">10行 1列，源：1 备： </t>
        </is>
      </c>
      <c r="AM70" s="0" t="inlineStr">
        <is>
          <t>6行 8列，源：None 备：0.0000000010</t>
        </is>
      </c>
      <c r="AP70" s="0" t="inlineStr">
        <is>
          <t>34行 1列，源：1997-04-04 23:59:59.997000 备：2023-05-11 00:00:00.123</t>
        </is>
      </c>
      <c r="AS70" s="0" t="inlineStr">
        <is>
          <t>6行 4列，源：0 备：1000000</t>
        </is>
      </c>
      <c r="AT70" s="0" t="inlineStr">
        <is>
          <t>34行 1列，源：2002-06-11 23:59:59.993000 备：2003-11-04 23:59:59.990</t>
        </is>
      </c>
      <c r="AZ70" s="0" t="inlineStr">
        <is>
          <t xml:space="preserve">10行 1列，源：1 备： </t>
        </is>
      </c>
      <c r="BE70" s="0" t="inlineStr">
        <is>
          <t>7行 5列，源：None 备：2065-05-11 14:30:45.1235</t>
        </is>
      </c>
      <c r="BG70" s="0" t="inlineStr">
        <is>
          <t>4行 17列，源：None 备：</t>
        </is>
      </c>
      <c r="BI70" s="0" t="inlineStr">
        <is>
          <t>7行 5列，源：2026-04-17 17:17:33.413300 备：9999-12-31 23:59:59.9999</t>
        </is>
      </c>
      <c r="BJ70" s="0" t="inlineStr">
        <is>
          <t>4行 14列，源：None 备：-9876543210954.32</t>
        </is>
      </c>
      <c r="BL70" s="0" t="inlineStr">
        <is>
          <t xml:space="preserve">10行 2列，源：THIS IS A TESTCASEYF 备：€¶I€¶               </t>
        </is>
      </c>
      <c r="BO70" s="0" t="inlineStr">
        <is>
          <t xml:space="preserve">10行 1列，源：1 备： </t>
        </is>
      </c>
      <c r="BP70" s="0" t="inlineStr">
        <is>
          <t>17行 0列，源：28 备：29</t>
        </is>
      </c>
      <c r="BV70" s="0" t="inlineStr">
        <is>
          <t>7行 5列，源：2000-05-11 00:30:45.1235 +09:00 备：0001-01-01 00:00:00.0000 +00:00</t>
        </is>
      </c>
      <c r="BX70" s="0" t="inlineStr">
        <is>
          <t>7行 5列，源：2000-05-11 00:30:45.1235 +09:00 备：1933-05-11 15:30:45.1235 +01:00</t>
        </is>
      </c>
      <c r="BY70" s="0" t="inlineStr">
        <is>
          <t>7行 5列，源：2000-05-11 00:30:45.1235 +09:00 备：0001-01-01 00:00:00.0000 +00:00</t>
        </is>
      </c>
      <c r="CA70" s="0" t="inlineStr">
        <is>
          <t>17行 0列，源：60 备：56</t>
        </is>
      </c>
      <c r="CB70" s="0" t="inlineStr">
        <is>
          <t>7行 5列，源：2000-05-11 00:30:45.1235 +09:00 备：1999-05-16 01:30:45.1235 +10:15</t>
        </is>
      </c>
      <c r="CE70" s="0" t="inlineStr">
        <is>
          <t>9行 3列，源：2013-03-12 02:00:00.00 -04:25 备：2063-05-11 10:30:45.12 -04:00</t>
        </is>
      </c>
      <c r="CF70" s="0" t="inlineStr">
        <is>
          <t>7行 5列，源：12:30:45.123400 备：23:59:59.9999</t>
        </is>
      </c>
      <c r="CG70" s="0" t="inlineStr">
        <is>
          <t>37行 1列，源：2026-04-17 备：9999-12-30</t>
        </is>
      </c>
      <c r="CM70" s="0" t="inlineStr">
        <is>
          <t>5行 18列，源：None 备：99.5000</t>
        </is>
      </c>
      <c r="DA70" s="0" t="inlineStr">
        <is>
          <t>5行 6列，源：None 备：</t>
        </is>
      </c>
      <c r="DH70" s="0" t="inlineStr">
        <is>
          <t xml:space="preserve">10行 1列，源：1 备： </t>
        </is>
      </c>
      <c r="DJ70" s="0" t="inlineStr">
        <is>
          <t>7行 5列，源：12:30:45.123400 备：12:00:00.1235</t>
        </is>
      </c>
      <c r="DL70" s="0" t="inlineStr">
        <is>
          <t>8行 4列，源：12:30:45.123000 备：</t>
        </is>
      </c>
      <c r="DN70" s="0" t="inlineStr">
        <is>
          <t>10行 2列，源：THIS IS A TESTCASEYF 备：€¶I€¶</t>
        </is>
      </c>
      <c r="DT70" s="0" t="inlineStr">
        <is>
          <t>7行 5列，源：12:30:45.123400 备：12:00:00.1235</t>
        </is>
      </c>
      <c r="DU70" s="0" t="inlineStr">
        <is>
          <t>17行 0列，源：28 备：29</t>
        </is>
      </c>
      <c r="DX70" s="0" t="inlineStr">
        <is>
          <t>5行 4列，源：4294967295.0 备：</t>
        </is>
      </c>
      <c r="EC70" s="0" t="inlineStr">
        <is>
          <t>8行 4列，源：12:30:45.123000 备：</t>
        </is>
      </c>
      <c r="EG70" s="0" t="inlineStr">
        <is>
          <t>8行 4列，源：12:30:45.123000 备：18:10:06.123</t>
        </is>
      </c>
      <c r="EH70" s="0" t="inlineStr">
        <is>
          <t>5行 4列，源：4294967295.0 备：</t>
        </is>
      </c>
      <c r="EK70" s="0" t="inlineStr">
        <is>
          <t>8行 7列，源：00:00:01.123457 备：12:30:45.123450</t>
        </is>
      </c>
      <c r="EN70" s="0" t="inlineStr">
        <is>
          <t>7行 8列，源：12:00:00.123456 备：12:30:45.1234500</t>
        </is>
      </c>
      <c r="EO70" s="0" t="inlineStr">
        <is>
          <t>17行 0列，源：60 备：58</t>
        </is>
      </c>
      <c r="EP70" s="0" t="inlineStr">
        <is>
          <t>5行 4列，源：4294967295.0 备：</t>
        </is>
      </c>
      <c r="ER70" s="0" t="inlineStr">
        <is>
          <t>35行 1列，源：2023-12-25 23:59:00 备：2079-06-06 23:59:00</t>
        </is>
      </c>
      <c r="ES70" s="0" t="inlineStr">
        <is>
          <t>5行 4列，源：4294967295.0 备：</t>
        </is>
      </c>
      <c r="ET70" s="0" t="inlineStr">
        <is>
          <t>7行 5列，源：2000-05-11 00:30:45.1235 +09:00 备：0001-01-01 00:00:00.0000 +00:00</t>
        </is>
      </c>
    </row>
    <row r="71">
      <c r="A71" s="0" t="inlineStr">
        <is>
          <t>info_varchar_dml_batch1_pk_drp2</t>
        </is>
      </c>
      <c r="K71" s="0" t="inlineStr">
        <is>
          <t>[0;34m info_varchar_dml_batch1_pk_drp2 [0m源备字段数相同，源端字段：4 	备端字段4</t>
        </is>
      </c>
      <c r="W71" s="0" t="inlineStr">
        <is>
          <t>YES 源备无差异</t>
        </is>
      </c>
      <c r="X71" s="0">
        <f>A71</f>
        <v/>
      </c>
      <c r="AI71" s="0" t="inlineStr">
        <is>
          <t xml:space="preserve">10行 1列，源：1 备： </t>
        </is>
      </c>
      <c r="AM71" s="0" t="inlineStr">
        <is>
          <t>6行 10列，源：None 备：0</t>
        </is>
      </c>
      <c r="AP71" s="0" t="inlineStr">
        <is>
          <t>35行 0列，源：62 备：22</t>
        </is>
      </c>
      <c r="AS71" s="0" t="inlineStr">
        <is>
          <t>6行 5列，源：None 备：</t>
        </is>
      </c>
      <c r="AT71" s="0" t="inlineStr">
        <is>
          <t>35行 0列，源：117 备：218</t>
        </is>
      </c>
      <c r="AZ71" s="0" t="inlineStr">
        <is>
          <t xml:space="preserve">10行 1列，源：1 备： </t>
        </is>
      </c>
      <c r="BE71" s="0" t="inlineStr">
        <is>
          <t>7行 6列，源：None 备：2065-05-11 14:30:45.12346</t>
        </is>
      </c>
      <c r="BG71" s="0" t="inlineStr">
        <is>
          <t>4行 18列，源：None 备：</t>
        </is>
      </c>
      <c r="BI71" s="0" t="inlineStr">
        <is>
          <t>7行 6列，源：2026-04-17 17:17:33.413300 备：9999-12-31 23:59:59.99999</t>
        </is>
      </c>
      <c r="BJ71" s="0" t="inlineStr">
        <is>
          <t>4行 15列，源：nan 备：</t>
        </is>
      </c>
      <c r="BL71"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O71" s="0" t="inlineStr">
        <is>
          <t xml:space="preserve">10行 1列，源：1 备： </t>
        </is>
      </c>
      <c r="BP71" s="0" t="inlineStr">
        <is>
          <t>17行 1列，源：b'B' 备：2A</t>
        </is>
      </c>
      <c r="BV71" s="0" t="inlineStr">
        <is>
          <t>7行 6列，源：2000-05-11 00:30:45.12346 +09:00 备：0001-01-01 00:00:00.00000 +00:00</t>
        </is>
      </c>
      <c r="BX71" s="0" t="inlineStr">
        <is>
          <t>7行 6列，源：2000-05-11 00:30:45.12346 +09:00 备：1933-05-11 15:30:45.12346 +01:00</t>
        </is>
      </c>
      <c r="BY71" s="0" t="inlineStr">
        <is>
          <t>7行 6列，源：2000-05-11 00:30:45.12346 +09:00 备：0001-01-01 00:00:00.00000 +00:00</t>
        </is>
      </c>
      <c r="CA71" s="0" t="inlineStr">
        <is>
          <t>17行 1列，源：b'*' 备：AF</t>
        </is>
      </c>
      <c r="CB71" s="0" t="inlineStr">
        <is>
          <t>7行 6列，源：2000-05-11 00:30:45.12346 +09:00 备：1999-05-16 01:30:45.12346 +10:15</t>
        </is>
      </c>
      <c r="CE71" s="0" t="inlineStr">
        <is>
          <t>9行 4列，源：2013-03-12 02:00:00.000 -04:25 备：2063-05-11 10:30:45.123 -04:00</t>
        </is>
      </c>
      <c r="CF71" s="0" t="inlineStr">
        <is>
          <t>7行 6列，源：12:30:45.123400 备：23:59:59.99999</t>
        </is>
      </c>
      <c r="CG71" s="0" t="inlineStr">
        <is>
          <t>38行 0列，源：229 备：8</t>
        </is>
      </c>
      <c r="CM71" s="0" t="inlineStr">
        <is>
          <t>5行 19列，源：None 备：</t>
        </is>
      </c>
      <c r="DA71" s="0" t="inlineStr">
        <is>
          <t>5行 7列，源：None 备：</t>
        </is>
      </c>
      <c r="DH71" s="0" t="inlineStr">
        <is>
          <t xml:space="preserve">10行 1列，源：1 备： </t>
        </is>
      </c>
      <c r="DJ71" s="0" t="inlineStr">
        <is>
          <t>7行 6列，源：12:30:45.123400 备：</t>
        </is>
      </c>
      <c r="DL71" s="0" t="inlineStr">
        <is>
          <t>8行 5列，源：12:30:45.123500 备：12:00:00.1235</t>
        </is>
      </c>
      <c r="DN71"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DT71" s="0" t="inlineStr">
        <is>
          <t>7行 6列，源：12:30:45.123400 备：</t>
        </is>
      </c>
      <c r="DU71" s="0" t="inlineStr">
        <is>
          <t>17行 1列，源：b'B' 备：2A</t>
        </is>
      </c>
      <c r="DX71" s="0" t="inlineStr">
        <is>
          <t>5行 5列，源：None 备：1000000000000000</t>
        </is>
      </c>
      <c r="EC71" s="0" t="inlineStr">
        <is>
          <t>8行 5列，源：12:30:45.123500 备：12:00:00.1235</t>
        </is>
      </c>
      <c r="EG71" s="0" t="inlineStr">
        <is>
          <t>8行 5列，源：12:30:45.123500 备：18:10:06.1235</t>
        </is>
      </c>
      <c r="EH71" s="0" t="inlineStr">
        <is>
          <t>5行 5列，源：None 备：123456789123456789</t>
        </is>
      </c>
      <c r="EK71" s="0" t="inlineStr">
        <is>
          <t>8行 8列，源：None 备：12:30:45.1234500</t>
        </is>
      </c>
      <c r="EO71" s="0" t="inlineStr">
        <is>
          <t>17行 1列，源：b'*' 备：42</t>
        </is>
      </c>
      <c r="EP71" s="0" t="inlineStr">
        <is>
          <t>5行 5列，源：None 备：1000000000000000</t>
        </is>
      </c>
      <c r="ER71" s="0" t="inlineStr">
        <is>
          <t>36行 0列，源：124 备：5</t>
        </is>
      </c>
      <c r="ES71" s="0" t="inlineStr">
        <is>
          <t>5行 5列，源：None 备：123456789123456789</t>
        </is>
      </c>
      <c r="ET71" s="0" t="inlineStr">
        <is>
          <t>7行 6列，源：2000-05-11 00:30:45.12346 +09:00 备：0001-01-01 00:00:00.00000 +00:00</t>
        </is>
      </c>
    </row>
    <row r="72">
      <c r="B72" s="0" t="inlineStr">
        <is>
          <t>YES</t>
        </is>
      </c>
      <c r="C72" s="0" t="inlineStr">
        <is>
          <t>NULL</t>
        </is>
      </c>
      <c r="D72" s="0" t="inlineStr">
        <is>
          <t>NULL</t>
        </is>
      </c>
      <c r="E72" s="0" t="inlineStr">
        <is>
          <t>NULL</t>
        </is>
      </c>
      <c r="F72" s="0" t="inlineStr">
        <is>
          <t>NULL</t>
        </is>
      </c>
      <c r="G72" s="0" t="inlineStr">
        <is>
          <t>NULL</t>
        </is>
      </c>
      <c r="H72" s="0" t="inlineStr">
        <is>
          <t>NULL</t>
        </is>
      </c>
      <c r="I72" s="0" t="inlineStr">
        <is>
          <t>YES!PK__info_var__3213E83FD43D036A</t>
        </is>
      </c>
      <c r="J72" s="0" t="inlineStr">
        <is>
          <t>YES! 主键相关索引</t>
        </is>
      </c>
      <c r="K72" s="0" t="inlineStr">
        <is>
          <t xml:space="preserve"> NO!  	 id列源备映射错误，源端为int None位	期望更改为text	实际备端为int None位</t>
        </is>
      </c>
      <c r="AI72" s="0" t="inlineStr">
        <is>
          <t xml:space="preserve">10行 2列，源：12345678901234567890 备：                    </t>
        </is>
      </c>
      <c r="AM72" s="0" t="inlineStr">
        <is>
          <t>6行 11列，源：None 备：1</t>
        </is>
      </c>
      <c r="AP72" s="0" t="inlineStr">
        <is>
          <t>35行 1列，源：1998-05-05 23:59:59.997000 备：2024-05-11 12:00:00.567</t>
        </is>
      </c>
      <c r="AS72" s="0" t="inlineStr">
        <is>
          <t>6行 6列，源：None 备：1</t>
        </is>
      </c>
      <c r="AT72" s="0" t="inlineStr">
        <is>
          <t>35行 1列，源：2003-11-04 23:59:59.990000 备：2004-12-24 23:59:59.990</t>
        </is>
      </c>
      <c r="AZ72" s="0" t="inlineStr">
        <is>
          <t xml:space="preserve">10行 2列，源：12345678901234567890 备：                    </t>
        </is>
      </c>
      <c r="BE72" s="0" t="inlineStr">
        <is>
          <t>7行 7列，源：None 备：2065-05-11 14:30:45.123457</t>
        </is>
      </c>
      <c r="BG72" s="0" t="inlineStr">
        <is>
          <t>4行 19列，源：None 备：</t>
        </is>
      </c>
      <c r="BI72" s="0" t="inlineStr">
        <is>
          <t>7行 7列，源：2026-04-17 17:17:33.413301 备：9999-12-31 23:59:59.999999</t>
        </is>
      </c>
      <c r="BJ72" s="0" t="inlineStr">
        <is>
          <t>4行 16列，源：nan 备：</t>
        </is>
      </c>
      <c r="BL72" s="0" t="inlineStr">
        <is>
          <t xml:space="preserve">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                                                                                                                                                                                                                                                                                                                                                                                                                                                                                                                                                                                                                                                                                                                                                                                                                                                                                                                                                                                                                                                                                                                                                                                                                                                                                                                                                                                                                                                                                                                                                                                                                                                                                                                                                                                                                                                                                                                                                                                                                                                                                                                                                                                                                                                                                                                                                                                                                                                                                                                                                                                                    </t>
        </is>
      </c>
      <c r="BO72" s="0" t="inlineStr">
        <is>
          <t xml:space="preserve">10行 2列，源：12345678901234567890 备：          </t>
        </is>
      </c>
      <c r="BP72" s="0" t="inlineStr">
        <is>
          <t>17行 2列，源：b'\xc9\xcf\xba\xa3\xd3\xa2\xb7\xbd\xc8\xed\xbc\xfe\xb9\xc9\xb7\xdd\xb9\xab\xcb\xbe' 备：7E21402324255E262A5D00000000000000000000</t>
        </is>
      </c>
      <c r="BV72" s="0" t="inlineStr">
        <is>
          <t>7行 7列，源：2000-05-11 00:30:45.123457 +09:00 备：0001-01-01 00:00:00.000000 +00:00</t>
        </is>
      </c>
      <c r="BX72" s="0" t="inlineStr">
        <is>
          <t>7行 7列，源：2000-05-11 00:30:45.123457 +09:00 备：1933-05-11 15:30:45.123457 +01:00</t>
        </is>
      </c>
      <c r="BY72" s="0" t="inlineStr">
        <is>
          <t>7行 7列，源：2000-05-11 00:30:45.123457 +09:00 备：0001-01-01 00:00:00.000000 +00:00</t>
        </is>
      </c>
      <c r="CA72" s="0" t="inlineStr">
        <is>
          <t>17行 2列，源：b'12345678901234567890' 备：680085CB87DD92BB179E447D9F53B7341C5E6480</t>
        </is>
      </c>
      <c r="CB72" s="0" t="inlineStr">
        <is>
          <t>7行 7列，源：2000-05-11 00:30:45.123457 +09:00 备：1999-05-16 01:30:45.123457 +10:15</t>
        </is>
      </c>
      <c r="CE72" s="0" t="inlineStr">
        <is>
          <t>9行 5列，源：2013-03-12 02:00:00.0000 -04:25 备：2063-05-11 10:30:45.1235 -04:00</t>
        </is>
      </c>
      <c r="CF72" s="0" t="inlineStr">
        <is>
          <t>7行 7列，源：12:30:45.123400 备：23:59:59.999999</t>
        </is>
      </c>
      <c r="CG72" s="0" t="inlineStr">
        <is>
          <t>38行 1列，源：9999-12-30 备：0001-01-02</t>
        </is>
      </c>
      <c r="CM72" s="0" t="inlineStr">
        <is>
          <t>6行 0列，源：7 备：15</t>
        </is>
      </c>
      <c r="DA72" s="0" t="inlineStr">
        <is>
          <t>5行 9列，源：None 备：</t>
        </is>
      </c>
      <c r="DH72" s="0" t="inlineStr">
        <is>
          <t xml:space="preserve">10行 2列，源：12345678901234567890 备：          </t>
        </is>
      </c>
      <c r="DJ72" s="0" t="inlineStr">
        <is>
          <t>7行 7列，源：12:30:45.123400 备：12:00:00.123457</t>
        </is>
      </c>
      <c r="DL72" s="0" t="inlineStr">
        <is>
          <t>8行 6列，源：12:30:45.123450 备：</t>
        </is>
      </c>
      <c r="DN72" s="0" t="inlineStr">
        <is>
          <t>10行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I€¶€¶I€¶€¶I€¶€¶I€¶€¶I€¶€¶I€¶€¶I€¶€¶I€¶€¶I€¶€¶I€¶€¶I€¶€¶I€¶€¶I€¶€¶I€¶€¶I€¶€¶I€¶€¶I€¶€¶I€¶€¶I€¶€¶I€¶€¶I€¶€¶I€¶€¶I€¶€¶I€¶€¶I€¶€¶I€¶€¶I€¶€¶I€¶€¶I€¶€¶I€¶€¶I€¶€¶I€¶€¶I€¶€¶I€¶€¶I€¶€¶I€¶€¶I€¶€¶I€¶€¶I€¶€¶I€¶€¶I€¶€¶I€¶€¶I€¶€¶I€¶€¶I€¶€¶I€¶€¶I€¶€¶I€¶€¶I€¶€¶I€¶€¶I€¶€¶I€¶€¶I€¶€¶I€¶€¶I€¶€¶I€¶€¶I€¶€¶I€¶€¶I€¶€¶I€¶€¶I€¶€¶I€¶€¶I€¶€¶I€¶€¶I€¶€¶I€¶€¶I€¶€¶I€¶€¶I€¶€¶I€¶€¶I€¶€¶I€¶€¶I€¶€¶I€¶€¶I€¶€¶I€¶€¶I€¶€¶I€¶€¶I€¶€¶I€¶€¶I€¶€¶I€¶€¶I€¶€¶I€¶€¶I€¶€¶I€¶€¶I€¶€¶I€¶€¶I€¶€¶I€¶€¶I€¶€¶I€¶€¶I€¶€¶I€¶€¶I€¶€¶I€¶€¶I€¶€¶I€¶€¶I€¶€¶I€¶€¶I€¶€¶I€¶€¶I€¶€¶I€¶€¶I€¶€¶I€¶€¶I€¶€¶I€¶€¶I€¶€¶I€¶€¶I€¶€¶I€¶€¶I€¶€¶I€¶€¶I€¶€¶I€¶€¶I€¶€¶I€¶€¶I€¶€¶I€¶€¶I€¶€¶I€¶€¶I€¶€¶I€¶€¶I€¶€¶I€¶€¶I€¶€¶I€¶€¶I€¶€¶I€¶€¶I€¶€¶I€¶€¶I€¶€¶I€¶€¶I€¶€¶I€¶€¶I€¶€¶I€¶€¶I€¶€¶I€¶€¶I€¶€¶I€¶€¶I€¶€¶I€¶€¶I€¶€¶I€¶€¶I€¶€¶I€¶€¶I€¶€¶I€¶€¶I€¶€¶I€¶€¶I€¶€¶I€¶€¶I€¶€¶I€¶€¶I€¶€¶I€¶€¶I€¶€¶I€¶€¶I€¶€¶I€¶€¶I€¶€¶I€¶€¶I€¶€¶I€¶€¶I€¶€¶I€¶€¶I€¶€¶I€¶€¶I€¶€¶I€¶€¶I€¶€¶I€¶€¶I€¶€¶I€¶€¶I€¶€¶I€¶€¶I€¶€¶I€¶€¶I€¶€¶I€¶€¶I€¶€¶I€¶€¶I€¶€¶I€¶€¶I€¶€¶I€¶€¶I€¶€¶I€¶€¶I€¶€¶I€¶€¶I€¶€¶I€¶€¶I€¶€¶I€¶€¶I€¶€¶I€¶€¶I€¶€¶I€¶</t>
        </is>
      </c>
      <c r="DT72" s="0" t="inlineStr">
        <is>
          <t>7行 7列，源：12:30:45.123400 备：12:00:00.123457</t>
        </is>
      </c>
      <c r="DU72" s="0" t="inlineStr">
        <is>
          <t>17行 2列，源：b'\xc9\xcf\xba\xa3\xd3\xa2\xb7\xbd\xc8\xed\xbc\xfe\xb9\xc9\xb7\xdd\xb9\xab\xcb\xbe' 备：7E21402324255E262A5D</t>
        </is>
      </c>
      <c r="DX72" s="0" t="inlineStr">
        <is>
          <t>5行 6列，源：None 备：99999999999999999999999999999999</t>
        </is>
      </c>
      <c r="EC72" s="0" t="inlineStr">
        <is>
          <t>8行 6列，源：12:30:45.123450 备：</t>
        </is>
      </c>
      <c r="EG72" s="0" t="inlineStr">
        <is>
          <t>8行 6列，源：12:30:45.123450 备：18:10:06.12346</t>
        </is>
      </c>
      <c r="EH72" s="0" t="inlineStr">
        <is>
          <t>5行 6列，源：None 备：-1234567890123456789012345</t>
        </is>
      </c>
      <c r="EO72" s="0" t="inlineStr">
        <is>
          <t>17行 2列，源：b'12345678901234567890' 备：C9CFBAA3D3A2B7BDC8EDBCFEB9C9B7DDB9ABCBBE</t>
        </is>
      </c>
      <c r="EP72" s="0" t="inlineStr">
        <is>
          <t>5行 6列，源：None 备：99999999999999999999999999999999</t>
        </is>
      </c>
      <c r="ER72" s="0" t="inlineStr">
        <is>
          <t>36行 1列，源：2079-06-06 23:59:00 备：2026-04-17 17:15:00</t>
        </is>
      </c>
      <c r="ES72" s="0" t="inlineStr">
        <is>
          <t>5行 6列，源：None 备：-1234567890123456789012345</t>
        </is>
      </c>
      <c r="ET72" s="0" t="inlineStr">
        <is>
          <t>7行 7列，源：2000-05-11 00:30:45.123457 +09:00 备：0001-01-01 00:00:00.000000 +00:00</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c_varchar列源备映射错误，源端为varchar 1位	期望更改为text	实际备端为varchar 1位</t>
        </is>
      </c>
      <c r="AI73" s="0" t="inlineStr">
        <is>
          <t xml:space="preserve">10行 2列，源：12345678901234567890 备：                    </t>
        </is>
      </c>
      <c r="AM73" s="0" t="inlineStr">
        <is>
          <t>6行 12列，源：None 备：0.00000000000000000000000000000100000000</t>
        </is>
      </c>
      <c r="AP73" s="0" t="inlineStr">
        <is>
          <t>36行 0列，源：63 备：23</t>
        </is>
      </c>
      <c r="AS73" s="0" t="inlineStr">
        <is>
          <t>6行 7列，源：None 备：0.00000000000000000000000000100000000000</t>
        </is>
      </c>
      <c r="AT73" s="0" t="inlineStr">
        <is>
          <t>36行 0列，源：118 备：22</t>
        </is>
      </c>
      <c r="AZ73" s="0" t="inlineStr">
        <is>
          <t xml:space="preserve">10行 2列，源：12345678901234567890 备：                    </t>
        </is>
      </c>
      <c r="BE73" s="0" t="inlineStr">
        <is>
          <t>7行 8列，源：None 备：2065-05-11 14:30:45.1234567</t>
        </is>
      </c>
      <c r="BG73" s="0" t="inlineStr">
        <is>
          <t>5行 0列，源：15 备：16</t>
        </is>
      </c>
      <c r="BI73" s="0" t="inlineStr">
        <is>
          <t>7行 8列，源：2026-04-17 17:17:33.413300 备：9999-12-31 23:59:59.9999999</t>
        </is>
      </c>
      <c r="BJ73" s="0" t="inlineStr">
        <is>
          <t>4行 17列，源：None 备：</t>
        </is>
      </c>
      <c r="BL73" s="0" t="inlineStr">
        <is>
          <t>11行 0列，源：24 备：27</t>
        </is>
      </c>
      <c r="BO73" s="0" t="inlineStr">
        <is>
          <t xml:space="preserve">10行 2列，源：12345678901234567890 备：          </t>
        </is>
      </c>
      <c r="BP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V73" s="0" t="inlineStr">
        <is>
          <t>7行 8列，源：2000-05-11 00:30:45.1234567 +09:00 备：0001-01-01 00:00:00.0000000 +00:00</t>
        </is>
      </c>
      <c r="BX73" s="0" t="inlineStr">
        <is>
          <t>7行 8列，源：2000-05-11 00:30:45.1234567 +09:00 备：1933-05-11 15:30:45.1234567 +01:00</t>
        </is>
      </c>
      <c r="BY73" s="0" t="inlineStr">
        <is>
          <t>7行 8列，源：2000-05-11 00:30:45.1234567 +09:00 备：0001-01-01 00:00:00.0000000 +00:00</t>
        </is>
      </c>
      <c r="CA73" s="0" t="inlineStr">
        <is>
          <t>17行 3列，源：b'12345678901234567890123456789012345678901234567890123456789012345678901234567890123456789012345678901234567890123456789012345678901234567890123456789012345678901234567890123456789012345678901234567890'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B73" s="0" t="inlineStr">
        <is>
          <t>7行 8列，源：2000-05-11 00:30:45.1234567 +09:00 备：1999-05-16 01:30:45.1234567 +10:15</t>
        </is>
      </c>
      <c r="CE73" s="0" t="inlineStr">
        <is>
          <t>9行 6列，源：2013-03-12 02:00:00.00000 -04:25 备：2063-05-11 10:30:45.12346 -04:00</t>
        </is>
      </c>
      <c r="CF73" s="0" t="inlineStr">
        <is>
          <t>7行 8列，源：12:30:45.123400 备：23:59:59.9999999</t>
        </is>
      </c>
      <c r="CG73" s="0" t="inlineStr">
        <is>
          <t>39行 0列，源：231 备：80</t>
        </is>
      </c>
      <c r="CM73" s="0" t="inlineStr">
        <is>
          <t>6行 1列，源：nan 备：</t>
        </is>
      </c>
      <c r="DA73" s="0" t="inlineStr">
        <is>
          <t>5行 10列，源：None 备：</t>
        </is>
      </c>
      <c r="DH73" s="0" t="inlineStr">
        <is>
          <t xml:space="preserve">10行 2列，源：12345678901234567890 备：          </t>
        </is>
      </c>
      <c r="DJ73" s="0" t="inlineStr">
        <is>
          <t>7行 8列，源：12:30:45.123400 备：</t>
        </is>
      </c>
      <c r="DL73" s="0" t="inlineStr">
        <is>
          <t>8行 7列，源：12:30:45.123450 备：12:00:00.123457</t>
        </is>
      </c>
      <c r="DN73" s="0" t="inlineStr">
        <is>
          <t>11行 0列，源：24 备：27</t>
        </is>
      </c>
      <c r="DT73" s="0" t="inlineStr">
        <is>
          <t>7行 8列，源：12:30:45.123400 备：</t>
        </is>
      </c>
      <c r="DU73" s="0" t="inlineStr">
        <is>
          <t>17行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X73" s="0" t="inlineStr">
        <is>
          <t>5行 7列，源：None 备：0.99999999999999999999999999999900000000</t>
        </is>
      </c>
      <c r="EC73" s="0" t="inlineStr">
        <is>
          <t>8行 7列，源：12:30:45.123450 备：12:00:00.123457</t>
        </is>
      </c>
      <c r="EG73" s="0" t="inlineStr">
        <is>
          <t>8行 7列，源：12:30:45.123450 备：18:10:06.123457</t>
        </is>
      </c>
      <c r="EH73" s="0" t="inlineStr">
        <is>
          <t>5行 7列，源：None 备：0.00000000000000000000000080000000000000</t>
        </is>
      </c>
      <c r="EO73" s="0" t="inlineStr">
        <is>
          <t>17行 3列，源：b'12345678901234567890123456789012345678901234567890123456789012345678901234567890123456789012345678901234567890123456789012345678901234567890123456789012345678901234567890123456789012345678901234567890'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P73" s="0" t="inlineStr">
        <is>
          <t>5行 7列，源：None 备：0.99999999999999999999999999999900000000</t>
        </is>
      </c>
      <c r="ER73" s="0" t="inlineStr">
        <is>
          <t>37行 0列，源：125 备：6</t>
        </is>
      </c>
      <c r="ES73" s="0" t="inlineStr">
        <is>
          <t>5行 7列，源：None 备：0.00000000000000000000000080000000000000</t>
        </is>
      </c>
      <c r="ET73" s="0" t="inlineStr">
        <is>
          <t>7行 8列，源：2000-05-11 00:30:45.1234567 +09:00 备：0001-01-01 00:00:00.0000000 +00:00</t>
        </is>
      </c>
    </row>
    <row r="74">
      <c r="B74" s="0" t="inlineStr">
        <is>
          <t>NULL</t>
        </is>
      </c>
      <c r="C74" s="0" t="inlineStr">
        <is>
          <t>NULL</t>
        </is>
      </c>
      <c r="D74" s="0" t="inlineStr">
        <is>
          <t>NULL</t>
        </is>
      </c>
      <c r="E74" s="0" t="inlineStr">
        <is>
          <t>NULL</t>
        </is>
      </c>
      <c r="F74" s="0" t="inlineStr">
        <is>
          <t>NULL</t>
        </is>
      </c>
      <c r="G74" s="0" t="inlineStr">
        <is>
          <t>NULL</t>
        </is>
      </c>
      <c r="H74" s="0" t="inlineStr">
        <is>
          <t>NULL</t>
        </is>
      </c>
      <c r="I74" s="0" t="inlineStr">
        <is>
          <t>NULL</t>
        </is>
      </c>
      <c r="J74" s="0" t="inlineStr">
        <is>
          <t>NULL</t>
        </is>
      </c>
      <c r="K74" s="0" t="inlineStr">
        <is>
          <t xml:space="preserve"> NO!  	 c_varchar20列源备映射错误，源端为varchar 20位	期望更改为text	实际备端为varchar 20位</t>
        </is>
      </c>
      <c r="AI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M74" s="0" t="inlineStr">
        <is>
          <t>6行 13列，源：None 备：0.0000010000</t>
        </is>
      </c>
      <c r="AP74" s="0" t="inlineStr">
        <is>
          <t>36行 1列，源：1999-06-06 23:59:59.997000 备：2025-01-01 00:00:00.233</t>
        </is>
      </c>
      <c r="AS74" s="0" t="inlineStr">
        <is>
          <t>6行 8列，源：None 备：0.0000000010</t>
        </is>
      </c>
      <c r="AT74" s="0" t="inlineStr">
        <is>
          <t>36行 1列，源：2004-12-24 23:59:59.990000 备：2024-05-11 12:00:00.567</t>
        </is>
      </c>
      <c r="AZ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E74" s="0" t="inlineStr">
        <is>
          <t>8行 0列，源：22 备：2</t>
        </is>
      </c>
      <c r="BG74" s="0" t="inlineStr">
        <is>
          <t>5行 1列，源：nan 备：</t>
        </is>
      </c>
      <c r="BI74" s="0" t="inlineStr">
        <is>
          <t>8行 0列，源：54 备：207</t>
        </is>
      </c>
      <c r="BJ74" s="0" t="inlineStr">
        <is>
          <t>4行 18列，源：None 备：</t>
        </is>
      </c>
      <c r="BL74" s="0" t="inlineStr">
        <is>
          <t>11行 1列，源：6 备：测</t>
        </is>
      </c>
      <c r="BO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P74" s="0" t="inlineStr">
        <is>
          <t>18行 0列，源：29 备：3</t>
        </is>
      </c>
      <c r="BV74" s="0" t="inlineStr">
        <is>
          <t>8行 0列，源：9 备：5</t>
        </is>
      </c>
      <c r="BX74" s="0" t="inlineStr">
        <is>
          <t>8行 0列，源：9 备：128</t>
        </is>
      </c>
      <c r="BY74" s="0" t="inlineStr">
        <is>
          <t>8行 0列，源：9 备：5</t>
        </is>
      </c>
      <c r="CA74" s="0" t="inlineStr">
        <is>
          <t>18行 0列，源：103 备：57</t>
        </is>
      </c>
      <c r="CB74" s="0" t="inlineStr">
        <is>
          <t>8行 0列，源：9 备：11</t>
        </is>
      </c>
      <c r="CE74" s="0" t="inlineStr">
        <is>
          <t>9行 7列，源：2013-03-12 02:00:00.000000 -04:25 备：2063-05-11 10:30:45.123457 -04:00</t>
        </is>
      </c>
      <c r="CF74" s="0" t="inlineStr">
        <is>
          <t>8行 0列，源：9 备：4</t>
        </is>
      </c>
      <c r="CG74" s="0" t="inlineStr">
        <is>
          <t>39行 1列，源：2068-06-01 备：1990-05-11</t>
        </is>
      </c>
      <c r="CM74" s="0" t="inlineStr">
        <is>
          <t>6行 2列，源：nan 备：</t>
        </is>
      </c>
      <c r="DA74" s="0" t="inlineStr">
        <is>
          <t>5行 11列，源：None 备：</t>
        </is>
      </c>
      <c r="DH74"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J74" s="0" t="inlineStr">
        <is>
          <t>8行 0列，源：9 备：2</t>
        </is>
      </c>
      <c r="DL74" s="0" t="inlineStr">
        <is>
          <t>8行 8列，源：12:30:45.123450 备：</t>
        </is>
      </c>
      <c r="DN74" s="0" t="inlineStr">
        <is>
          <t>11行 1列，源：6 备：测</t>
        </is>
      </c>
      <c r="DT74" s="0" t="inlineStr">
        <is>
          <t>8行 0列，源：9 备：2</t>
        </is>
      </c>
      <c r="DU74" s="0" t="inlineStr">
        <is>
          <t>18行 0列，源：29 备：3</t>
        </is>
      </c>
      <c r="DX74" s="0" t="inlineStr">
        <is>
          <t>5行 8列，源：None 备：9999999999999999999999.9999990000</t>
        </is>
      </c>
      <c r="EC74" s="0" t="inlineStr">
        <is>
          <t>8行 8列，源：12:30:45.123450 备：</t>
        </is>
      </c>
      <c r="EG74" s="0" t="inlineStr">
        <is>
          <t>8行 8列，源：12:30:45.123450 备：18:10:06.1234567</t>
        </is>
      </c>
      <c r="EH74" s="0" t="inlineStr">
        <is>
          <t>5行 8列，源：None 备：1234567890123456789012345678.1234567890</t>
        </is>
      </c>
      <c r="EO74" s="0" t="inlineStr">
        <is>
          <t>18行 0列，源：103 备：59</t>
        </is>
      </c>
      <c r="EP74" s="0" t="inlineStr">
        <is>
          <t>5行 8列，源：None 备：9999999999999999999999.9999990000</t>
        </is>
      </c>
      <c r="ER74" s="0" t="inlineStr">
        <is>
          <t>37行 1列，源：2026-04-17 17:15:00 备：2020-03-01 00:00:00</t>
        </is>
      </c>
      <c r="ES74" s="0" t="inlineStr">
        <is>
          <t>5行 8列，源：None 备：1234567890123456789012345678.1234567890</t>
        </is>
      </c>
      <c r="ET74" s="0" t="inlineStr">
        <is>
          <t>8行 0列，源：9 备：5</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c_varchar7000列源备映射错误，源端为varchar 7000位	期望更改为text	实际备端为varchar 7000位</t>
        </is>
      </c>
      <c r="AI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AM75" s="0" t="inlineStr">
        <is>
          <t>6行 14列，源：None 备：0.01</t>
        </is>
      </c>
      <c r="AP75" s="0" t="inlineStr">
        <is>
          <t>37行 0列，源：64 备：24</t>
        </is>
      </c>
      <c r="AS75" s="0" t="inlineStr">
        <is>
          <t>6行 10列，源：None 备：0</t>
        </is>
      </c>
      <c r="AT75" s="0" t="inlineStr">
        <is>
          <t>37行 0列，源：119 备：220</t>
        </is>
      </c>
      <c r="AZ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E75" s="0" t="inlineStr">
        <is>
          <t>9行 0列，源：23 备：21</t>
        </is>
      </c>
      <c r="BG75" s="0" t="inlineStr">
        <is>
          <t>5行 2列，源：nan 备：</t>
        </is>
      </c>
      <c r="BI75" s="0" t="inlineStr">
        <is>
          <t>8行 1列，源：0001-01-01 00:00:00 备：2065-05-11 14:30:45</t>
        </is>
      </c>
      <c r="BJ75" s="0" t="inlineStr">
        <is>
          <t>4行 19列，源：None 备：</t>
        </is>
      </c>
      <c r="BL75" s="0" t="inlineStr">
        <is>
          <t>11行 1列，源：6 备：测</t>
        </is>
      </c>
      <c r="BO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BP75" s="0" t="inlineStr">
        <is>
          <t>18行 1列，源：b'*' 备：00</t>
        </is>
      </c>
      <c r="BV75" s="0" t="inlineStr">
        <is>
          <t>8行 1列，源：1999-05-16 01:30:45 +10:15 备：9999-12-31 23:59:59 +00:00</t>
        </is>
      </c>
      <c r="BX75" s="0" t="inlineStr">
        <is>
          <t>8行 1列，源：1999-05-16 01:30:45 +10:15 备：2000-05-11 00:30:45 +09:00</t>
        </is>
      </c>
      <c r="BY75" s="0" t="inlineStr">
        <is>
          <t>8行 1列，源：1999-05-16 01:30:45 +10:15 备：9999-12-31 23:59:59 +00:00</t>
        </is>
      </c>
      <c r="CA75" s="0" t="inlineStr">
        <is>
          <t>18行 1列，源：b'\x00' 备：54</t>
        </is>
      </c>
      <c r="CB75" s="0" t="inlineStr">
        <is>
          <t>8行 1列，源：1999-05-16 01:30:45 +10:15 备：2003-11-05 02:00:00 -05:10</t>
        </is>
      </c>
      <c r="CE75" s="0" t="inlineStr">
        <is>
          <t>9行 8列，源：2013-03-12 02:00:00.0000000 -04:25 备：2063-05-11 10:30:45.1234567 -04:00</t>
        </is>
      </c>
      <c r="CF75" s="0" t="inlineStr">
        <is>
          <t>9行 0列，源：10 备：5</t>
        </is>
      </c>
      <c r="CG75" s="0" t="inlineStr">
        <is>
          <t>40行 0列，源：279 备：81</t>
        </is>
      </c>
      <c r="CM75" s="0" t="inlineStr">
        <is>
          <t>6行 3列，源：nan 备：</t>
        </is>
      </c>
      <c r="DA75" s="0" t="inlineStr">
        <is>
          <t>5行 12列，源：None 备：</t>
        </is>
      </c>
      <c r="DH75" s="0" t="inlineStr">
        <is>
          <t xml:space="preserve">10行 3列，源：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12345678 备：                                                                                                                                                                                                                                                                                                                                                                                                                                                                                                                                                                                                                                                                                                                                                                                                                                                                                                                                                                                                                                                                                                                                                                                                                                                                                                                                                                                                                                                                                                                                                                                                                                                                                                                                                                                                                                                                                                                                                                                                                                                                                </t>
        </is>
      </c>
      <c r="DJ75" s="0" t="inlineStr">
        <is>
          <t>8行 1列，源：12:30:45 备：00:00:00</t>
        </is>
      </c>
      <c r="DL75" s="0" t="inlineStr">
        <is>
          <t>9行 0列，源：10 备：179</t>
        </is>
      </c>
      <c r="DN75" s="0" t="inlineStr">
        <is>
          <t>11行 1列，源：6 备：测</t>
        </is>
      </c>
      <c r="DT75" s="0" t="inlineStr">
        <is>
          <t>8行 1列，源：12:30:45 备：00:00:00</t>
        </is>
      </c>
      <c r="DU75" s="0" t="inlineStr">
        <is>
          <t>18行 1列，源：b'*' 备：</t>
        </is>
      </c>
      <c r="DX75" s="0" t="inlineStr">
        <is>
          <t>5行 9列，源：None 备：999999999999.9990</t>
        </is>
      </c>
      <c r="EC75" s="0" t="inlineStr">
        <is>
          <t>9行 0列，源：10 备：2</t>
        </is>
      </c>
      <c r="EG75" s="0" t="inlineStr">
        <is>
          <t>9行 0列，源：10 备：3</t>
        </is>
      </c>
      <c r="EH75" s="0" t="inlineStr">
        <is>
          <t>5行 9列，源：None 备：-123456789012.1234</t>
        </is>
      </c>
      <c r="EO75" s="0" t="inlineStr">
        <is>
          <t>18行 1列，源：b'' 备：2A</t>
        </is>
      </c>
      <c r="EP75" s="0" t="inlineStr">
        <is>
          <t>5行 9列，源：None 备：999999999999.9990</t>
        </is>
      </c>
      <c r="ER75" s="0" t="inlineStr">
        <is>
          <t>38行 0列，源：126 备：7</t>
        </is>
      </c>
      <c r="ES75" s="0" t="inlineStr">
        <is>
          <t>5行 9列，源：None 备：-123456789012.1234</t>
        </is>
      </c>
      <c r="ET75" s="0" t="inlineStr">
        <is>
          <t>8行 1列，源：1999-05-16 01:30:45 +10:15 备：9999-12-31 23:59:59 +00:00</t>
        </is>
      </c>
    </row>
    <row r="76">
      <c r="A76" s="0" t="inlineStr">
        <is>
          <t>info_sdt_dml_batch1_pk_drp2</t>
        </is>
      </c>
      <c r="K76" s="0" t="inlineStr">
        <is>
          <t>[0;34m info_sdt_dml_batch1_pk_drp2 [0m源备字段数相同，源端字段：2 	备端字段2</t>
        </is>
      </c>
      <c r="W76" s="2">
        <f>HYPERLINK("#2026041905hbase4!AJ2","NO 源备存在差异，共10个")</f>
        <v/>
      </c>
      <c r="X76" s="0">
        <f>A76</f>
        <v/>
      </c>
      <c r="AI76" s="0" t="inlineStr">
        <is>
          <t>11行 0列，源：12 备：5</t>
        </is>
      </c>
      <c r="AM76" s="0" t="inlineStr">
        <is>
          <t>6行 15列，源：1.23456789012345e-30 备：0.0000000000000</t>
        </is>
      </c>
      <c r="AP76" s="0" t="inlineStr">
        <is>
          <t>37行 1列，源：2000-05-01 23:59:59.993000 备：2040-12-25 23:59:59.997</t>
        </is>
      </c>
      <c r="AS76" s="0" t="inlineStr">
        <is>
          <t>6行 11列，源：None 备：1</t>
        </is>
      </c>
      <c r="AT76" s="0" t="inlineStr">
        <is>
          <t>37行 1列，源：1753-01-02 00:00:00 备：9999-12-30 23:59:59.997</t>
        </is>
      </c>
      <c r="AZ76" s="0" t="inlineStr">
        <is>
          <t>11行 0列，源：12 备：5</t>
        </is>
      </c>
      <c r="BE76" s="0" t="inlineStr">
        <is>
          <t>9行 1列，源：2026-04-17 17:17:25 备：</t>
        </is>
      </c>
      <c r="BG76" s="0" t="inlineStr">
        <is>
          <t>5行 3列，源：nan 备：</t>
        </is>
      </c>
      <c r="BI76" s="0" t="inlineStr">
        <is>
          <t>8行 2列，源：0001-01-01 00:00:00 备：2065-05-11 14:30:45.1</t>
        </is>
      </c>
      <c r="BJ76" s="0" t="inlineStr">
        <is>
          <t>5行 0列，源：7 备：14</t>
        </is>
      </c>
      <c r="BL76" s="0" t="inlineStr">
        <is>
          <t xml:space="preserve">11行 2列，源：12345678901234567890 备：这是一个长字符串            </t>
        </is>
      </c>
      <c r="BO76" s="0" t="inlineStr">
        <is>
          <t>11行 0列，源：12 备：5</t>
        </is>
      </c>
      <c r="BP76" s="0" t="inlineStr">
        <is>
          <t>18行 2列，源：b'~!@#$%^&amp;*]\x00\x00\x00\x00\x00\x00\x00\x00\x00\x00' 备：0000000000000000000000000000000000000000</t>
        </is>
      </c>
      <c r="BV76" s="0" t="inlineStr">
        <is>
          <t>8行 2列，源：1999-05-16 01:30:45.1 +10:15 备：9999-12-31 23:59:59.9 +00:00</t>
        </is>
      </c>
      <c r="BX76" s="0" t="inlineStr">
        <is>
          <t>8行 2列，源：1999-05-16 01:30:45.1 +10:15 备：2000-05-11 00:30:45.1 +09:00</t>
        </is>
      </c>
      <c r="BY76" s="0" t="inlineStr">
        <is>
          <t>8行 2列，源：1999-05-16 01:30:45.1 +10:15 备：9999-12-31 23:59:59.9 +00:00</t>
        </is>
      </c>
      <c r="CA76" s="0" t="inlineStr">
        <is>
          <t>18行 2列，源：b'\x00\x00\x00\x00\x00\x00\x00\x00\x00\x00\x00\x00\x00\x00\x00\x00\x00\x00\x00\x00' 备：48656C6C6F576F726C6400000000000000000000</t>
        </is>
      </c>
      <c r="CB76" s="0" t="inlineStr">
        <is>
          <t>8行 2列，源：1999-05-16 01:30:45.1 +10:15 备：2003-11-05 02:00:00.0 -05:10</t>
        </is>
      </c>
      <c r="CE76" s="0" t="inlineStr">
        <is>
          <t>10行 0列，源：11 备：7</t>
        </is>
      </c>
      <c r="CF76" s="0" t="inlineStr">
        <is>
          <t>10行 0列，源：11 备：6</t>
        </is>
      </c>
      <c r="CG76" s="0" t="inlineStr">
        <is>
          <t>40行 1列，源：9999-12-30 备：2068-06-01</t>
        </is>
      </c>
      <c r="CM76" s="0" t="inlineStr">
        <is>
          <t>6行 4列，源：nan 备：</t>
        </is>
      </c>
      <c r="DA76" s="0" t="inlineStr">
        <is>
          <t>5行 13列，源：None 备：</t>
        </is>
      </c>
      <c r="DH76" s="0" t="inlineStr">
        <is>
          <t>11行 0列，源：12 备：5</t>
        </is>
      </c>
      <c r="DJ76" s="0" t="inlineStr">
        <is>
          <t>8行 2列，源：12:30:45.100000 备：00:00:00.0</t>
        </is>
      </c>
      <c r="DL76" s="0" t="inlineStr">
        <is>
          <t>10行 0列，源：11 备：2</t>
        </is>
      </c>
      <c r="DN76" s="0" t="inlineStr">
        <is>
          <t>11行 2列，源：12345678901234567890 备：这是一个长字符串</t>
        </is>
      </c>
      <c r="DT76" s="0" t="inlineStr">
        <is>
          <t>8行 2列，源：12:30:45.100000 备：00:00:00.0</t>
        </is>
      </c>
      <c r="DU76" s="0" t="inlineStr">
        <is>
          <t>18行 2列，源：b'~!@#$%^&amp;*]' 备：</t>
        </is>
      </c>
      <c r="DX76" s="0" t="inlineStr">
        <is>
          <t>5行 10列，源：None 备：100000000000000</t>
        </is>
      </c>
      <c r="EC76" s="0" t="inlineStr">
        <is>
          <t>9行 1列，源：12:30:45 备：00:00:00</t>
        </is>
      </c>
      <c r="EG76" s="0" t="inlineStr">
        <is>
          <t>9行 1列，源：09:12:34 备：23:59:59</t>
        </is>
      </c>
      <c r="EH76" s="0" t="inlineStr">
        <is>
          <t>5行 10列，源：None 备：123456789123456789</t>
        </is>
      </c>
      <c r="EO76" s="0" t="inlineStr">
        <is>
          <t>18行 2列，源：b'' 备：7E21402324255E262A5D</t>
        </is>
      </c>
      <c r="EP76" s="0" t="inlineStr">
        <is>
          <t>5行 10列，源：None 备：100000000000000</t>
        </is>
      </c>
      <c r="ER76" s="0" t="inlineStr">
        <is>
          <t>38行 1列，源：2020-03-01 00:00:00 备：2000-05-11 14:30:00</t>
        </is>
      </c>
      <c r="ES76" s="0" t="inlineStr">
        <is>
          <t>5行 10列，源：None 备：123456789123456789</t>
        </is>
      </c>
      <c r="ET76" s="0" t="inlineStr">
        <is>
          <t>8行 2列，源：1999-05-16 01:30:45.1 +10:15 备：9999-12-31 23:59:59.9 +00:00</t>
        </is>
      </c>
    </row>
    <row r="77">
      <c r="B77" s="0" t="inlineStr">
        <is>
          <t>YES</t>
        </is>
      </c>
      <c r="C77" s="0" t="inlineStr">
        <is>
          <t>NULL</t>
        </is>
      </c>
      <c r="D77" s="0" t="inlineStr">
        <is>
          <t>NULL</t>
        </is>
      </c>
      <c r="E77" s="0" t="inlineStr">
        <is>
          <t>NULL</t>
        </is>
      </c>
      <c r="F77" s="0" t="inlineStr">
        <is>
          <t>NULL</t>
        </is>
      </c>
      <c r="G77" s="0" t="inlineStr">
        <is>
          <t>NULL</t>
        </is>
      </c>
      <c r="H77" s="0" t="inlineStr">
        <is>
          <t>NULL</t>
        </is>
      </c>
      <c r="I77" s="0" t="inlineStr">
        <is>
          <t>YES!PK__info_sdt__3213E83FFC303CEB</t>
        </is>
      </c>
      <c r="J77" s="0" t="inlineStr">
        <is>
          <t>YES! 主键相关索引</t>
        </is>
      </c>
      <c r="K77" s="0" t="inlineStr">
        <is>
          <t xml:space="preserve"> NO!  	 id列源备映射错误，源端为int None位	期望更改为text	实际备端为int None位</t>
        </is>
      </c>
      <c r="AI77" s="0" t="inlineStr">
        <is>
          <t>11行 1列，源：2 备：A</t>
        </is>
      </c>
      <c r="AM77" s="0" t="inlineStr">
        <is>
          <t>6行 16列，源：1.2345669834560371e-20 备：0.000000</t>
        </is>
      </c>
      <c r="AP77" s="0" t="inlineStr">
        <is>
          <t>38行 0列，源：65 备：3</t>
        </is>
      </c>
      <c r="AS77" s="0" t="inlineStr">
        <is>
          <t>6行 12列，源：None 备：0.00000000000000000000000000000100000000</t>
        </is>
      </c>
      <c r="AT77" s="0" t="inlineStr">
        <is>
          <t>38行 0列，源：121 备：221</t>
        </is>
      </c>
      <c r="AZ77" s="0" t="inlineStr">
        <is>
          <t>11行 1列，源：2 备：A</t>
        </is>
      </c>
      <c r="BE77" s="0" t="inlineStr">
        <is>
          <t>9行 2列，源：2026-04-17 17:17:24.600000 备：</t>
        </is>
      </c>
      <c r="BG77" s="0" t="inlineStr">
        <is>
          <t>5行 4列，源：nan 备：</t>
        </is>
      </c>
      <c r="BI77" s="0" t="inlineStr">
        <is>
          <t>8行 3列，源：0001-01-01 00:00:00 备：2065-05-11 14:30:45.12</t>
        </is>
      </c>
      <c r="BJ77" s="0" t="inlineStr">
        <is>
          <t>5行 1列，源：255.0 备：</t>
        </is>
      </c>
      <c r="BL77" s="0" t="inlineStr">
        <is>
          <t xml:space="preserve">11行 2列，源：12345678901234567890 备：这是一个长字符串            </t>
        </is>
      </c>
      <c r="BO77" s="0" t="inlineStr">
        <is>
          <t>11行 1列，源：2 备：A</t>
        </is>
      </c>
      <c r="BP77" s="0" t="inlineStr">
        <is>
          <t>18行 3列，源：b'~!@#$%^&amp;*]~!@#$%^&amp;*]~!@#$%^&amp;*]~!@#$%^&amp;*]~!@#$%^&amp;*]~!@#$%^&amp;*]~!@#$%^&amp;*]~!@#$%^&amp;*]~!@#$%^&amp;*]~!@#$%^&amp;*]~!@#$%^&amp;*]~!@#$%^&amp;*]~!@#$%^&amp;*]~!@#$%^&amp;*]~!@#$%^&amp;*]~!@#$%^&amp;*]~!@#$%^&amp;*]~!@#$%^&amp;*]~!@#$%^&amp;*]~!@#$%^&amp;*]'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77" s="0" t="inlineStr">
        <is>
          <t>8行 3列，源：1999-05-16 01:30:45.12 +10:15 备：9999-12-31 23:59:59.99 +00:00</t>
        </is>
      </c>
      <c r="BX77" s="0" t="inlineStr">
        <is>
          <t>8行 3列，源：1999-05-16 01:30:45.12 +10:15 备：2000-05-11 00:30:45.12 +09:00</t>
        </is>
      </c>
      <c r="BY77" s="0" t="inlineStr">
        <is>
          <t>8行 3列，源：1999-05-16 01:30:45.12 +10:15 备：9999-12-31 23:59:59.99 +00:00</t>
        </is>
      </c>
      <c r="CA77" s="0" t="inlineStr">
        <is>
          <t>18行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77" s="0" t="inlineStr">
        <is>
          <t>8行 3列，源：1999-05-16 01:30:45.12 +10:15 备：2003-11-05 02:00:00.00 -05:10</t>
        </is>
      </c>
      <c r="CE77" s="0" t="inlineStr">
        <is>
          <t>10行 1列，源：2025-05-12 00:00:00 -14:00 备：2063-03-12 02:00:00 -04:25</t>
        </is>
      </c>
      <c r="CF77" s="0" t="inlineStr">
        <is>
          <t>11行 0列，源：12 备：7</t>
        </is>
      </c>
      <c r="CG77" s="0" t="inlineStr">
        <is>
          <t>41行 0列，源：281 备：9</t>
        </is>
      </c>
      <c r="CM77" s="0" t="inlineStr">
        <is>
          <t>6行 5列，源：None 备：</t>
        </is>
      </c>
      <c r="DA77" s="0" t="inlineStr">
        <is>
          <t>5行 14列，源：None 备：</t>
        </is>
      </c>
      <c r="DH77" s="0" t="inlineStr">
        <is>
          <t>11行 1列，源：2 备：A</t>
        </is>
      </c>
      <c r="DJ77" s="0" t="inlineStr">
        <is>
          <t>8行 3列，源：12:30:45.120000 备：00:00:00.00</t>
        </is>
      </c>
      <c r="DL77" s="0" t="inlineStr">
        <is>
          <t>10行 1列，源：12:30:45 备：00:00:00</t>
        </is>
      </c>
      <c r="DN77" s="0" t="inlineStr">
        <is>
          <t>11行 2列，源：12345678901234567890 备：这是一个长字符串</t>
        </is>
      </c>
      <c r="DT77" s="0" t="inlineStr">
        <is>
          <t>8行 3列，源：12:30:45.120000 备：00:00:00.00</t>
        </is>
      </c>
      <c r="DU77" s="0" t="inlineStr">
        <is>
          <t>18行 3列，源：b'~!@#$%^&amp;*]~!@#$%^&amp;*]~!@#$%^&amp;*]~!@#$%^&amp;*]~!@#$%^&amp;*]~!@#$%^&amp;*]~!@#$%^&amp;*]~!@#$%^&amp;*]~!@#$%^&amp;*]~!@#$%^&amp;*]~!@#$%^&amp;*]~!@#$%^&amp;*]~!@#$%^&amp;*]~!@#$%^&amp;*]~!@#$%^&amp;*]~!@#$%^&amp;*]~!@#$%^&amp;*]~!@#$%^&amp;*]~!@#$%^&amp;*]~!@#$%^&amp;*]' 备：</t>
        </is>
      </c>
      <c r="DX77" s="0" t="inlineStr">
        <is>
          <t>5行 11列，源：None 备：999999999999999999999</t>
        </is>
      </c>
      <c r="EC77" s="0" t="inlineStr">
        <is>
          <t>9行 2列，源：12:30:45.100000 备：00:00:00.0</t>
        </is>
      </c>
      <c r="EG77" s="0" t="inlineStr">
        <is>
          <t>9行 2列，源：12:30:45.100000 备：23:59:59.9</t>
        </is>
      </c>
      <c r="EH77" s="0" t="inlineStr">
        <is>
          <t>5行 11列，源：None 备：-1234567890123456789012345</t>
        </is>
      </c>
      <c r="EO77" s="0" t="inlineStr">
        <is>
          <t>18行 3列，源：b''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P77" s="0" t="inlineStr">
        <is>
          <t>5行 11列，源：None 备：999999999999999999999</t>
        </is>
      </c>
      <c r="ER77" s="0" t="inlineStr">
        <is>
          <t>39行 0列，源：127 备：77</t>
        </is>
      </c>
      <c r="ES77" s="0" t="inlineStr">
        <is>
          <t>5行 11列，源：None 备：-1234567890123456789012345</t>
        </is>
      </c>
      <c r="ET77" s="0" t="inlineStr">
        <is>
          <t>8行 3列，源：1999-05-16 01:30:45.12 +10:15 备：9999-12-31 23:59:59.99 +00:00</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c_sdt列源备映射错误，源端为smalldatetime None位	期望更改为text	实际备端为smalldatetime None位</t>
        </is>
      </c>
      <c r="AI78" s="0" t="inlineStr">
        <is>
          <t>11行 1列，源：2 备：A</t>
        </is>
      </c>
      <c r="AM78" s="0" t="inlineStr">
        <is>
          <t>6行 18列，源：None 备：</t>
        </is>
      </c>
      <c r="AP78" s="0" t="inlineStr">
        <is>
          <t>38行 1列，源：2001-04-09 23:59:59.993000 备：1753-01-01 00:00:00.000</t>
        </is>
      </c>
      <c r="AS78" s="0" t="inlineStr">
        <is>
          <t>6行 13列，源：None 备：0.0000010000</t>
        </is>
      </c>
      <c r="AT78" s="0" t="inlineStr">
        <is>
          <t>38行 1列，源：2023-05-11 00:00:00.123000 备：2023-05-11 00:00:00.123</t>
        </is>
      </c>
      <c r="AZ78" s="0" t="inlineStr">
        <is>
          <t>11行 1列，源：2 备：A</t>
        </is>
      </c>
      <c r="BE78" s="0" t="inlineStr">
        <is>
          <t>9行 3列，源：2026-04-17 17:17:24.630000 备：</t>
        </is>
      </c>
      <c r="BG78" s="0" t="inlineStr">
        <is>
          <t>5行 15列，源：nan 备：123456789000000002003480098325095514112.0000000000000</t>
        </is>
      </c>
      <c r="BI78" s="0" t="inlineStr">
        <is>
          <t>8行 4列，源：0001-01-01 00:00:00 备：2065-05-11 14:30:45.123</t>
        </is>
      </c>
      <c r="BJ78" s="0" t="inlineStr">
        <is>
          <t>5行 2列，源：0.0 备：</t>
        </is>
      </c>
      <c r="BL78"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O78" s="0" t="inlineStr">
        <is>
          <t>11行 1列，源：2 备：A</t>
        </is>
      </c>
      <c r="BP78" s="0" t="inlineStr">
        <is>
          <t>19行 1列，源：b'*' 备：2A</t>
        </is>
      </c>
      <c r="BV78" s="0" t="inlineStr">
        <is>
          <t>8行 4列，源：1999-05-16 01:30:45.123 +10:15 备：9999-12-31 23:59:59.999 +00:00</t>
        </is>
      </c>
      <c r="BX78" s="0" t="inlineStr">
        <is>
          <t>8行 4列，源：1999-05-16 01:30:45.123 +10:15 备：2000-05-11 00:30:45.123 +09:00</t>
        </is>
      </c>
      <c r="BY78" s="0" t="inlineStr">
        <is>
          <t>8行 4列，源：1999-05-16 01:30:45.123 +10:15 备：9999-12-31 23:59:59.999 +00:00</t>
        </is>
      </c>
      <c r="CA78" s="0" t="inlineStr">
        <is>
          <t>19行 0列，源：104 备：58</t>
        </is>
      </c>
      <c r="CB78" s="0" t="inlineStr">
        <is>
          <t>8行 4列，源：1999-05-16 01:30:45.123 +10:15 备：2003-11-05 02:00:00.000 -05:10</t>
        </is>
      </c>
      <c r="CE78" s="0" t="inlineStr">
        <is>
          <t>10行 2列，源：2025-05-12 00:00:00.0 -14:00 备：2063-03-12 02:00:00.0 -04:25</t>
        </is>
      </c>
      <c r="CF78" s="0" t="inlineStr">
        <is>
          <t>11行 1列，源：23:59:59 备：12:30:45</t>
        </is>
      </c>
      <c r="CG78" s="0" t="inlineStr">
        <is>
          <t>41行 1列，源：2068-06-01 备：9999-12-30</t>
        </is>
      </c>
      <c r="CM78" s="0" t="inlineStr">
        <is>
          <t>6行 6列，源：None 备：</t>
        </is>
      </c>
      <c r="DA78" s="0" t="inlineStr">
        <is>
          <t>5行 15列，源：nan 备：</t>
        </is>
      </c>
      <c r="DH78" s="0" t="inlineStr">
        <is>
          <t>11行 1列，源：2 备：A</t>
        </is>
      </c>
      <c r="DJ78" s="0" t="inlineStr">
        <is>
          <t>8行 4列，源：12:30:45.123000 备：00:00:00.000</t>
        </is>
      </c>
      <c r="DL78" s="0" t="inlineStr">
        <is>
          <t>10行 2列，源：12:30:45.100000 备：00:00:00.0</t>
        </is>
      </c>
      <c r="DN78"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78" s="0" t="inlineStr">
        <is>
          <t>8行 4列，源：12:30:45.123000 备：00:00:00.000</t>
        </is>
      </c>
      <c r="DU78" s="0" t="inlineStr">
        <is>
          <t>19行 1列，源：b'*' 备：2A</t>
        </is>
      </c>
      <c r="DX78" s="0" t="inlineStr">
        <is>
          <t>5行 12列，源：None 备：0.99999999999999999999999999900000000000</t>
        </is>
      </c>
      <c r="EC78" s="0" t="inlineStr">
        <is>
          <t>9行 3列，源：12:30:45.120000 备：00:00:00.00</t>
        </is>
      </c>
      <c r="EG78" s="0" t="inlineStr">
        <is>
          <t>9行 3列，源：09:12:34.120000 备：23:59:59.99</t>
        </is>
      </c>
      <c r="EH78" s="0" t="inlineStr">
        <is>
          <t>5行 12列，源：None 备：0.00000000000000000000000080000000000000</t>
        </is>
      </c>
      <c r="EO78" s="0" t="inlineStr">
        <is>
          <t>19行 0列，源：104 备：6</t>
        </is>
      </c>
      <c r="EP78" s="0" t="inlineStr">
        <is>
          <t>5行 12列，源：None 备：0.99999999999999999999999999900000000000</t>
        </is>
      </c>
      <c r="ER78" s="0" t="inlineStr">
        <is>
          <t>40行 0列，源：128 备：78</t>
        </is>
      </c>
      <c r="ES78" s="0" t="inlineStr">
        <is>
          <t>5行 12列，源：None 备：0.00000000000000000000000080000000000000</t>
        </is>
      </c>
      <c r="ET78" s="0" t="inlineStr">
        <is>
          <t>8行 4列，源：1999-05-16 01:30:45.123 +10:15 备：9999-12-31 23:59:59.999 +00:00</t>
        </is>
      </c>
    </row>
    <row r="79">
      <c r="A79" s="0" t="inlineStr">
        <is>
          <t>info_nvarchar_dml_batch2_pk_urp2</t>
        </is>
      </c>
      <c r="K79" s="0" t="inlineStr">
        <is>
          <t>[0;34m info_nvarchar_dml_batch2_pk_urp2 [0m源备字段数相同，源端字段：4 	备端字段4</t>
        </is>
      </c>
      <c r="W79" s="0" t="inlineStr">
        <is>
          <t>YES 源备无差异</t>
        </is>
      </c>
      <c r="X79" s="0">
        <f>A79</f>
        <v/>
      </c>
      <c r="AI79" s="0" t="inlineStr">
        <is>
          <t>11行 2列，源：123456789            备：THIS IS A TESTCASEYF</t>
        </is>
      </c>
      <c r="AM79" s="0" t="inlineStr">
        <is>
          <t>6行 19列，源：False 备：0</t>
        </is>
      </c>
      <c r="AP79" s="0" t="inlineStr">
        <is>
          <t>39行 0列，源：66 备：356</t>
        </is>
      </c>
      <c r="AS79" s="0" t="inlineStr">
        <is>
          <t>6行 14列，源：None 备：0.01</t>
        </is>
      </c>
      <c r="AT79" s="0" t="inlineStr">
        <is>
          <t>39行 0列，源：122 备：222</t>
        </is>
      </c>
      <c r="AZ79" s="0" t="inlineStr">
        <is>
          <t>11行 2列，源：123456789            备：THIS IS A TESTCASEYF</t>
        </is>
      </c>
      <c r="BE79" s="0" t="inlineStr">
        <is>
          <t>9行 4列，源：2026-04-17 17:17:24.631000 备：</t>
        </is>
      </c>
      <c r="BG79" s="0" t="inlineStr">
        <is>
          <t>5行 16列，源：nan 备：340282306073709652508363335590014353408.000000</t>
        </is>
      </c>
      <c r="BI79" s="0" t="inlineStr">
        <is>
          <t>8行 5列，源：0001-01-01 00:00:00 备：2065-05-11 14:30:45.1235</t>
        </is>
      </c>
      <c r="BJ79" s="0" t="inlineStr">
        <is>
          <t>5行 3列，源：0.0 备：</t>
        </is>
      </c>
      <c r="BL79" s="0" t="inlineStr">
        <is>
          <t xml:space="preserve">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O79" s="0" t="inlineStr">
        <is>
          <t>11行 2列，源：123456789 备：THIS IS A TESTCASEYF</t>
        </is>
      </c>
      <c r="BP79" s="0" t="inlineStr">
        <is>
          <t>19行 2列，源：b'12345678901234567890' 备：3132333435363738393031323334353637383930</t>
        </is>
      </c>
      <c r="BV79" s="0" t="inlineStr">
        <is>
          <t>8行 5列，源：1999-05-16 01:30:45.1235 +10:15 备：9999-12-31 23:59:59.9999 +00:00</t>
        </is>
      </c>
      <c r="BX79" s="0" t="inlineStr">
        <is>
          <t>8行 5列，源：1999-05-16 01:30:45.1235 +10:15 备：2000-05-11 00:30:45.1235 +09:00</t>
        </is>
      </c>
      <c r="BY79" s="0" t="inlineStr">
        <is>
          <t>8行 5列，源：1999-05-16 01:30:45.1235 +10:15 备：9999-12-31 23:59:59.9999 +00:00</t>
        </is>
      </c>
      <c r="CA79" s="0" t="inlineStr">
        <is>
          <t>19行 1列，源：b' ' 备：42</t>
        </is>
      </c>
      <c r="CB79" s="0" t="inlineStr">
        <is>
          <t>8行 5列，源：1999-05-16 01:30:45.1235 +10:15 备：2003-11-05 02:00:00.0000 -05:10</t>
        </is>
      </c>
      <c r="CE79" s="0" t="inlineStr">
        <is>
          <t>10行 3列，源：2025-05-12 00:00:00.00 -14:00 备：2063-03-12 02:00:00.00 -04:25</t>
        </is>
      </c>
      <c r="CF79" s="0" t="inlineStr">
        <is>
          <t>11行 2列，源：23:59:59.100000 备：12:30:45.1</t>
        </is>
      </c>
      <c r="CM79" s="0" t="inlineStr">
        <is>
          <t>6行 8列，源：None 备：</t>
        </is>
      </c>
      <c r="DA79" s="0" t="inlineStr">
        <is>
          <t>5行 16列，源：nan 备：</t>
        </is>
      </c>
      <c r="DH79" s="0" t="inlineStr">
        <is>
          <t>11行 2列，源：123456789 备：THIS IS A TESTCASEYF</t>
        </is>
      </c>
      <c r="DJ79" s="0" t="inlineStr">
        <is>
          <t>8行 5列，源：12:30:45.123500 备：00:00:00.0000</t>
        </is>
      </c>
      <c r="DL79" s="0" t="inlineStr">
        <is>
          <t>10行 3列，源：12:30:45.120000 备：00:00:00.00</t>
        </is>
      </c>
      <c r="DN79" s="0" t="inlineStr">
        <is>
          <t>11行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79" s="0" t="inlineStr">
        <is>
          <t>8行 5列，源：12:30:45.123500 备：00:00:00.0000</t>
        </is>
      </c>
      <c r="DU79" s="0" t="inlineStr">
        <is>
          <t>19行 2列，源：b'12345678901234567890' 备：3132333435363738393031323334353637383930</t>
        </is>
      </c>
      <c r="DX79" s="0" t="inlineStr">
        <is>
          <t>5行 13列，源：None 备：999999999999999999999.9999990000</t>
        </is>
      </c>
      <c r="EC79" s="0" t="inlineStr">
        <is>
          <t>9行 4列，源：12:30:45.123000 备：00:00:00.000</t>
        </is>
      </c>
      <c r="EG79" s="0" t="inlineStr">
        <is>
          <t>9行 4列，源：12:30:45.123000 备：23:59:59.999</t>
        </is>
      </c>
      <c r="EH79" s="0" t="inlineStr">
        <is>
          <t>5行 13列，源：None 备：1234567890123456789012345678.1234567890</t>
        </is>
      </c>
      <c r="EO79" s="0" t="inlineStr">
        <is>
          <t>19行 1列，源：b' ' 备：5C</t>
        </is>
      </c>
      <c r="EP79" s="0" t="inlineStr">
        <is>
          <t>5行 13列，源：None 备：999999999999999999999.9999990000</t>
        </is>
      </c>
      <c r="ER79" s="0" t="inlineStr">
        <is>
          <t>41行 0列，源：130 备：79</t>
        </is>
      </c>
      <c r="ES79" s="0" t="inlineStr">
        <is>
          <t>5行 13列，源：None 备：1234567890123456789012345678.1234567890</t>
        </is>
      </c>
      <c r="ET79" s="0" t="inlineStr">
        <is>
          <t>8行 5列，源：1999-05-16 01:30:45.1235 +10:15 备：9999-12-31 23:59:59.9999 +00:00</t>
        </is>
      </c>
    </row>
    <row r="80">
      <c r="B80" s="0" t="inlineStr">
        <is>
          <t>YES</t>
        </is>
      </c>
      <c r="C80" s="0" t="inlineStr">
        <is>
          <t>NULL</t>
        </is>
      </c>
      <c r="D80" s="0" t="inlineStr">
        <is>
          <t>NULL</t>
        </is>
      </c>
      <c r="E80" s="0" t="inlineStr">
        <is>
          <t>NULL</t>
        </is>
      </c>
      <c r="F80" s="0" t="inlineStr">
        <is>
          <t>NULL</t>
        </is>
      </c>
      <c r="G80" s="0" t="inlineStr">
        <is>
          <t>NULL</t>
        </is>
      </c>
      <c r="H80" s="0" t="inlineStr">
        <is>
          <t>NULL</t>
        </is>
      </c>
      <c r="I80" s="0" t="inlineStr">
        <is>
          <t>YES!PK__info_nva__3213E83F6FA2370C</t>
        </is>
      </c>
      <c r="J80" s="0" t="inlineStr">
        <is>
          <t>YES! 主键相关索引</t>
        </is>
      </c>
      <c r="K80" s="0" t="inlineStr">
        <is>
          <t xml:space="preserve"> NO!  	 id列源备映射错误，源端为int None位	期望更改为text	实际备端为int None位</t>
        </is>
      </c>
      <c r="AI80" s="0" t="inlineStr">
        <is>
          <t>11行 2列，源：123456789            备：THIS IS A TESTCASEYF</t>
        </is>
      </c>
      <c r="AM80" s="0" t="inlineStr">
        <is>
          <t>7行 0列，源：8 备：16</t>
        </is>
      </c>
      <c r="AP80" s="0" t="inlineStr">
        <is>
          <t>39行 1列，源：2002-06-11 23:59:59.993000 备：2020-02-29 19:27:31.123</t>
        </is>
      </c>
      <c r="AS80" s="0" t="inlineStr">
        <is>
          <t>6行 15列，源：1.23456789012345e-30 备：0.0000000000000</t>
        </is>
      </c>
      <c r="AT80" s="0" t="inlineStr">
        <is>
          <t>39行 1列，源：2024-05-11 12:00:00.567000 备：2024-05-11 12:00:00.567</t>
        </is>
      </c>
      <c r="AZ80" s="0" t="inlineStr">
        <is>
          <t>11行 2列，源：123456789            备：THIS IS A TESTCASEYF</t>
        </is>
      </c>
      <c r="BE80" s="0" t="inlineStr">
        <is>
          <t>9行 5列，源：2026-04-17 17:17:24.630600 备：</t>
        </is>
      </c>
      <c r="BG80" s="0" t="inlineStr">
        <is>
          <t>5行 17列，源：None 备：123456.7890</t>
        </is>
      </c>
      <c r="BI80" s="0" t="inlineStr">
        <is>
          <t>8行 6列，源：0001-01-01 00:00:00 备：2065-05-11 14:30:45.12346</t>
        </is>
      </c>
      <c r="BJ80" s="0" t="inlineStr">
        <is>
          <t>5行 4列，源：0.0 备：</t>
        </is>
      </c>
      <c r="BL80" s="0" t="inlineStr">
        <is>
          <t>12行 0列，源：25 备：28</t>
        </is>
      </c>
      <c r="BO80" s="0" t="inlineStr">
        <is>
          <t>11行 2列，源：123456789 备：THIS IS A TESTCASEYF</t>
        </is>
      </c>
      <c r="BP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V80" s="0" t="inlineStr">
        <is>
          <t>8行 6列，源：1999-05-16 01:30:45.12346 +10:15 备：9999-12-31 23:59:59.99999 +00:00</t>
        </is>
      </c>
      <c r="BX80" s="0" t="inlineStr">
        <is>
          <t>8行 6列，源：1999-05-16 01:30:45.12346 +10:15 备：2000-05-11 00:30:45.12346 +09:00</t>
        </is>
      </c>
      <c r="BY80" s="0" t="inlineStr">
        <is>
          <t>8行 6列，源：1999-05-16 01:30:45.12346 +10:15 备：9999-12-31 23:59:59.99999 +00:00</t>
        </is>
      </c>
      <c r="CA80" s="0" t="inlineStr">
        <is>
          <t>19行 2列，源：b'                    ' 备：C9CFBAA3D3A2B7BDC8EDBCFEB9C9B7DDB9ABCBBE</t>
        </is>
      </c>
      <c r="CB80" s="0" t="inlineStr">
        <is>
          <t>8行 6列，源：1999-05-16 01:30:45.12346 +10:15 备：2003-11-05 02:00:00.00000 -05:10</t>
        </is>
      </c>
      <c r="CE80" s="0" t="inlineStr">
        <is>
          <t>10行 4列，源：2025-05-12 00:00:00.000 -14:00 备：2063-03-12 02:00:00.000 -04:25</t>
        </is>
      </c>
      <c r="CF80" s="0" t="inlineStr">
        <is>
          <t>11行 3列，源：23:59:59.120000 备：12:30:45.12</t>
        </is>
      </c>
      <c r="CM80" s="0" t="inlineStr">
        <is>
          <t>6行 9列，源：None 备：</t>
        </is>
      </c>
      <c r="DA80" s="0" t="inlineStr">
        <is>
          <t>5行 17列，源：None 备：9999.9900</t>
        </is>
      </c>
      <c r="DH80" s="0" t="inlineStr">
        <is>
          <t>11行 2列，源：123456789 备：THIS IS A TESTCASEYF</t>
        </is>
      </c>
      <c r="DJ80" s="0" t="inlineStr">
        <is>
          <t>8行 6列，源：12:30:45.123450 备：00:00:00.00000</t>
        </is>
      </c>
      <c r="DL80" s="0" t="inlineStr">
        <is>
          <t>10行 4列，源：12:30:45.123000 备：00:00:00.000</t>
        </is>
      </c>
      <c r="DN80" s="0" t="inlineStr">
        <is>
          <t>12行 0列，源：25 备：28</t>
        </is>
      </c>
      <c r="DT80" s="0" t="inlineStr">
        <is>
          <t>8行 6列，源：12:30:45.123450 备：00:00:00.00000</t>
        </is>
      </c>
      <c r="DU80" s="0" t="inlineStr">
        <is>
          <t>19行 3列，源：b'12345678901234567890123456789012345678901234567890123456789012345678901234567890123456789012345678901234567890123456789012345678901234567890123456789012345678901234567890123456789012345678901234567890'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X80" s="0" t="inlineStr">
        <is>
          <t>5行 14列，源：None 备：9999999999.99</t>
        </is>
      </c>
      <c r="EC80" s="0" t="inlineStr">
        <is>
          <t>9行 5列，源：12:30:45.123500 备：00:00:00.0000</t>
        </is>
      </c>
      <c r="EG80" s="0" t="inlineStr">
        <is>
          <t>9行 5列，源：09:12:34.123500 备：23:59:59.9999</t>
        </is>
      </c>
      <c r="EH80" s="0" t="inlineStr">
        <is>
          <t>5行 14列，源：None 备：-123456789012.12</t>
        </is>
      </c>
      <c r="EO80" s="0" t="inlineStr">
        <is>
          <t>19行 2列，源：b'          ' 备：6D43AC05C60829CB35A65D48C355AEA1031AD766E6F65C49CE4D2CBEE49D104E3AC8C87D4D6ACE7AD61DF14F0EC02A2414AAC51D3FF9AD5D711E71DA9BF7A5A16FAC3BCB542A12C82CC1E5FE1B8F4E1476C6D977DAC6FA4678C8C33D6BB677AEBD65F62C</t>
        </is>
      </c>
      <c r="EP80" s="0" t="inlineStr">
        <is>
          <t>5行 14列，源：None 备：9999999999.99</t>
        </is>
      </c>
      <c r="ER80" s="0" t="inlineStr">
        <is>
          <t>41行 1列，源：2079-06-05 23:59:00 备：1981-05-11 14:31:00</t>
        </is>
      </c>
      <c r="ES80" s="0" t="inlineStr">
        <is>
          <t>5行 14列，源：None 备：-123456789012.12</t>
        </is>
      </c>
      <c r="ET80" s="0" t="inlineStr">
        <is>
          <t>8行 6列，源：1999-05-16 01:30:45.12346 +10:15 备：9999-12-31 23:59:59.99999 +00:00</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c_nvarchar列源备映射错误，源端为nvarchar 2位	期望更改为text	实际备端为nvarchar 2位</t>
        </is>
      </c>
      <c r="AI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81" s="0" t="inlineStr">
        <is>
          <t>7行 2列，源：-32768.0 备：</t>
        </is>
      </c>
      <c r="AP81" s="0" t="inlineStr">
        <is>
          <t>40行 0列，源：67 备：357</t>
        </is>
      </c>
      <c r="AS81" s="0" t="inlineStr">
        <is>
          <t>6行 16列，源：1.2345669834560371e-20 备：0.000000</t>
        </is>
      </c>
      <c r="AT81" s="0" t="inlineStr">
        <is>
          <t>40行 0列，源：123 备：223</t>
        </is>
      </c>
      <c r="AZ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81" s="0" t="inlineStr">
        <is>
          <t>9行 6列，源：2026-04-17 17:17:24.630650 备：</t>
        </is>
      </c>
      <c r="BG81" s="0" t="inlineStr">
        <is>
          <t>5行 18列，源：None 备：1234.5678</t>
        </is>
      </c>
      <c r="BI81" s="0" t="inlineStr">
        <is>
          <t>8行 7列，源：0001-01-01 00:00:00 备：2065-05-11 14:30:45.123457</t>
        </is>
      </c>
      <c r="BJ81" s="0" t="inlineStr">
        <is>
          <t>5行 6列，源：None 备：99999999999999999999999999999999</t>
        </is>
      </c>
      <c r="BL81" s="0" t="inlineStr">
        <is>
          <t>12行 1列，源：X 备：试</t>
        </is>
      </c>
      <c r="BO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1" s="0" t="inlineStr">
        <is>
          <t>20行 0列，源：73 备：4</t>
        </is>
      </c>
      <c r="BV81" s="0" t="inlineStr">
        <is>
          <t>8行 7列，源：1999-05-16 01:30:45.123457 +10:15 备：9999-12-31 23:59:59.999999 +00:00</t>
        </is>
      </c>
      <c r="BX81" s="0" t="inlineStr">
        <is>
          <t>8行 7列，源：1999-05-16 01:30:45.123457 +10:15 备：2000-05-11 00:30:45.123457 +09:00</t>
        </is>
      </c>
      <c r="BY81" s="0" t="inlineStr">
        <is>
          <t>8行 7列，源：1999-05-16 01:30:45.123457 +10:15 备：9999-12-31 23:59:59.999999 +00:00</t>
        </is>
      </c>
      <c r="CA81" s="0" t="inlineStr">
        <is>
          <t>19行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B81" s="0" t="inlineStr">
        <is>
          <t>8行 7列，源：1999-05-16 01:30:45.123457 +10:15 备：2003-11-05 02:00:00.000000 -05:10</t>
        </is>
      </c>
      <c r="CE81" s="0" t="inlineStr">
        <is>
          <t>10行 5列，源：2025-05-12 00:00:00.0000 -14:00 备：2063-03-12 02:00:00.0000 -04:25</t>
        </is>
      </c>
      <c r="CF81" s="0" t="inlineStr">
        <is>
          <t>11行 4列，源：23:59:59.123000 备：12:30:45.123</t>
        </is>
      </c>
      <c r="CM81" s="0" t="inlineStr">
        <is>
          <t>6行 10列，源：None 备：</t>
        </is>
      </c>
      <c r="DA81" s="0" t="inlineStr">
        <is>
          <t>5行 18列，源：None 备：1000.0000</t>
        </is>
      </c>
      <c r="DH81"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1" s="0" t="inlineStr">
        <is>
          <t>8行 7列，源：12:30:45.123450 备：00:00:00.000000</t>
        </is>
      </c>
      <c r="DL81" s="0" t="inlineStr">
        <is>
          <t>10行 5列，源：12:30:45.123500 备：00:00:00.0000</t>
        </is>
      </c>
      <c r="DN81" s="0" t="inlineStr">
        <is>
          <t>12行 1列，源：X 备：试</t>
        </is>
      </c>
      <c r="DT81" s="0" t="inlineStr">
        <is>
          <t>8行 7列，源：12:30:45.123450 备：00:00:00.000000</t>
        </is>
      </c>
      <c r="DU81" s="0" t="inlineStr">
        <is>
          <t>20行 0列，源：73 备：4</t>
        </is>
      </c>
      <c r="DX81" s="0" t="inlineStr">
        <is>
          <t>5行 15列，源：nan 备：</t>
        </is>
      </c>
      <c r="EC81" s="0" t="inlineStr">
        <is>
          <t>9行 6列，源：12:30:45.123460 备：00:00:00.00000</t>
        </is>
      </c>
      <c r="EG81" s="0" t="inlineStr">
        <is>
          <t>9行 6列，源：12:30:45.123460 备：23:59:59.99999</t>
        </is>
      </c>
      <c r="EH81" s="0" t="inlineStr">
        <is>
          <t>5行 15列，源：nan 备：</t>
        </is>
      </c>
      <c r="EO81" s="0" t="inlineStr">
        <is>
          <t>19行 3列，源：b'                                                                                                                                                                                                        ' 备：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t>
        </is>
      </c>
      <c r="EP81" s="0" t="inlineStr">
        <is>
          <t>5行 15列，源：nan 备：</t>
        </is>
      </c>
      <c r="ER81" s="0" t="inlineStr">
        <is>
          <t>42行 0列，源：133 备：8</t>
        </is>
      </c>
      <c r="ES81" s="0" t="inlineStr">
        <is>
          <t>5行 15列，源：nan 备：</t>
        </is>
      </c>
      <c r="ET81" s="0" t="inlineStr">
        <is>
          <t>8行 7列，源：1999-05-16 01:30:45.123457 +10:15 备：9999-12-31 23:59:59.999999 +00:00</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c_nvarchar20列源备映射错误，源端为nvarchar 40位	期望更改为text	实际备端为nvarchar 40位</t>
        </is>
      </c>
      <c r="AI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82" s="0" t="inlineStr">
        <is>
          <t>7行 5列，源：None 备：</t>
        </is>
      </c>
      <c r="AP82" s="0" t="inlineStr">
        <is>
          <t>40行 1列，源：2003-11-04 23:59:59.990000 备：2000-05-11 14:30:29.000</t>
        </is>
      </c>
      <c r="AS82" s="0" t="inlineStr">
        <is>
          <t>6行 18列，源：None 备：</t>
        </is>
      </c>
      <c r="AT82" s="0" t="inlineStr">
        <is>
          <t>40行 1列，源：2025-01-01 00:00:00.233000 备：2025-01-01 00:00:00.233</t>
        </is>
      </c>
      <c r="AZ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82" s="0" t="inlineStr">
        <is>
          <t>9行 7列，源：2026-04-17 17:17:24.630647 备：</t>
        </is>
      </c>
      <c r="BG82" s="0" t="inlineStr">
        <is>
          <t>5行 19列，源：None 备：1</t>
        </is>
      </c>
      <c r="BI82" s="0" t="inlineStr">
        <is>
          <t>8行 8列，源：0001-01-01 00:00:00 备：2065-05-11 14:30:45.1234567</t>
        </is>
      </c>
      <c r="BJ82" s="0" t="inlineStr">
        <is>
          <t>5行 7列，源：None 备：0.99999999999999999999999999999900000000</t>
        </is>
      </c>
      <c r="BL82" s="0" t="inlineStr">
        <is>
          <t>12行 1列，源：X 备：试</t>
        </is>
      </c>
      <c r="BO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2" s="0" t="inlineStr">
        <is>
          <t>20行 1列，源：b'\x00' 备：20</t>
        </is>
      </c>
      <c r="BV82" s="0" t="inlineStr">
        <is>
          <t>8行 8列，源：1999-05-16 01:30:45.1234567 +10:15 备：9999-12-31 23:59:59.9999999 +00:00</t>
        </is>
      </c>
      <c r="BX82" s="0" t="inlineStr">
        <is>
          <t>8行 8列，源：1999-05-16 01:30:45.1234567 +10:15 备：2000-05-11 00:30:45.1234567 +09:00</t>
        </is>
      </c>
      <c r="BY82" s="0" t="inlineStr">
        <is>
          <t>8行 8列，源：1999-05-16 01:30:45.1234567 +10:15 备：9999-12-31 23:59:59.9999999 +00:00</t>
        </is>
      </c>
      <c r="CA82" s="0" t="inlineStr">
        <is>
          <t>20行 0列，源：105 备：59</t>
        </is>
      </c>
      <c r="CB82" s="0" t="inlineStr">
        <is>
          <t>8行 8列，源：1999-05-16 01:30:45.1234567 +10:15 备：2003-11-05 02:00:00.0000000 -05:10</t>
        </is>
      </c>
      <c r="CE82" s="0" t="inlineStr">
        <is>
          <t>10行 6列，源：2025-05-12 00:00:00.00000 -14:00 备：2063-03-12 02:00:00.00000 -04:25</t>
        </is>
      </c>
      <c r="CF82" s="0" t="inlineStr">
        <is>
          <t>11行 5列，源：23:59:59.123500 备：12:30:45.1230</t>
        </is>
      </c>
      <c r="CM82" s="0" t="inlineStr">
        <is>
          <t>6行 11列，源：None 备：</t>
        </is>
      </c>
      <c r="DA82" s="0" t="inlineStr">
        <is>
          <t>5行 19列，源：None 备：</t>
        </is>
      </c>
      <c r="DH82" s="0" t="inlineStr">
        <is>
          <t>11行 3列，源：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1234567890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2" s="0" t="inlineStr">
        <is>
          <t>8行 8列，源：12:30:45.123450 备：00:00:00.0000000</t>
        </is>
      </c>
      <c r="DL82" s="0" t="inlineStr">
        <is>
          <t>10行 6列，源：12:30:45.123460 备：00:00:00.00000</t>
        </is>
      </c>
      <c r="DN82" s="0" t="inlineStr">
        <is>
          <t>12行 1列，源：X 备：试</t>
        </is>
      </c>
      <c r="DT82" s="0" t="inlineStr">
        <is>
          <t>8行 8列，源：12:30:45.123450 备：00:00:00.0000000</t>
        </is>
      </c>
      <c r="DU82" s="0" t="inlineStr">
        <is>
          <t>20行 1列，源：b'' 备：20</t>
        </is>
      </c>
      <c r="DX82" s="0" t="inlineStr">
        <is>
          <t>5行 16列，源：nan 备：</t>
        </is>
      </c>
      <c r="EC82" s="0" t="inlineStr">
        <is>
          <t>9行 7列，源：12:30:45.123456 备：00:00:00.000000</t>
        </is>
      </c>
      <c r="EG82" s="0" t="inlineStr">
        <is>
          <t>9行 7列，源：09:12:34.123457 备：23:59:59.999999</t>
        </is>
      </c>
      <c r="EH82" s="0" t="inlineStr">
        <is>
          <t>5行 16列，源：nan 备：</t>
        </is>
      </c>
      <c r="EO82" s="0" t="inlineStr">
        <is>
          <t>20行 0列，源：105 备：60</t>
        </is>
      </c>
      <c r="EP82" s="0" t="inlineStr">
        <is>
          <t>5行 16列，源：nan 备：</t>
        </is>
      </c>
      <c r="ER82" s="0" t="inlineStr">
        <is>
          <t>42行 1列，源：2025-05-11 12:00:00 备：2068-05-11 14:31:00</t>
        </is>
      </c>
      <c r="ES82" s="0" t="inlineStr">
        <is>
          <t>5行 16列，源：nan 备：</t>
        </is>
      </c>
      <c r="ET82" s="0" t="inlineStr">
        <is>
          <t>8行 8列，源：1999-05-16 01:30:45.1234567 +10:15 备：9999-12-31 23:59:59.9999999 +00:00</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c_nvarchar3500列源备映射错误，源端为nvarchar 7000位	期望更改为text	实际备端为nvarchar 7000位</t>
        </is>
      </c>
      <c r="AI83" s="0" t="inlineStr">
        <is>
          <t>12行 0列，源：13 备：6</t>
        </is>
      </c>
      <c r="AM83" s="0" t="inlineStr">
        <is>
          <t>7行 6列，源：None 备：</t>
        </is>
      </c>
      <c r="AP83" s="0" t="inlineStr">
        <is>
          <t>41行 0列，源：68 备：364</t>
        </is>
      </c>
      <c r="AS83" s="0" t="inlineStr">
        <is>
          <t>6行 19列，源：False 备：0</t>
        </is>
      </c>
      <c r="AT83" s="0" t="inlineStr">
        <is>
          <t>41行 0列，源：214 备：224</t>
        </is>
      </c>
      <c r="AZ83" s="0" t="inlineStr">
        <is>
          <t>12行 0列，源：13 备：6</t>
        </is>
      </c>
      <c r="BE83" s="0" t="inlineStr">
        <is>
          <t>9行 8列，源：2026-04-17 17:17:24.630646 备：</t>
        </is>
      </c>
      <c r="BG83" s="0" t="inlineStr">
        <is>
          <t>6行 0列，源：16 备：17</t>
        </is>
      </c>
      <c r="BI83" s="0" t="inlineStr">
        <is>
          <t>9行 0列，源：55 备：3</t>
        </is>
      </c>
      <c r="BJ83" s="0" t="inlineStr">
        <is>
          <t>5行 8列，源：None 备：9999999999999999999999.9999990000</t>
        </is>
      </c>
      <c r="BL83" s="0" t="inlineStr">
        <is>
          <t xml:space="preserve">12行 2列，源：This is a nchar stri 备：更新生僻字               </t>
        </is>
      </c>
      <c r="BO83" s="0" t="inlineStr">
        <is>
          <t>12行 0列，源：13 备：6</t>
        </is>
      </c>
      <c r="BP83" s="0" t="inlineStr">
        <is>
          <t>20行 2列，源：b'\x00\x00\x00\x00\x00\x00\x00\x00\x00\x00\x00\x00\x00\x00\x00\x00\x00\x00\x00\x00' 备：2020202020202020202020202020202020202020</t>
        </is>
      </c>
      <c r="BV83" s="0" t="inlineStr">
        <is>
          <t>9行 0列，源：10 备：6</t>
        </is>
      </c>
      <c r="BX83" s="0" t="inlineStr">
        <is>
          <t>9行 0列，源：10 备：129</t>
        </is>
      </c>
      <c r="BY83" s="0" t="inlineStr">
        <is>
          <t>9行 0列，源：10 备：6</t>
        </is>
      </c>
      <c r="CA83" s="0" t="inlineStr">
        <is>
          <t>20行 1列，源：b'A' 备：2A</t>
        </is>
      </c>
      <c r="CB83" s="0" t="inlineStr">
        <is>
          <t>9行 0列，源：10 备：110</t>
        </is>
      </c>
      <c r="CE83" s="0" t="inlineStr">
        <is>
          <t>10行 7列，源：2025-05-12 00:00:00.000000 -14:00 备：2063-03-12 02:00:00.000000 -04:25</t>
        </is>
      </c>
      <c r="CF83" s="0" t="inlineStr">
        <is>
          <t>11行 6列，源：23:59:59.123460 备：12:30:45.12300</t>
        </is>
      </c>
      <c r="CM83" s="0" t="inlineStr">
        <is>
          <t>6行 12列，源：None 备：</t>
        </is>
      </c>
      <c r="DA83" s="0" t="inlineStr">
        <is>
          <t>6行 0列，源：10 备：16</t>
        </is>
      </c>
      <c r="DH83" s="0" t="inlineStr">
        <is>
          <t>12行 0列，源：13 备：6</t>
        </is>
      </c>
      <c r="DJ83" s="0" t="inlineStr">
        <is>
          <t>9行 0列，源：10 备：3</t>
        </is>
      </c>
      <c r="DL83" s="0" t="inlineStr">
        <is>
          <t>10行 7列，源：12:30:45.123457 备：00:00:00.000000</t>
        </is>
      </c>
      <c r="DN83" s="0" t="inlineStr">
        <is>
          <t>12行 2列，源：This is a nchar stri 备：更新生僻字</t>
        </is>
      </c>
      <c r="DT83" s="0" t="inlineStr">
        <is>
          <t>9行 0列，源：10 备：3</t>
        </is>
      </c>
      <c r="DU83" s="0" t="inlineStr">
        <is>
          <t>20行 2列，源：b'' 备：20202020202020202020</t>
        </is>
      </c>
      <c r="DX83" s="0" t="inlineStr">
        <is>
          <t>5行 17列，源：None 备：</t>
        </is>
      </c>
      <c r="EC83" s="0" t="inlineStr">
        <is>
          <t>9行 8列，源：12:30:45.123456 备：00:00:00.0000000</t>
        </is>
      </c>
      <c r="EG83" s="0" t="inlineStr">
        <is>
          <t>9行 8列，源：12:30:45.123456 备：23:59:59.9999999</t>
        </is>
      </c>
      <c r="EH83" s="0" t="inlineStr">
        <is>
          <t>5行 17列，源：None 备：</t>
        </is>
      </c>
      <c r="EO83" s="0" t="inlineStr">
        <is>
          <t>20行 1列，源：b'A' 备：2A</t>
        </is>
      </c>
      <c r="EP83" s="0" t="inlineStr">
        <is>
          <t>5行 17列，源：None 备：</t>
        </is>
      </c>
      <c r="ER83" s="0" t="inlineStr">
        <is>
          <t>43行 0列，源：134 备：80</t>
        </is>
      </c>
      <c r="ES83" s="0" t="inlineStr">
        <is>
          <t>5行 17列，源：None 备：</t>
        </is>
      </c>
      <c r="ET83" s="0" t="inlineStr">
        <is>
          <t>9行 0列，源：10 备：6</t>
        </is>
      </c>
    </row>
    <row r="84">
      <c r="A84" s="0" t="inlineStr">
        <is>
          <t>info_geometry_dml_single_pk_urp</t>
        </is>
      </c>
      <c r="K84" s="0" t="inlineStr">
        <is>
          <t>[0;34m info_geometry_dml_single_pk_urp [0m源备字段数相同，源端字段：2 	备端字段2</t>
        </is>
      </c>
      <c r="W84" s="2">
        <f>HYPERLINK("#2026041905hbase4!AK2","NO 源备存在差异，共7个")</f>
        <v/>
      </c>
      <c r="X84" s="0">
        <f>A84</f>
        <v/>
      </c>
      <c r="AI84" s="0" t="inlineStr">
        <is>
          <t>12行 1列，源：@ 备：A</t>
        </is>
      </c>
      <c r="AM84" s="0" t="inlineStr">
        <is>
          <t>7行 7列，源：None 备：</t>
        </is>
      </c>
      <c r="AP84" s="0" t="inlineStr">
        <is>
          <t>41行 1列，源：2004-12-24 23:59:59.990000 备：2000-05-01 23:59:59.993</t>
        </is>
      </c>
      <c r="AS84" s="0" t="inlineStr">
        <is>
          <t>7行 0列，源：8 备：16</t>
        </is>
      </c>
      <c r="AT84" s="0" t="inlineStr">
        <is>
          <t>41行 1列，源：2000-05-01 23:59:59.993000 备：2040-12-25 23:59:59.997</t>
        </is>
      </c>
      <c r="AZ84" s="0" t="inlineStr">
        <is>
          <t>12行 1列，源：@ 备：A</t>
        </is>
      </c>
      <c r="BE84" s="0" t="inlineStr">
        <is>
          <t>10行 0列，源：24 备：22</t>
        </is>
      </c>
      <c r="BG84" s="0" t="inlineStr">
        <is>
          <t>6行 1列，源：nan 备：</t>
        </is>
      </c>
      <c r="BI84" s="0" t="inlineStr">
        <is>
          <t>9行 1列，源：9999-12-31 23:59:59 备：2026-04-17 17:17:33</t>
        </is>
      </c>
      <c r="BJ84" s="0" t="inlineStr">
        <is>
          <t>5行 10列，源：None 备：100000000000000</t>
        </is>
      </c>
      <c r="BL84" s="0" t="inlineStr">
        <is>
          <t xml:space="preserve">12行 2列，源：This is a nchar stri 备：更新生僻字               </t>
        </is>
      </c>
      <c r="BO84" s="0" t="inlineStr">
        <is>
          <t>12行 1列，源：@ 备：A</t>
        </is>
      </c>
      <c r="BP84" s="0" t="inlineStr">
        <is>
          <t>20行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V84" s="0" t="inlineStr">
        <is>
          <t>9行 1列，源：2013-03-12 02:00:00 -04:25 备：2063-05-11 10:30:45 -04:00</t>
        </is>
      </c>
      <c r="BX84" s="0" t="inlineStr">
        <is>
          <t>9行 1列，源：2013-03-12 02:00:00 -04:25 备：1999-05-16 01:30:45 +10:15</t>
        </is>
      </c>
      <c r="BY84" s="0" t="inlineStr">
        <is>
          <t>9行 1列，源：2013-03-12 02:00:00 -04:25 备：2063-05-11 10:30:45 -04:00</t>
        </is>
      </c>
      <c r="CA84" s="0" t="inlineStr">
        <is>
          <t>20行 2列，源：b'Variable length bina' 备：7E21402324255E262A5D00000000000000000000</t>
        </is>
      </c>
      <c r="CB84" s="0" t="inlineStr">
        <is>
          <t>10行 0列，源：11 备：111</t>
        </is>
      </c>
      <c r="CE84" s="0" t="inlineStr">
        <is>
          <t>10行 8列，源：2025-05-11 23:59:59.9999999 -14:00 备：2063-03-12 02:00:00.0000000 -04:25</t>
        </is>
      </c>
      <c r="CF84" s="0" t="inlineStr">
        <is>
          <t>11行 7列，源：23:59:59.123457 备：12:30:45.123000</t>
        </is>
      </c>
      <c r="CM84" s="0" t="inlineStr">
        <is>
          <t>6行 13列，源：None 备：</t>
        </is>
      </c>
      <c r="DA84" s="0" t="inlineStr">
        <is>
          <t>6行 1列，源：nan 备：</t>
        </is>
      </c>
      <c r="DH84" s="0" t="inlineStr">
        <is>
          <t>12行 1列，源：@ 备：A</t>
        </is>
      </c>
      <c r="DJ84" s="0" t="inlineStr">
        <is>
          <t>9行 1列，源：12:30:45 备：23:59:59</t>
        </is>
      </c>
      <c r="DL84" s="0" t="inlineStr">
        <is>
          <t>10行 8列，源：12:30:45.123456 备：00:00:00.0000000</t>
        </is>
      </c>
      <c r="DN84" s="0" t="inlineStr">
        <is>
          <t>12行 2列，源：This is a nchar stri 备：更新生僻字</t>
        </is>
      </c>
      <c r="DT84" s="0" t="inlineStr">
        <is>
          <t>9行 1列，源：12:30:45 备：23:59:59</t>
        </is>
      </c>
      <c r="DU84" s="0" t="inlineStr">
        <is>
          <t>20行 3列，源：b''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X84" s="0" t="inlineStr">
        <is>
          <t>5行 18列，源：None 备：</t>
        </is>
      </c>
      <c r="EC84" s="0" t="inlineStr">
        <is>
          <t>10行 0列，源：11 备：3</t>
        </is>
      </c>
      <c r="EG84" s="0" t="inlineStr">
        <is>
          <t>10行 0列，源：11 备：4</t>
        </is>
      </c>
      <c r="EH84" s="0" t="inlineStr">
        <is>
          <t>5行 18列，源：None 备：</t>
        </is>
      </c>
      <c r="EO84" s="0" t="inlineStr">
        <is>
          <t>20行 2列，源：b'Variable length bina' 备：3132333435363738393031323334353637383930</t>
        </is>
      </c>
      <c r="EP84" s="0" t="inlineStr">
        <is>
          <t>5行 18列，源：None 备：</t>
        </is>
      </c>
      <c r="ER84" s="0" t="inlineStr">
        <is>
          <t>43行 1列，源：2023-12-25 23:59:00 备：2079-06-05 23:59:00</t>
        </is>
      </c>
      <c r="ES84" s="0" t="inlineStr">
        <is>
          <t>5行 18列，源：None 备：</t>
        </is>
      </c>
      <c r="ET84" s="0" t="inlineStr">
        <is>
          <t>9行 1列，源：2013-03-12 02:00:00 -04:25 备：2063-05-11 10:30:45 -04:00</t>
        </is>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YES!PK__info_geo__3213E83FE2036960</t>
        </is>
      </c>
      <c r="J85" s="0" t="inlineStr">
        <is>
          <t>YES! 主键相关索引</t>
        </is>
      </c>
      <c r="K85" s="0" t="inlineStr">
        <is>
          <t xml:space="preserve"> NO!  	 id列源备映射错误，源端为int None位	期望更改为text	实际备端为int None位</t>
        </is>
      </c>
      <c r="AI85" s="0" t="inlineStr">
        <is>
          <t>12行 1列，源：@ 备：A</t>
        </is>
      </c>
      <c r="AM85" s="0" t="inlineStr">
        <is>
          <t>7行 8列，源：None 备：</t>
        </is>
      </c>
      <c r="AP85" s="0" t="inlineStr">
        <is>
          <t>42行 0列，源：69 备：365</t>
        </is>
      </c>
      <c r="AS85" s="0" t="inlineStr">
        <is>
          <t>7行 2列，源：0.0 备：0</t>
        </is>
      </c>
      <c r="AT85" s="0" t="inlineStr">
        <is>
          <t>42行 0列，源：215 备：23</t>
        </is>
      </c>
      <c r="AZ85" s="0" t="inlineStr">
        <is>
          <t>12行 1列，源：@ 备：A</t>
        </is>
      </c>
      <c r="BE85" s="0" t="inlineStr">
        <is>
          <t>10行 1列，源：0001-01-01 00:00:00 备：1900-01-01 00:00:00</t>
        </is>
      </c>
      <c r="BG85" s="0" t="inlineStr">
        <is>
          <t>6行 2列，源：nan 备：</t>
        </is>
      </c>
      <c r="BI85" s="0" t="inlineStr">
        <is>
          <t>9行 2列，源：9999-12-31 23:59:59.900000 备：2026-04-17 17:17:33.4</t>
        </is>
      </c>
      <c r="BJ85" s="0" t="inlineStr">
        <is>
          <t>5行 11列，源：None 备：999999999999999999999</t>
        </is>
      </c>
      <c r="BL85"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85" s="0" t="inlineStr">
        <is>
          <t>12行 1列，源：@ 备：A</t>
        </is>
      </c>
      <c r="BP85" s="0" t="inlineStr">
        <is>
          <t>21行 0列，源：74 备：5</t>
        </is>
      </c>
      <c r="BV85" s="0" t="inlineStr">
        <is>
          <t>9行 2列，源：2013-03-12 02:00:00.0 -04:25 备：2063-05-11 10:30:45.1 -04:00</t>
        </is>
      </c>
      <c r="BX85" s="0" t="inlineStr">
        <is>
          <t>9行 2列，源：2013-03-12 02:00:00.0 -04:25 备：1999-05-16 01:30:45.1 +10:15</t>
        </is>
      </c>
      <c r="BY85" s="0" t="inlineStr">
        <is>
          <t>9行 2列，源：2013-03-12 02:00:00.0 -04:25 备：2063-05-11 10:30:45.1 -04:00</t>
        </is>
      </c>
      <c r="CA85" s="0" t="inlineStr">
        <is>
          <t>20行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B85" s="0" t="inlineStr">
        <is>
          <t>11行 0列，源：12 备：112</t>
        </is>
      </c>
      <c r="CE85" s="0" t="inlineStr">
        <is>
          <t>11行 0列，源：12 备：8</t>
        </is>
      </c>
      <c r="CF85" s="0" t="inlineStr">
        <is>
          <t>11行 8列，源：23:59:59.123456 备：12:30:45.1230000</t>
        </is>
      </c>
      <c r="CM85" s="0" t="inlineStr">
        <is>
          <t>6行 14列，源：None 备：</t>
        </is>
      </c>
      <c r="DA85" s="0" t="inlineStr">
        <is>
          <t>6行 2列，源：nan 备：</t>
        </is>
      </c>
      <c r="DH85" s="0" t="inlineStr">
        <is>
          <t>12行 1列，源：@ 备：A</t>
        </is>
      </c>
      <c r="DJ85" s="0" t="inlineStr">
        <is>
          <t>9行 2列，源：12:30:45.100000 备：23:59:59.9</t>
        </is>
      </c>
      <c r="DL85" s="0" t="inlineStr">
        <is>
          <t>11行 0列，源：12 备：21</t>
        </is>
      </c>
      <c r="DN85"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T85" s="0" t="inlineStr">
        <is>
          <t>9行 2列，源：12:30:45.100000 备：23:59:59.9</t>
        </is>
      </c>
      <c r="DU85" s="0" t="inlineStr">
        <is>
          <t>21行 0列，源：74 备：5</t>
        </is>
      </c>
      <c r="DX85" s="0" t="inlineStr">
        <is>
          <t>5行 19列，源：None 备：</t>
        </is>
      </c>
      <c r="EC85" s="0" t="inlineStr">
        <is>
          <t>10行 1列，源：12:30:45 备：23:59:59</t>
        </is>
      </c>
      <c r="EG85" s="0" t="inlineStr">
        <is>
          <t>10行 1列，源：12:30:45 备：09:12:34</t>
        </is>
      </c>
      <c r="EH85" s="0" t="inlineStr">
        <is>
          <t>5行 19列，源：None 备：</t>
        </is>
      </c>
      <c r="EO85" s="0" t="inlineStr">
        <is>
          <t>20行 3列，源：b'TestTestTestTestTestTestTestTestTestTestTestTestTestTestTestTestTestTestTestTestTestTestTestTestTestTestTestTestTestTestTestTestTestTestTestTestTestTestTestTestTestTestTestTestTestTestTestTestTestTest'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EP85" s="0" t="inlineStr">
        <is>
          <t>5行 19列，源：None 备：</t>
        </is>
      </c>
      <c r="ER85" s="0" t="inlineStr">
        <is>
          <t>44行 0列，源：177 备：81</t>
        </is>
      </c>
      <c r="ES85" s="0" t="inlineStr">
        <is>
          <t>5行 19列，源：None 备：</t>
        </is>
      </c>
      <c r="ET85" s="0" t="inlineStr">
        <is>
          <t>9行 2列，源：2013-03-12 02:00:00.0 -04:25 备：2063-05-11 10:30:45.1 -04:00</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c_geometry列源备映射错误，源端为geometry -1位	期望更改为text	实际备端为geometry -1位</t>
        </is>
      </c>
      <c r="AI86" s="0" t="inlineStr">
        <is>
          <t xml:space="preserve">12行 2列，源：~!@#$%^&amp;*()_+|`;,[]} 备：THIS IS A           </t>
        </is>
      </c>
      <c r="AM86" s="0" t="inlineStr">
        <is>
          <t>7行 10列，源：None 备：</t>
        </is>
      </c>
      <c r="AP86" s="0" t="inlineStr">
        <is>
          <t>42行 1列，源：1753-01-02 00:00:00 备：2001-04-09 23:59:59.993</t>
        </is>
      </c>
      <c r="AS86" s="0" t="inlineStr">
        <is>
          <t>7行 6列，源：None 备：</t>
        </is>
      </c>
      <c r="AT86" s="0" t="inlineStr">
        <is>
          <t>42行 1列，源：2001-04-09 23:59:59.993000 备：2025-01-01 00:00:00.233</t>
        </is>
      </c>
      <c r="AZ86" s="0" t="inlineStr">
        <is>
          <t xml:space="preserve">12行 2列，源：~!@#$%^&amp;*()_+|`;,[]} 备：THIS IS A           </t>
        </is>
      </c>
      <c r="BE86" s="0" t="inlineStr">
        <is>
          <t>10行 2列，源：0001-01-01 00:00:00 备：1900-01-01 00:00:00.0</t>
        </is>
      </c>
      <c r="BG86" s="0" t="inlineStr">
        <is>
          <t>6行 3列，源：nan 备：</t>
        </is>
      </c>
      <c r="BI86" s="0" t="inlineStr">
        <is>
          <t>9行 3列，源：9999-12-31 23:59:59.990000 备：2026-04-17 17:17:33.41</t>
        </is>
      </c>
      <c r="BJ86" s="0" t="inlineStr">
        <is>
          <t>5行 12列，源：None 备：0.99999999999999999999999999900000000000</t>
        </is>
      </c>
      <c r="BL86" s="0" t="inlineStr">
        <is>
          <t xml:space="preserve">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t>
        </is>
      </c>
      <c r="BO86" s="0" t="inlineStr">
        <is>
          <t>12行 2列，源：~!@#$%^&amp;*()_+|`;,[]} 备：THIS IS A</t>
        </is>
      </c>
      <c r="BP86" s="0" t="inlineStr">
        <is>
          <t>21行 1列，源：b' ' 备：41</t>
        </is>
      </c>
      <c r="BV86" s="0" t="inlineStr">
        <is>
          <t>9行 3列，源：2013-03-12 02:00:00.00 -04:25 备：2063-05-11 10:30:45.12 -04:00</t>
        </is>
      </c>
      <c r="BX86" s="0" t="inlineStr">
        <is>
          <t>9行 3列，源：2013-03-12 02:00:00.00 -04:25 备：1999-05-16 01:30:45.12 +10:15</t>
        </is>
      </c>
      <c r="BY86" s="0" t="inlineStr">
        <is>
          <t>9行 3列，源：2013-03-12 02:00:00.00 -04:25 备：2063-05-11 10:30:45.12 -04:00</t>
        </is>
      </c>
      <c r="CA86" s="0" t="inlineStr">
        <is>
          <t>21行 0列，源：106 备：6</t>
        </is>
      </c>
      <c r="CB86" s="0" t="inlineStr">
        <is>
          <t>12行 0列，源：13 备：113</t>
        </is>
      </c>
      <c r="CE86" s="0" t="inlineStr">
        <is>
          <t>11行 1列，源：2025-05-12 00:00:00 -14:00 备：2000-05-11 00:30:45 +09:00</t>
        </is>
      </c>
      <c r="CF86" s="0" t="inlineStr">
        <is>
          <t>12行 0列，源：13 备：8</t>
        </is>
      </c>
      <c r="CM86" s="0" t="inlineStr">
        <is>
          <t>6行 15列，源：nan 备：</t>
        </is>
      </c>
      <c r="DA86" s="0" t="inlineStr">
        <is>
          <t>6行 3列，源：nan 备：</t>
        </is>
      </c>
      <c r="DH86" s="0" t="inlineStr">
        <is>
          <t>12行 2列，源：~!@#$%^&amp;*()_+|`;,[]} 备：THIS IS A</t>
        </is>
      </c>
      <c r="DJ86" s="0" t="inlineStr">
        <is>
          <t>9行 3列，源：12:30:45.120000 备：23:59:59.99</t>
        </is>
      </c>
      <c r="DL86" s="0" t="inlineStr">
        <is>
          <t>11行 1列，源：23:59:59 备：</t>
        </is>
      </c>
      <c r="DN86" s="0" t="inlineStr">
        <is>
          <t>12行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t>
        </is>
      </c>
      <c r="DT86" s="0" t="inlineStr">
        <is>
          <t>9行 3列，源：12:30:45.120000 备：23:59:59.99</t>
        </is>
      </c>
      <c r="DU86" s="0" t="inlineStr">
        <is>
          <t>21行 1列，源：b' ' 备：41</t>
        </is>
      </c>
      <c r="DX86" s="0" t="inlineStr">
        <is>
          <t>6行 0列，源：7 备：15</t>
        </is>
      </c>
      <c r="EC86" s="0" t="inlineStr">
        <is>
          <t>10行 2列，源：12:30:45.100000 备：23:59:59.9</t>
        </is>
      </c>
      <c r="EG86" s="0" t="inlineStr">
        <is>
          <t>10行 3列，源：12:30:45.120000 备：09:12:34.12</t>
        </is>
      </c>
      <c r="EH86" s="0" t="inlineStr">
        <is>
          <t>6行 0列，源：7 备：105</t>
        </is>
      </c>
      <c r="EO86" s="0" t="inlineStr">
        <is>
          <t>21行 0列，源：106 备：7</t>
        </is>
      </c>
      <c r="EP86" s="0" t="inlineStr">
        <is>
          <t>6行 0列，源：7 备：15</t>
        </is>
      </c>
      <c r="ER86" s="0" t="inlineStr">
        <is>
          <t>44行 1列，源：2000-05-11 14:30:00 备：1900-01-02 00:00:00</t>
        </is>
      </c>
      <c r="ES86" s="0" t="inlineStr">
        <is>
          <t>6行 0列，源：7 备：105</t>
        </is>
      </c>
      <c r="ET86" s="0" t="inlineStr">
        <is>
          <t>9行 3列，源：2013-03-12 02:00:00.00 -04:25 备：2063-05-11 10:30:45.12 -04:00</t>
        </is>
      </c>
    </row>
    <row r="87">
      <c r="A87" s="0" t="inlineStr">
        <is>
          <t>info_sdt_dml_batch1_pk</t>
        </is>
      </c>
      <c r="K87" s="0" t="inlineStr">
        <is>
          <t>[0;34m info_sdt_dml_batch1_pk [0m源备字段数相同，源端字段：2 	备端字段2</t>
        </is>
      </c>
      <c r="W87" s="2">
        <f>HYPERLINK("#2026041905hbase4!AL2","NO 源备存在差异，共3个")</f>
        <v/>
      </c>
      <c r="X87" s="0">
        <f>A87</f>
        <v/>
      </c>
      <c r="AI87" s="0" t="inlineStr">
        <is>
          <t xml:space="preserve">12行 2列，源：~!@#$%^&amp;*()_+|`;,[]} 备：THIS IS A           </t>
        </is>
      </c>
      <c r="AM87" s="0" t="inlineStr">
        <is>
          <t>7行 11列，源：None 备：</t>
        </is>
      </c>
      <c r="AP87" s="0" t="inlineStr">
        <is>
          <t>43行 0列，源：70 备：366</t>
        </is>
      </c>
      <c r="AS87" s="0" t="inlineStr">
        <is>
          <t>7行 7列，源：None 备：</t>
        </is>
      </c>
      <c r="AT87" s="0" t="inlineStr">
        <is>
          <t>43行 0列，源：216 备：24</t>
        </is>
      </c>
      <c r="AZ87" s="0" t="inlineStr">
        <is>
          <t xml:space="preserve">12行 2列，源：~!@#$%^&amp;*()_+|`;,[]} 备：THIS IS A           </t>
        </is>
      </c>
      <c r="BE87" s="0" t="inlineStr">
        <is>
          <t>10行 3列，源：0001-01-01 00:00:00 备：1900-01-01 00:00:00.00</t>
        </is>
      </c>
      <c r="BG87" s="0" t="inlineStr">
        <is>
          <t>6行 4列，源：nan 备：</t>
        </is>
      </c>
      <c r="BI87" s="0" t="inlineStr">
        <is>
          <t>9行 4列，源：9999-12-31 23:59:59.999000 备：2026-04-17 17:17:33.413</t>
        </is>
      </c>
      <c r="BJ87" s="0" t="inlineStr">
        <is>
          <t>5行 13列，源：None 备：999999999999999999999.9999990000</t>
        </is>
      </c>
      <c r="BL87" s="0" t="inlineStr">
        <is>
          <t>13行 0列，源：26 备：3</t>
        </is>
      </c>
      <c r="BO87" s="0" t="inlineStr">
        <is>
          <t>12行 2列，源：~!@#$%^&amp;*()_+|`;,[]} 备：THIS IS A</t>
        </is>
      </c>
      <c r="BP87" s="0" t="inlineStr">
        <is>
          <t>21行 2列，源：b'                    ' 备：5661726961626C65206C656E6774682062696E61</t>
        </is>
      </c>
      <c r="BV87" s="0" t="inlineStr">
        <is>
          <t>9行 4列，源：2013-03-12 02:00:00.000 -04:25 备：2063-05-11 10:30:45.123 -04:00</t>
        </is>
      </c>
      <c r="BX87" s="0" t="inlineStr">
        <is>
          <t>9行 4列，源：2013-03-12 02:00:00.000 -04:25 备：1999-05-16 01:30:45.123 +10:15</t>
        </is>
      </c>
      <c r="BY87" s="0" t="inlineStr">
        <is>
          <t>9行 4列，源：2013-03-12 02:00:00.000 -04:25 备：2063-05-11 10:30:45.123 -04:00</t>
        </is>
      </c>
      <c r="CA87" s="0" t="inlineStr">
        <is>
          <t>21行 1列，源：b'\xaf' 备：AF</t>
        </is>
      </c>
      <c r="CB87" s="0" t="inlineStr">
        <is>
          <t>13行 0列，源：52 备：12</t>
        </is>
      </c>
      <c r="CE87" s="0" t="inlineStr">
        <is>
          <t>11行 2列，源：2025-05-12 00:00:00.0 -14:00 备：2000-05-11 00:30:45.1 +09:00</t>
        </is>
      </c>
      <c r="CF87" s="0" t="inlineStr">
        <is>
          <t>12行 1列，源：None 备：12:30:45</t>
        </is>
      </c>
      <c r="CM87" s="0" t="inlineStr">
        <is>
          <t>6行 16列，源：nan 备：</t>
        </is>
      </c>
      <c r="DA87" s="0" t="inlineStr">
        <is>
          <t>6行 4列，源：nan 备：</t>
        </is>
      </c>
      <c r="DH87" s="0" t="inlineStr">
        <is>
          <t>12行 2列，源：~!@#$%^&amp;*()_+|`;,[]} 备：THIS IS A</t>
        </is>
      </c>
      <c r="DJ87" s="0" t="inlineStr">
        <is>
          <t>9行 4列，源：12:30:45.123000 备：23:59:59.999</t>
        </is>
      </c>
      <c r="DL87" s="0" t="inlineStr">
        <is>
          <t>11行 2列，源：23:59:59.100000 备：</t>
        </is>
      </c>
      <c r="DN87" s="0" t="inlineStr">
        <is>
          <t>13行 0列，源：26 备：3</t>
        </is>
      </c>
      <c r="DT87" s="0" t="inlineStr">
        <is>
          <t>9行 4列，源：12:30:45.123000 备：23:59:59.999</t>
        </is>
      </c>
      <c r="DU87" s="0" t="inlineStr">
        <is>
          <t>21行 2列，源：b'          ' 备：5661726961626C65206C656E6774682062696E61</t>
        </is>
      </c>
      <c r="DX87" s="0" t="inlineStr">
        <is>
          <t>6行 1列，源：255.0 备：</t>
        </is>
      </c>
      <c r="EC87" s="0" t="inlineStr">
        <is>
          <t>10行 3列，源：12:30:45.120000 备：23:59:59.99</t>
        </is>
      </c>
      <c r="EG87" s="0" t="inlineStr">
        <is>
          <t>10行 5列，源：12:30:45.123500 备：09:12:34.1235</t>
        </is>
      </c>
      <c r="EH87" s="0" t="inlineStr">
        <is>
          <t>6行 1列，源：255.0 备：</t>
        </is>
      </c>
      <c r="EO87" s="0" t="inlineStr">
        <is>
          <t>21行 1列，源：b'\\' 备：54</t>
        </is>
      </c>
      <c r="EP87" s="0" t="inlineStr">
        <is>
          <t>6行 1列，源：255.0 备：</t>
        </is>
      </c>
      <c r="ER87" s="0" t="inlineStr">
        <is>
          <t>45行 0列，源：178 备：82</t>
        </is>
      </c>
      <c r="ES87" s="0" t="inlineStr">
        <is>
          <t>6行 1列，源：255.0 备：</t>
        </is>
      </c>
      <c r="ET87" s="0" t="inlineStr">
        <is>
          <t>9行 4列，源：2013-03-12 02:00:00.000 -04:25 备：2063-05-11 10:30:45.123 -04:00</t>
        </is>
      </c>
    </row>
    <row r="88">
      <c r="B88" s="0" t="inlineStr">
        <is>
          <t>YES</t>
        </is>
      </c>
      <c r="C88" s="0" t="inlineStr">
        <is>
          <t>NULL</t>
        </is>
      </c>
      <c r="D88" s="0" t="inlineStr">
        <is>
          <t>NULL</t>
        </is>
      </c>
      <c r="E88" s="0" t="inlineStr">
        <is>
          <t>NULL</t>
        </is>
      </c>
      <c r="F88" s="0" t="inlineStr">
        <is>
          <t>NULL</t>
        </is>
      </c>
      <c r="G88" s="0" t="inlineStr">
        <is>
          <t>NULL</t>
        </is>
      </c>
      <c r="H88" s="0" t="inlineStr">
        <is>
          <t>NULL</t>
        </is>
      </c>
      <c r="I88" s="0" t="inlineStr">
        <is>
          <t>YES!PK__info_sdt__3213E83FDAC83582</t>
        </is>
      </c>
      <c r="J88" s="0" t="inlineStr">
        <is>
          <t>YES! 主键相关索引</t>
        </is>
      </c>
      <c r="K88" s="0" t="inlineStr">
        <is>
          <t xml:space="preserve"> NO!  	 id列源备映射错误，源端为int None位	期望更改为text	实际备端为int None位</t>
        </is>
      </c>
      <c r="AI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88" s="0" t="inlineStr">
        <is>
          <t>7行 12列，源：None 备：</t>
        </is>
      </c>
      <c r="AP88" s="0" t="inlineStr">
        <is>
          <t>43行 1列，源：9999-12-30 23:59:59.997000 备：2002-06-11 23:59:59.993</t>
        </is>
      </c>
      <c r="AS88" s="0" t="inlineStr">
        <is>
          <t>7行 8列，源：None 备：</t>
        </is>
      </c>
      <c r="AT88" s="0" t="inlineStr">
        <is>
          <t>43行 1列，源：2002-06-11 23:59:59.993000 备：2040-12-25 23:59:59.997</t>
        </is>
      </c>
      <c r="AZ88"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88" s="0" t="inlineStr">
        <is>
          <t>10行 4列，源：0001-01-01 00:00:00 备：1900-01-01 00:00:00.000</t>
        </is>
      </c>
      <c r="BG88" s="0" t="inlineStr">
        <is>
          <t>6行 5列，源：None 备：</t>
        </is>
      </c>
      <c r="BI88" s="0" t="inlineStr">
        <is>
          <t>9行 5列，源：9999-12-31 23:59:59.999900 备：2026-04-17 17:17:33.4133</t>
        </is>
      </c>
      <c r="BJ88" s="0" t="inlineStr">
        <is>
          <t>5行 14列，源：None 备：9999999999.99</t>
        </is>
      </c>
      <c r="BL88" s="0" t="inlineStr">
        <is>
          <t>13行 1列，源：Y 备：A</t>
        </is>
      </c>
      <c r="BO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88" s="0" t="inlineStr">
        <is>
          <t>9行 5列，源：2013-03-12 02:00:00.0000 -04:25 备：2063-05-11 10:30:45.1235 -04:00</t>
        </is>
      </c>
      <c r="BX88" s="0" t="inlineStr">
        <is>
          <t>9行 5列，源：2013-03-12 02:00:00.0000 -04:25 备：1999-05-16 01:30:45.1235 +10:15</t>
        </is>
      </c>
      <c r="BY88" s="0" t="inlineStr">
        <is>
          <t>9行 5列，源：2013-03-12 02:00:00.0000 -04:25 备：2063-05-11 10:30:45.1235 -04:00</t>
        </is>
      </c>
      <c r="CA88" s="0" t="inlineStr">
        <is>
          <t>21行 2列，源：b'h\x00\x85\xcb\x87\xdd\x92\xbb\x17\x9eD}\x9fS\xb74\x1c^d\x80' 备：680085CB87DD92BB179E447D9F53B7341C5E6480</t>
        </is>
      </c>
      <c r="CB88" s="0" t="inlineStr">
        <is>
          <t>13行 1列，源：1900-01-01 00:00:00 +00:00 备：2025-05-12 00:00:00 -14:00</t>
        </is>
      </c>
      <c r="CE88" s="0" t="inlineStr">
        <is>
          <t>11行 3列，源：2025-05-12 00:00:00.00 -14:00 备：2000-05-11 00:30:45.12 +09:00</t>
        </is>
      </c>
      <c r="CF88" s="0" t="inlineStr">
        <is>
          <t>12行 2列，源：00:00:01.100000 备：12:30:45.1</t>
        </is>
      </c>
      <c r="CM88" s="0" t="inlineStr">
        <is>
          <t>6行 17列，源：None 备：9999.9900</t>
        </is>
      </c>
      <c r="DA88" s="0" t="inlineStr">
        <is>
          <t>6行 5列，源：None 备：</t>
        </is>
      </c>
      <c r="DH88"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8" s="0" t="inlineStr">
        <is>
          <t>9行 5列，源：12:30:45.123500 备：23:59:59.9999</t>
        </is>
      </c>
      <c r="DL88" s="0" t="inlineStr">
        <is>
          <t>11行 3列，源：23:59:59.120000 备：</t>
        </is>
      </c>
      <c r="DN88" s="0" t="inlineStr">
        <is>
          <t>13行 1列，源：Y 备：A</t>
        </is>
      </c>
      <c r="DT88" s="0" t="inlineStr">
        <is>
          <t>9行 5列，源：12:30:45.123500 备：23:59:59.9999</t>
        </is>
      </c>
      <c r="DU88" s="0" t="inlineStr">
        <is>
          <t>21行 3列，源：b'                                                                                                                                                                                                        '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X88" s="0" t="inlineStr">
        <is>
          <t>6行 2列，源：32767.0 备：</t>
        </is>
      </c>
      <c r="EC88" s="0" t="inlineStr">
        <is>
          <t>10行 4列，源：12:30:45.123000 备：23:59:59.999</t>
        </is>
      </c>
      <c r="EG88" s="0" t="inlineStr">
        <is>
          <t>10行 7列，源：12:30:45.123457 备：09:12:34.123457</t>
        </is>
      </c>
      <c r="EH88" s="0" t="inlineStr">
        <is>
          <t>6行 2列，源：32767.0 备：</t>
        </is>
      </c>
      <c r="EO88" s="0" t="inlineStr">
        <is>
          <t>21行 2列，源：b'mC\xac\x05\xc6\x08)\xcb5\xa6]H\xc3U\xae\xa1\x03\x1a\xd7f\xe6\xf6\\I\xceM,\xbe\xe4\x9d\x10N:\xc8\xc8}Mj\xcez\xd6\x1d\xf1O\x0e\xc0*$\x14\xaa\xc5\x1d?\xf9\xad]q\x1eq\xda\x9b\xf7\xa5\xa1o\xac;\xcbT*\x12\xc8,\xc1\xe5\xfe\x1b\x8fN\x14v\xc6\xd9w\xda\xc6\xfaFx\xc8\xc3=k\xb6w\xae\xbde\xf6,' 备：48656C6C6F576F726C64</t>
        </is>
      </c>
      <c r="EP88" s="0" t="inlineStr">
        <is>
          <t>6行 2列，源：32767.0 备：</t>
        </is>
      </c>
      <c r="ER88" s="0" t="inlineStr">
        <is>
          <t>45行 1列，源：2068-05-11 14:31:00 备：1990-11-26 00:01:00</t>
        </is>
      </c>
      <c r="ES88" s="0" t="inlineStr">
        <is>
          <t>6行 2列，源：32767.0 备：</t>
        </is>
      </c>
      <c r="ET88" s="0" t="inlineStr">
        <is>
          <t>9行 5列，源：2013-03-12 02:00:00.0000 -04:25 备：2063-05-11 10:30:45.1235 -04:00</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c_sdt列源备映射错误，源端为smalldatetime None位	期望更改为text	实际备端为smalldatetime None位</t>
        </is>
      </c>
      <c r="AI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89" s="0" t="inlineStr">
        <is>
          <t>7行 13列，源：None 备：</t>
        </is>
      </c>
      <c r="AP89" s="0" t="inlineStr">
        <is>
          <t>44行 0列，源：71 备：367</t>
        </is>
      </c>
      <c r="AS89" s="0" t="inlineStr">
        <is>
          <t>7行 10列，源：None 备：</t>
        </is>
      </c>
      <c r="AT89" s="0" t="inlineStr">
        <is>
          <t>44行 0列，源：217 备：3</t>
        </is>
      </c>
      <c r="AZ89" s="0" t="inlineStr">
        <is>
          <t xml:space="preserve">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89" s="0" t="inlineStr">
        <is>
          <t>10行 5列，源：0001-01-01 00:00:00 备：1900-01-01 00:00:00.0000</t>
        </is>
      </c>
      <c r="BG89" s="0" t="inlineStr">
        <is>
          <t>6行 6列，源：None 备：</t>
        </is>
      </c>
      <c r="BI89" s="0" t="inlineStr">
        <is>
          <t>9行 6列，源：9999-12-31 23:59:59.999990 备：2026-04-17 17:17:33.41330</t>
        </is>
      </c>
      <c r="BJ89" s="0" t="inlineStr">
        <is>
          <t>5行 15列，源：123.456789 备：</t>
        </is>
      </c>
      <c r="BL89" s="0" t="inlineStr">
        <is>
          <t>13行 1列，源：Y 备：A</t>
        </is>
      </c>
      <c r="BO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89" s="0" t="inlineStr">
        <is>
          <t>22行 0列，源：75 备：6</t>
        </is>
      </c>
      <c r="BV89" s="0" t="inlineStr">
        <is>
          <t>9行 6列，源：2013-03-12 02:00:00.00000 -04:25 备：2063-05-11 10:30:45.12346 -04:00</t>
        </is>
      </c>
      <c r="BX89" s="0" t="inlineStr">
        <is>
          <t>9行 6列，源：2013-03-12 02:00:00.00000 -04:25 备：1999-05-16 01:30:45.12346 +10:15</t>
        </is>
      </c>
      <c r="BY89" s="0" t="inlineStr">
        <is>
          <t>9行 6列，源：2013-03-12 02:00:00.00000 -04:25 备：2063-05-11 10:30:45.12346 -04:00</t>
        </is>
      </c>
      <c r="CA89" s="0" t="inlineStr">
        <is>
          <t>21行 3列，源：b'J\xc6L)a\x92\xf7\x86.\xce\xc6\xeb\xcd\xcd\n\xfa\xc9t\xce\xc1D\r"v\x92\x04\x89\xc5\xe7&amp;^\xc9\xfe\xa7\xe1Rrb7{4\xa5\xeep\xdc\x1e\xf21\xc7\x92\x13\x1d\x7fbt\x10-\x80\xa6R|\x94\xd0\xb9\xd8v\x02\x11\x17\xacZ\xed\xc7\\]\xbc3V\xbd}DV;\xe6/\xe41\xcc\x9e\xd3a\x0f\xb6\\1\xdaE\x08\x14\x9f\x1c\x1e\xfc\xf1j\xf0\x9as\xe3\xa4\xbe\xf6\xbc\x1f\x15\xf0\x0f\xdb\'\xd0\'-\x0c\xc8\xee!\xae\xec\x9a\x92)\x90N*f^\xb8\x8fTPniT\xea\x16\x97\xb2\nv\x98\xf9]^\xdc\xcb!\x94\x10\xd1\xd3\xa4t\xe5r\xca0\x04\x1b\x0f\xeb\xacz\xbcl\xbaG\xcf\xd5#\xb1\x94\xb1#\x8d\xa8\xa0f\xfa\x0c\xab\x9df9\xd4\xaef\xe0\x12\xd0\xa6' 备：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t>
        </is>
      </c>
      <c r="CB89" s="0" t="inlineStr">
        <is>
          <t>13行 2列，源：1900-01-01 00:00:00.0 +00:00 备：2025-05-12 00:00:00.0 -14:00</t>
        </is>
      </c>
      <c r="CE89" s="0" t="inlineStr">
        <is>
          <t>11行 4列，源：2025-05-12 00:00:00.000 -14:00 备：2000-05-11 00:30:45.123 +09:00</t>
        </is>
      </c>
      <c r="CF89" s="0" t="inlineStr">
        <is>
          <t>12行 3列，源：None 备：12:30:45.12</t>
        </is>
      </c>
      <c r="CM89" s="0" t="inlineStr">
        <is>
          <t>6行 18列，源：None 备：1000.0000</t>
        </is>
      </c>
      <c r="DA89" s="0" t="inlineStr">
        <is>
          <t>6行 6列，源：None 备：</t>
        </is>
      </c>
      <c r="DH89" s="0" t="inlineStr">
        <is>
          <t>12行 3列，源：~!@#$%^&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89" s="0" t="inlineStr">
        <is>
          <t>9行 6列，源：12:30:45.123460 备：23:59:59.99999</t>
        </is>
      </c>
      <c r="DL89" s="0" t="inlineStr">
        <is>
          <t>11行 4列，源：23:59:59.123000 备：</t>
        </is>
      </c>
      <c r="DN89" s="0" t="inlineStr">
        <is>
          <t>13行 1列，源：Y 备：A</t>
        </is>
      </c>
      <c r="DT89" s="0" t="inlineStr">
        <is>
          <t>9行 6列，源：12:30:45.123460 备：23:59:59.99999</t>
        </is>
      </c>
      <c r="DU89" s="0" t="inlineStr">
        <is>
          <t>22行 0列，源：75 备：6</t>
        </is>
      </c>
      <c r="DX89" s="0" t="inlineStr">
        <is>
          <t>6行 3列，源：2147483647.0 备：</t>
        </is>
      </c>
      <c r="EC89" s="0" t="inlineStr">
        <is>
          <t>10行 5列，源：12:30:45.123500 备：23:59:59.9999</t>
        </is>
      </c>
      <c r="EG89" s="0" t="inlineStr">
        <is>
          <t>11行 0列，源：12 备：5</t>
        </is>
      </c>
      <c r="EH89" s="0" t="inlineStr">
        <is>
          <t>6行 3列，源：2147483647.0 备：</t>
        </is>
      </c>
      <c r="EO89" s="0" t="inlineStr">
        <is>
          <t>21行 3列，源：b'\xcd\xfe*\xa5\xc8\xd5\xbd\xcd\xd6d\xbd \x1b\x97\x08U\x87\xdf\x19P\xc2Q\xb9\xebZ\rS\xc4\x87\x91\xae"\x88)\x03\xc4gL\']U\x11[\x8f\xf5\xb6v\xb5"\xd6b\'\xb1\xc3\x0eF\xba6QWq\xa2\xd9X\x17acsN\x19Uu\x84u\x80&gt;)\xd6-n\x96%\xf5\xf5\xce\x9c{\x16\xd0k&lt;\x80\xbb*\xb6\x80\xd1\x06\xc5L\xa9\xb5\xae\xe8\xfd(\x1bM\xd8(o]d\x17\x19}\x8cZ\xc0H\x9ed\xae\n\x12\xd2\xab\xf6\x16\x02\x8a\xb33\x04\tM\xfa\x9f\x0fT\xe7\xaa\xfe\xa7V\x85\xd0BN\xec\xdaa^?\xee\xdf\xafL{ \xd0\x8bd\xff\x82\xa2\x04m\x17]\x1d\x80\x8d\n\xd8QY\xaf\xd4FR\xd6\xfd\x87\xe3\xd1R\xfd2{\x8d7\xec\xa6W\xd0\xf8\x91L\xff' 备：48656C6C6F576F726C645465737444617461</t>
        </is>
      </c>
      <c r="EP89" s="0" t="inlineStr">
        <is>
          <t>6行 3列，源：2147483647.0 备：</t>
        </is>
      </c>
      <c r="ER89" s="0" t="inlineStr">
        <is>
          <t>46行 0列，源：180 备：83</t>
        </is>
      </c>
      <c r="ES89" s="0" t="inlineStr">
        <is>
          <t>6行 3列，源：2147483647.0 备：</t>
        </is>
      </c>
      <c r="ET89" s="0" t="inlineStr">
        <is>
          <t>9行 6列，源：2013-03-12 02:00:00.00000 -04:25 备：2063-05-11 10:30:45.12346 -04:00</t>
        </is>
      </c>
    </row>
    <row r="90">
      <c r="A90" s="0" t="inlineStr">
        <is>
          <t>info_int_dml_batch1_pk_urp1</t>
        </is>
      </c>
      <c r="K90" s="0" t="inlineStr">
        <is>
          <t>[0;34m info_int_dml_batch1_pk_urp1 [0m源备字段数相同，源端字段：20 	备端字段20</t>
        </is>
      </c>
      <c r="W90" s="2">
        <f>HYPERLINK("#2026041905hbase4!AM2","NO 源备存在差异，共235个")</f>
        <v/>
      </c>
      <c r="X90" s="0">
        <f>A90</f>
        <v/>
      </c>
      <c r="AI90" s="0" t="inlineStr">
        <is>
          <t>13行 0列，源：14 备：7</t>
        </is>
      </c>
      <c r="AM90" s="0" t="inlineStr">
        <is>
          <t>7行 14列，源：None 备：</t>
        </is>
      </c>
      <c r="AP90" s="0" t="inlineStr">
        <is>
          <t>44行 1列，源：2023-05-11 00:00:00.123000 备：2003-11-04 23:59:59.990</t>
        </is>
      </c>
      <c r="AS90" s="0" t="inlineStr">
        <is>
          <t>7行 11列，源：None 备：</t>
        </is>
      </c>
      <c r="AT90" s="0" t="inlineStr">
        <is>
          <t>44行 1列，源：2003-11-04 23:59:59.990000 备：1753-01-01 00:00:00.000</t>
        </is>
      </c>
      <c r="AZ90" s="0" t="inlineStr">
        <is>
          <t>13行 0列，源：14 备：7</t>
        </is>
      </c>
      <c r="BE90" s="0" t="inlineStr">
        <is>
          <t>10行 6列，源：0001-01-01 00:00:00 备：1900-01-01 00:00:00.00000</t>
        </is>
      </c>
      <c r="BG90" s="0" t="inlineStr">
        <is>
          <t>6行 7列，源：None 备：</t>
        </is>
      </c>
      <c r="BI90" s="0" t="inlineStr">
        <is>
          <t>9行 7列，源：9999-12-31 23:59:59.999999 备：2026-04-17 17:17:33.413301</t>
        </is>
      </c>
      <c r="BJ90" s="0" t="inlineStr">
        <is>
          <t>5行 16列，源：nan 备：</t>
        </is>
      </c>
      <c r="BL90" s="0" t="inlineStr">
        <is>
          <t>13行 2列，源：€¶I€¶                备：THIS IS A TESTCASEYF</t>
        </is>
      </c>
      <c r="BO90" s="0" t="inlineStr">
        <is>
          <t>13行 0列，源：14 备：7</t>
        </is>
      </c>
      <c r="BP90" s="0" t="inlineStr">
        <is>
          <t>22行 1列，源：b'A' 备：70</t>
        </is>
      </c>
      <c r="BV90" s="0" t="inlineStr">
        <is>
          <t>9行 7列，源：2013-03-12 02:00:00.000000 -04:25 备：2063-05-11 10:30:45.123457 -04:00</t>
        </is>
      </c>
      <c r="BX90" s="0" t="inlineStr">
        <is>
          <t>9行 7列，源：2013-03-12 02:00:00.000000 -04:25 备：1999-05-16 01:30:45.123457 +10:15</t>
        </is>
      </c>
      <c r="BY90" s="0" t="inlineStr">
        <is>
          <t>9行 7列，源：2013-03-12 02:00:00.000000 -04:25 备：2063-05-11 10:30:45.123457 -04:00</t>
        </is>
      </c>
      <c r="CA90" s="0" t="inlineStr">
        <is>
          <t>22行 0列，源：107 备：60</t>
        </is>
      </c>
      <c r="CB90" s="0" t="inlineStr">
        <is>
          <t>13行 3列，源：1900-01-01 00:00:00.00 +00:00 备：2025-05-12 00:00:00.00 -14:00</t>
        </is>
      </c>
      <c r="CE90" s="0" t="inlineStr">
        <is>
          <t>11行 5列，源：2025-05-12 00:00:00.0000 -14:00 备：2000-05-11 00:30:45.1235 +09:00</t>
        </is>
      </c>
      <c r="CF90" s="0" t="inlineStr">
        <is>
          <t>12行 4列，源：00:00:01.123000 备：12:30:45.123</t>
        </is>
      </c>
      <c r="CM90" s="0" t="inlineStr">
        <is>
          <t>6行 19列，源：None 备：</t>
        </is>
      </c>
      <c r="DA90" s="0" t="inlineStr">
        <is>
          <t>6行 7列，源：None 备：</t>
        </is>
      </c>
      <c r="DH90" s="0" t="inlineStr">
        <is>
          <t>13行 0列，源：14 备：7</t>
        </is>
      </c>
      <c r="DJ90" s="0" t="inlineStr">
        <is>
          <t>9行 7列，源：12:30:45.123456 备：23:59:59.999999</t>
        </is>
      </c>
      <c r="DL90" s="0" t="inlineStr">
        <is>
          <t>11行 5列，源：23:59:59.123500 备：</t>
        </is>
      </c>
      <c r="DN90" s="0" t="inlineStr">
        <is>
          <t>13行 2列，源：€¶I€¶ 备：THIS IS A TESTCASEYF</t>
        </is>
      </c>
      <c r="DT90" s="0" t="inlineStr">
        <is>
          <t>9行 7列，源：12:30:45.123456 备：23:59:59.999999</t>
        </is>
      </c>
      <c r="DU90" s="0" t="inlineStr">
        <is>
          <t>22行 1列，源：b'A' 备：A1</t>
        </is>
      </c>
      <c r="DX90" s="0" t="inlineStr">
        <is>
          <t>6行 4列，源：9.223372036854776e+18 备：</t>
        </is>
      </c>
      <c r="EC90" s="0" t="inlineStr">
        <is>
          <t>10行 6列，源：12:30:45.123460 备：23:59:59.99999</t>
        </is>
      </c>
      <c r="EG90" s="0" t="inlineStr">
        <is>
          <t>11行 1列，源：23:59:59 备：12:30:45</t>
        </is>
      </c>
      <c r="EH90" s="0" t="inlineStr">
        <is>
          <t>6行 4列，源：9.223372036854776e+18 备：</t>
        </is>
      </c>
      <c r="EO90" s="0" t="inlineStr">
        <is>
          <t>22行 0列，源：107 备：8</t>
        </is>
      </c>
      <c r="EP90" s="0" t="inlineStr">
        <is>
          <t>6行 4列，源：9.223372036854776e+18 备：</t>
        </is>
      </c>
      <c r="ER90" s="0" t="inlineStr">
        <is>
          <t>46行 1列，源：2079-06-05 23:59:00 备：2025-05-11 12:00:00</t>
        </is>
      </c>
      <c r="ES90" s="0" t="inlineStr">
        <is>
          <t>6行 4列，源：9.223372036854776e+18 备：</t>
        </is>
      </c>
      <c r="ET90" s="0" t="inlineStr">
        <is>
          <t>9行 7列，源：2013-03-12 02:00:00.000000 -04:25 备：2063-05-11 10:30:45.123457 -04:00</t>
        </is>
      </c>
    </row>
    <row r="91">
      <c r="B91" s="0" t="inlineStr">
        <is>
          <t>YES</t>
        </is>
      </c>
      <c r="C91" s="0" t="inlineStr">
        <is>
          <t>NULL</t>
        </is>
      </c>
      <c r="D91" s="0" t="inlineStr">
        <is>
          <t>NULL</t>
        </is>
      </c>
      <c r="E91" s="0" t="inlineStr">
        <is>
          <t>NULL</t>
        </is>
      </c>
      <c r="F91" s="0" t="inlineStr">
        <is>
          <t>NULL</t>
        </is>
      </c>
      <c r="G91" s="0" t="inlineStr">
        <is>
          <t>NULL</t>
        </is>
      </c>
      <c r="H91" s="0" t="inlineStr">
        <is>
          <t>NULL</t>
        </is>
      </c>
      <c r="I91" s="0" t="inlineStr">
        <is>
          <t>YES!PK__info_int__3213E83FDA761113</t>
        </is>
      </c>
      <c r="J91" s="0" t="inlineStr">
        <is>
          <t>YES! 主键相关索引</t>
        </is>
      </c>
      <c r="K91" s="0" t="inlineStr">
        <is>
          <t xml:space="preserve"> NO!  	 id列源备映射错误，源端为int None位	期望更改为text	实际备端为int None位</t>
        </is>
      </c>
      <c r="AI91" s="0" t="inlineStr">
        <is>
          <t>13行 1列，源：Y 备：a</t>
        </is>
      </c>
      <c r="AM91" s="0" t="inlineStr">
        <is>
          <t>7行 15列，源：1.23456789012345e-30 备：0.0000000000000</t>
        </is>
      </c>
      <c r="AP91" s="0" t="inlineStr">
        <is>
          <t>45行 0列，源：72 备：368</t>
        </is>
      </c>
      <c r="AS91" s="0" t="inlineStr">
        <is>
          <t>7行 12列，源：None 备：</t>
        </is>
      </c>
      <c r="AT91" s="0" t="inlineStr">
        <is>
          <t>45行 0列，源：218 备：4</t>
        </is>
      </c>
      <c r="AZ91" s="0" t="inlineStr">
        <is>
          <t>13行 1列，源：Y 备：a</t>
        </is>
      </c>
      <c r="BE91" s="0" t="inlineStr">
        <is>
          <t>10行 7列，源：0001-01-01 00:00:00 备：1900-01-01 00:00:00.000000</t>
        </is>
      </c>
      <c r="BG91" s="0" t="inlineStr">
        <is>
          <t>6行 8列，源：None 备：</t>
        </is>
      </c>
      <c r="BI91" s="0" t="inlineStr">
        <is>
          <t>9行 8列，源：9999-12-31 23:59:59.999999 备：2026-04-17 17:17:33.4133005</t>
        </is>
      </c>
      <c r="BJ91" s="0" t="inlineStr">
        <is>
          <t>5行 17列，源：None 备：</t>
        </is>
      </c>
      <c r="BL91" s="0" t="inlineStr">
        <is>
          <t>13行 2列，源：€¶I€¶                备：THIS IS A TESTCASEYF</t>
        </is>
      </c>
      <c r="BO91" s="0" t="inlineStr">
        <is>
          <t>13行 1列，源：Y 备：a</t>
        </is>
      </c>
      <c r="BP91" s="0" t="inlineStr">
        <is>
          <t>22行 2列，源：b'Variable length bina' 备：327391B2CAEBBB33387BF93BC613762F886C2282</t>
        </is>
      </c>
      <c r="BV91" s="0" t="inlineStr">
        <is>
          <t>9行 8列，源：2013-03-12 02:00:00.0000000 -04:25 备：2063-05-11 10:30:45.1234567 -04:00</t>
        </is>
      </c>
      <c r="BX91" s="0" t="inlineStr">
        <is>
          <t>9行 8列，源：2013-03-12 02:00:00.0000000 -04:25 备：1999-05-16 01:30:45.1234567 +10:15</t>
        </is>
      </c>
      <c r="BY91" s="0" t="inlineStr">
        <is>
          <t>9行 8列，源：2013-03-12 02:00:00.0000000 -04:25 备：2063-05-11 10:30:45.1234567 -04:00</t>
        </is>
      </c>
      <c r="CA91" s="0" t="inlineStr">
        <is>
          <t>22行 1列，源：b'T' 备：2A</t>
        </is>
      </c>
      <c r="CB91" s="0" t="inlineStr">
        <is>
          <t>13行 4列，源：1900-01-01 00:00:00.000 +00:00 备：2025-05-12 00:00:00.000 -14:00</t>
        </is>
      </c>
      <c r="CE91" s="0" t="inlineStr">
        <is>
          <t>11行 6列，源：2025-05-12 00:00:00.00000 -14:00 备：2000-05-11 00:30:45.12346 +09:00</t>
        </is>
      </c>
      <c r="CF91" s="0" t="inlineStr">
        <is>
          <t>12行 5列，源：None 备：12:30:45.1234</t>
        </is>
      </c>
      <c r="CM91" s="0" t="inlineStr">
        <is>
          <t>7行 0列，源：8 备：16</t>
        </is>
      </c>
      <c r="DA91" s="0" t="inlineStr">
        <is>
          <t>6行 8列，源：None 备：</t>
        </is>
      </c>
      <c r="DH91" s="0" t="inlineStr">
        <is>
          <t>13行 1列，源：Y 备：a</t>
        </is>
      </c>
      <c r="DJ91" s="0" t="inlineStr">
        <is>
          <t>9行 8列，源：12:30:45.123456 备：23:59:59.9999999</t>
        </is>
      </c>
      <c r="DL91" s="0" t="inlineStr">
        <is>
          <t>11行 6列，源：23:59:59.123460 备：</t>
        </is>
      </c>
      <c r="DN91" s="0" t="inlineStr">
        <is>
          <t>13行 2列，源：€¶I€¶ 备：THIS IS A TESTCASEYF</t>
        </is>
      </c>
      <c r="DT91" s="0" t="inlineStr">
        <is>
          <t>9行 8列，源：12:30:45.123456 备：23:59:59.9999999</t>
        </is>
      </c>
      <c r="DU91" s="0" t="inlineStr">
        <is>
          <t>22行 2列，源：b'Variable length bina' 备：AD7ED41B1D00F92B45F25CF2229E24D477C63B5F7EF7CDF51E30E1613DE5498552FD76F5566B4B803FCBEB0B7FB9183DC9CBCAFAB6B920AE14DA302E3AEC4B6BE492E02B0FF485065D94B138BF11875CF2C74E23094E3A16D0558E47C5A60E4646AAD94B</t>
        </is>
      </c>
      <c r="DX91" s="0" t="inlineStr">
        <is>
          <t>6行 5列，源：None 备：0</t>
        </is>
      </c>
      <c r="EC91" s="0" t="inlineStr">
        <is>
          <t>10行 7列，源：12:30:45.123457 备：23:59:59.999999</t>
        </is>
      </c>
      <c r="EG91" s="0" t="inlineStr">
        <is>
          <t>11行 2列，源：23:59:59.100000 备：12:30:45.1</t>
        </is>
      </c>
      <c r="EH91" s="0" t="inlineStr">
        <is>
          <t>6行 5列，源：None 备：</t>
        </is>
      </c>
      <c r="EO91" s="0" t="inlineStr">
        <is>
          <t>22行 1列，源：b'T' 备：42</t>
        </is>
      </c>
      <c r="EP91" s="0" t="inlineStr">
        <is>
          <t>6行 5列，源：None 备：0</t>
        </is>
      </c>
      <c r="ER91" s="0" t="inlineStr">
        <is>
          <t>47行 0列，源：183 备：84</t>
        </is>
      </c>
      <c r="ES91" s="0" t="inlineStr">
        <is>
          <t>6行 5列，源：None 备：</t>
        </is>
      </c>
      <c r="ET91" s="0" t="inlineStr">
        <is>
          <t>9行 8列，源：2013-03-12 02:00:00.0000000 -04:25 备：2063-05-11 10:30:45.1234567 -04:00</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c_tinyint列源备映射错误，源端为tinyint None位	期望更改为text	实际备端为tinyint None位</t>
        </is>
      </c>
      <c r="AI92" s="0" t="inlineStr">
        <is>
          <t>13行 1列，源：Y 备：a</t>
        </is>
      </c>
      <c r="AM92" s="0" t="inlineStr">
        <is>
          <t>7行 16列，源：1.2345669834560371e-20 备：0.000000</t>
        </is>
      </c>
      <c r="AP92" s="0" t="inlineStr">
        <is>
          <t>45行 1列，源：2024-05-11 12:00:00.567000 备：2004-12-24 23:59:59.990</t>
        </is>
      </c>
      <c r="AS92" s="0" t="inlineStr">
        <is>
          <t>7行 13列，源：None 备：</t>
        </is>
      </c>
      <c r="AT92" s="0" t="inlineStr">
        <is>
          <t>45行 1列，源：2004-12-24 23:59:59.990000 备：9999-12-31 23:59:59.997</t>
        </is>
      </c>
      <c r="AZ92" s="0" t="inlineStr">
        <is>
          <t>13行 1列，源：Y 备：a</t>
        </is>
      </c>
      <c r="BE92" s="0" t="inlineStr">
        <is>
          <t>10行 8列，源：0001-01-01 00:00:00 备：1900-01-01 00:00:00.0000000</t>
        </is>
      </c>
      <c r="BG92" s="0" t="inlineStr">
        <is>
          <t>6行 9列，源：None 备：</t>
        </is>
      </c>
      <c r="BI92" s="0" t="inlineStr">
        <is>
          <t>10行 0列，源：56 备：4</t>
        </is>
      </c>
      <c r="BJ92" s="0" t="inlineStr">
        <is>
          <t>5行 18列，源：None 备：</t>
        </is>
      </c>
      <c r="BL92"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92" s="0" t="inlineStr">
        <is>
          <t>13行 1列，源：Y 备：a</t>
        </is>
      </c>
      <c r="BP92" s="0" t="inlineStr">
        <is>
          <t>22行 3列，源：b'TestTestTestTestTestTestTestTestTestTestTestTestTestTestTestTestTestTestTestTestTestTestTestTestTestTestTestTestTestTestTestTestTestTestTestTestTestTestTestTestTestTestTestTestTestTestTestTestTestTest'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V92" s="0" t="inlineStr">
        <is>
          <t>10行 0列，源：11 备：7</t>
        </is>
      </c>
      <c r="BX92" s="0" t="inlineStr">
        <is>
          <t>10行 0列，源：11 备：13</t>
        </is>
      </c>
      <c r="BY92" s="0" t="inlineStr">
        <is>
          <t>10行 0列，源：11 备：7</t>
        </is>
      </c>
      <c r="CA92" s="0" t="inlineStr">
        <is>
          <t>22行 2列，源：b'HelloWorld\x00\x00\x00\x00\x00\x00\x00\x00\x00\x00' 备：3132333435363738393031323334353637383930</t>
        </is>
      </c>
      <c r="CB92" s="0" t="inlineStr">
        <is>
          <t>13行 5列，源：1900-01-01 00:00:00.0000 +00:00 备：2025-05-12 00:00:00.0000 -14:00</t>
        </is>
      </c>
      <c r="CE92" s="0" t="inlineStr">
        <is>
          <t>11行 7列，源：2025-05-12 00:00:00.000000 -14:00 备：2000-05-11 00:30:45.123457 +09:00</t>
        </is>
      </c>
      <c r="CF92" s="0" t="inlineStr">
        <is>
          <t>12行 6列，源：00:00:01.123460 备：12:30:45.12340</t>
        </is>
      </c>
      <c r="CM92" s="0" t="inlineStr">
        <is>
          <t>7行 1列，源：nan 备：</t>
        </is>
      </c>
      <c r="DA92" s="0" t="inlineStr">
        <is>
          <t>6行 10列，源：None 备：</t>
        </is>
      </c>
      <c r="DH92" s="0" t="inlineStr">
        <is>
          <t>13行 1列，源：Y 备：a</t>
        </is>
      </c>
      <c r="DJ92" s="0" t="inlineStr">
        <is>
          <t>10行 0列，源：11 备：4</t>
        </is>
      </c>
      <c r="DL92" s="0" t="inlineStr">
        <is>
          <t>11行 7列，源：23:59:59.123457 备：</t>
        </is>
      </c>
      <c r="DN92"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92" s="0" t="inlineStr">
        <is>
          <t>10行 0列，源：11 备：4</t>
        </is>
      </c>
      <c r="DU92" s="0" t="inlineStr">
        <is>
          <t>22行 3列，源：b'TestTestTestTestTestTestTestTestTestTestTestTestTestTestTestTestTestTestTestTestTestTestTestTestTestTestTestTestTestTestTestTestTestTestTestTestTestTestTestTestTestTestTestTestTestTestTestTestTestTest'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X92" s="0" t="inlineStr">
        <is>
          <t>6行 6列，源：None 备：1</t>
        </is>
      </c>
      <c r="EC92" s="0" t="inlineStr">
        <is>
          <t>10行 8列，源：12:30:45.123456 备：23:59:59.9999999</t>
        </is>
      </c>
      <c r="EG92" s="0" t="inlineStr">
        <is>
          <t>11行 3列，源：23:59:59.120000 备：12:30:45.10</t>
        </is>
      </c>
      <c r="EH92" s="0" t="inlineStr">
        <is>
          <t>6行 6列，源：None 备：</t>
        </is>
      </c>
      <c r="EO92" s="0" t="inlineStr">
        <is>
          <t>22行 2列，源：b'HelloWorld' 备：C9CFBAA3D3A2B7BDC8EDBCFEB9C9B7DDB9ABCBBE</t>
        </is>
      </c>
      <c r="EP92" s="0" t="inlineStr">
        <is>
          <t>6行 6列，源：None 备：1</t>
        </is>
      </c>
      <c r="ER92" s="0" t="inlineStr">
        <is>
          <t>47行 1列，源：2025-05-11 12:00:00 备：2023-12-25 23:59:00</t>
        </is>
      </c>
      <c r="ES92" s="0" t="inlineStr">
        <is>
          <t>6行 6列，源：None 备：</t>
        </is>
      </c>
      <c r="ET92" s="0" t="inlineStr">
        <is>
          <t>10行 0列，源：11 备：7</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c_smallint列源备映射错误，源端为smallint None位	期望更改为text	实际备端为smallint None位</t>
        </is>
      </c>
      <c r="AI93" s="0" t="inlineStr">
        <is>
          <t>13行 2列，源：测Test\n%_8试&amp;12YG@2   备：this is a testcaseyf</t>
        </is>
      </c>
      <c r="AM93" s="0" t="inlineStr">
        <is>
          <t>7行 18列，源：None 备：1234.5678</t>
        </is>
      </c>
      <c r="AP93" s="0" t="inlineStr">
        <is>
          <t>46行 0列，源：73 备：371</t>
        </is>
      </c>
      <c r="AS93" s="0" t="inlineStr">
        <is>
          <t>7行 14列，源：None 备：</t>
        </is>
      </c>
      <c r="AT93" s="0" t="inlineStr">
        <is>
          <t>46行 0列，源：220 备：5</t>
        </is>
      </c>
      <c r="AZ93" s="0" t="inlineStr">
        <is>
          <t>13行 2列，源：测Test\n%_8试&amp;12YG@2   备：this is a testcaseyf</t>
        </is>
      </c>
      <c r="BE93" s="0" t="inlineStr">
        <is>
          <t>11行 0列，源：25 备：223</t>
        </is>
      </c>
      <c r="BG93" s="0" t="inlineStr">
        <is>
          <t>6行 10列，源：None 备：</t>
        </is>
      </c>
      <c r="BI93" s="0" t="inlineStr">
        <is>
          <t>10行 1列，源：1945-05-11 14:30:45 备：0001-01-01 00:00:00</t>
        </is>
      </c>
      <c r="BJ93" s="0" t="inlineStr">
        <is>
          <t>5行 19列，源：True 备：</t>
        </is>
      </c>
      <c r="BL93" s="0" t="inlineStr">
        <is>
          <t xml:space="preserve">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O93" s="0" t="inlineStr">
        <is>
          <t>13行 2列，源：测Test\n%_8试&amp;12YG@2 备：this is a testcaseyf</t>
        </is>
      </c>
      <c r="BP93" s="0" t="inlineStr">
        <is>
          <t>23行 0列，源：76 备：7</t>
        </is>
      </c>
      <c r="BV93" s="0" t="inlineStr">
        <is>
          <t>10行 1列，源：2003-11-05 02:00:00 -05:10 备：1933-05-11 15:30:45 +01:00</t>
        </is>
      </c>
      <c r="BX93" s="0" t="inlineStr">
        <is>
          <t>10行 1列，源：2003-11-05 02:00:00 -05:10 备：1971-05-11 00:00:00 +14:00</t>
        </is>
      </c>
      <c r="BY93" s="0" t="inlineStr">
        <is>
          <t>10行 1列，源：2003-11-05 02:00:00 -05:10 备：1933-05-11 15:30:45 +01:00</t>
        </is>
      </c>
      <c r="CA93" s="0" t="inlineStr">
        <is>
          <t>22行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CB93" s="0" t="inlineStr">
        <is>
          <t>13行 6列，源：1900-01-01 00:00:00.00000 +00:00 备：2025-05-12 00:00:00.00000 -14:00</t>
        </is>
      </c>
      <c r="CE93" s="0" t="inlineStr">
        <is>
          <t>11行 8列，源：2025-05-11 23:59:59.9999999 -14:00 备：2000-05-11 00:30:45.1234567 +09:00</t>
        </is>
      </c>
      <c r="CF93" s="0" t="inlineStr">
        <is>
          <t>12行 7列，源：None 备：12:30:45.123400</t>
        </is>
      </c>
      <c r="CM93" s="0" t="inlineStr">
        <is>
          <t>7行 2列，源：nan 备：</t>
        </is>
      </c>
      <c r="DA93" s="0" t="inlineStr">
        <is>
          <t>6行 11列，源：None 备：</t>
        </is>
      </c>
      <c r="DH93" s="0" t="inlineStr">
        <is>
          <t>13行 2列，源：测Test\n%_8试&amp;12YG@2 备：this is a testcaseyf</t>
        </is>
      </c>
      <c r="DJ93" s="0" t="inlineStr">
        <is>
          <t>11行 0列，源：12 备：5</t>
        </is>
      </c>
      <c r="DL93" s="0" t="inlineStr">
        <is>
          <t>11行 8列，源：23:59:59.123456 备：</t>
        </is>
      </c>
      <c r="DN93" s="0" t="inlineStr">
        <is>
          <t>13行 3列，源：€¶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T93" s="0" t="inlineStr">
        <is>
          <t>11行 0列，源：12 备：5</t>
        </is>
      </c>
      <c r="DU93" s="0" t="inlineStr">
        <is>
          <t>23行 0列，源：76 备：7</t>
        </is>
      </c>
      <c r="DX93" s="0" t="inlineStr">
        <is>
          <t>6行 7列，源：None 备：0.00000000000000000000000000100000000000</t>
        </is>
      </c>
      <c r="EC93" s="0" t="inlineStr">
        <is>
          <t>11行 0列，源：12 备：4</t>
        </is>
      </c>
      <c r="EG93" s="0" t="inlineStr">
        <is>
          <t>11行 4列，源：23:59:59.123000 备：12:30:45.100</t>
        </is>
      </c>
      <c r="EH93" s="0" t="inlineStr">
        <is>
          <t>6行 7列，源：None 备：</t>
        </is>
      </c>
      <c r="EO93" s="0" t="inlineStr">
        <is>
          <t>22行 3列，源：b'HelloWorldTestData'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EP93" s="0" t="inlineStr">
        <is>
          <t>6行 7列，源：None 备：0.00000000000000000000000000100000000000</t>
        </is>
      </c>
      <c r="ER93" s="0" t="inlineStr">
        <is>
          <t>48行 0列，源：184 备：9</t>
        </is>
      </c>
      <c r="ES93" s="0" t="inlineStr">
        <is>
          <t>6行 7列，源：None 备：</t>
        </is>
      </c>
      <c r="ET93" s="0" t="inlineStr">
        <is>
          <t>10行 1列，源：2003-11-05 02:00:00 -05:10 备：1933-05-11 15:30:45 +01:00</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c_int列源备映射错误，源端为int None位	期望更改为text	实际备端为int None位</t>
        </is>
      </c>
      <c r="AI94" s="0" t="inlineStr">
        <is>
          <t>13行 2列，源：测Test\n%_8试&amp;12YG@2   备：this is a testcaseyf</t>
        </is>
      </c>
      <c r="AM94" s="0" t="inlineStr">
        <is>
          <t>7行 19列，源：False 备：0</t>
        </is>
      </c>
      <c r="AP94" s="0" t="inlineStr">
        <is>
          <t>46行 1列，源：2025-01-01 00:00:00.233000 备：2023-05-11 00:00:00.123</t>
        </is>
      </c>
      <c r="AS94" s="0" t="inlineStr">
        <is>
          <t>7行 15列，源：123.456789 备：0.0000000000000</t>
        </is>
      </c>
      <c r="AT94" s="0" t="inlineStr">
        <is>
          <t>46行 1列，源：9999-12-30 23:59:59.997000 备：2026-04-17 17:16:32.183</t>
        </is>
      </c>
      <c r="AZ94" s="0" t="inlineStr">
        <is>
          <t>13行 2列，源：测Test\n%_8试&amp;12YG@2   备：this is a testcaseyf</t>
        </is>
      </c>
      <c r="BE94" s="0" t="inlineStr">
        <is>
          <t>11行 1列，源：9999-12-31 23:59:59 备：2026-04-17 17:17:25</t>
        </is>
      </c>
      <c r="BG94" s="0" t="inlineStr">
        <is>
          <t>6行 11列，源：None 备：</t>
        </is>
      </c>
      <c r="BI94" s="0" t="inlineStr">
        <is>
          <t>10行 2列，源：1945-05-11 14:30:45.100000 备：0001-01-01 00:00:00.0</t>
        </is>
      </c>
      <c r="BJ94" s="0" t="inlineStr">
        <is>
          <t>6行 0列，源：8 备：15</t>
        </is>
      </c>
      <c r="BL94" s="0" t="inlineStr">
        <is>
          <t>14行 0列，源：27 备：4</t>
        </is>
      </c>
      <c r="BO94" s="0" t="inlineStr">
        <is>
          <t>13行 2列，源：测Test\n%_8试&amp;12YG@2 备：this is a testcaseyf</t>
        </is>
      </c>
      <c r="BP94" s="0" t="inlineStr">
        <is>
          <t>23行 1列，源：b'p' 备：54</t>
        </is>
      </c>
      <c r="BV94" s="0" t="inlineStr">
        <is>
          <t>10行 2列，源：2003-11-05 02:00:00.0 -05:10 备：1933-05-11 15:30:45.1 +01:00</t>
        </is>
      </c>
      <c r="BX94" s="0" t="inlineStr">
        <is>
          <t>10行 2列，源：2003-11-05 02:00:00.0 -05:10 备：1971-05-11 00:00:00.0 +14:00</t>
        </is>
      </c>
      <c r="BY94" s="0" t="inlineStr">
        <is>
          <t>10行 2列，源：2003-11-05 02:00:00.0 -05:10 备：1933-05-11 15:30:45.1 +01:00</t>
        </is>
      </c>
      <c r="CA94" s="0" t="inlineStr">
        <is>
          <t>23行 0列，源：108 备：7</t>
        </is>
      </c>
      <c r="CB94" s="0" t="inlineStr">
        <is>
          <t>13行 7列，源：1900-01-01 00:00:00.000000 +00:00 备：2025-05-12 00:00:00.000000 -14:00</t>
        </is>
      </c>
      <c r="CE94" s="0" t="inlineStr">
        <is>
          <t>12行 0列，源：13 备：9</t>
        </is>
      </c>
      <c r="CF94" s="0" t="inlineStr">
        <is>
          <t>12行 8列，源：00:00:01.123456 备：12:30:45.1234000</t>
        </is>
      </c>
      <c r="CM94" s="0" t="inlineStr">
        <is>
          <t>7行 3列，源：nan 备：</t>
        </is>
      </c>
      <c r="DA94" s="0" t="inlineStr">
        <is>
          <t>6行 12列，源：None 备：</t>
        </is>
      </c>
      <c r="DH94" s="0" t="inlineStr">
        <is>
          <t>13行 2列，源：测Test\n%_8试&amp;12YG@2 备：this is a testcaseyf</t>
        </is>
      </c>
      <c r="DJ94" s="0" t="inlineStr">
        <is>
          <t>11行 1列，源：23:59:59 备：12:30:45</t>
        </is>
      </c>
      <c r="DL94" s="0" t="inlineStr">
        <is>
          <t>12行 0列，源：13 备：22</t>
        </is>
      </c>
      <c r="DN94" s="0" t="inlineStr">
        <is>
          <t>14行 0列，源：27 备：4</t>
        </is>
      </c>
      <c r="DT94" s="0" t="inlineStr">
        <is>
          <t>11行 1列，源：23:59:59 备：12:30:45</t>
        </is>
      </c>
      <c r="DU94" s="0" t="inlineStr">
        <is>
          <t>23行 1列，源：b'\xa1' 备：54</t>
        </is>
      </c>
      <c r="DX94" s="0" t="inlineStr">
        <is>
          <t>6行 8列，源：None 备：0.0000000010</t>
        </is>
      </c>
      <c r="EC94" s="0" t="inlineStr">
        <is>
          <t>11行 1列，源：23:59:59 备：12:30:45</t>
        </is>
      </c>
      <c r="EG94" s="0" t="inlineStr">
        <is>
          <t>11行 5列，源：23:59:59.123500 备：12:30:45.1000</t>
        </is>
      </c>
      <c r="EH94" s="0" t="inlineStr">
        <is>
          <t>6行 8列，源：None 备：</t>
        </is>
      </c>
      <c r="EO94" s="0" t="inlineStr">
        <is>
          <t>23行 0列，源：108 备：9</t>
        </is>
      </c>
      <c r="EP94" s="0" t="inlineStr">
        <is>
          <t>6行 8列，源：None 备：0.0000000010</t>
        </is>
      </c>
      <c r="ER94" s="0" t="inlineStr">
        <is>
          <t>48行 1列，源：2023-12-25 23:59:00 备：1981-05-11 14:31:00</t>
        </is>
      </c>
      <c r="ES94" s="0" t="inlineStr">
        <is>
          <t>6行 8列，源：None 备：</t>
        </is>
      </c>
      <c r="ET94" s="0" t="inlineStr">
        <is>
          <t>10行 2列，源：2003-11-05 02:00:00.0 -05:10 备：1933-05-11 15:30:45.1 +01:00</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c_bigint列源备映射错误，源端为bigint None位	期望更改为text	实际备端为bigint None位</t>
        </is>
      </c>
      <c r="AI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95" s="0" t="inlineStr">
        <is>
          <t>8行 0列，源：9 备：17</t>
        </is>
      </c>
      <c r="AP95" s="0" t="inlineStr">
        <is>
          <t>47行 0列，源：74 备：372</t>
        </is>
      </c>
      <c r="AS95" s="0" t="inlineStr">
        <is>
          <t>7行 16列，源：1.2345669834560371e-20 备：0.000000</t>
        </is>
      </c>
      <c r="AT95" s="0" t="inlineStr">
        <is>
          <t>47行 0列，源：221 备：6</t>
        </is>
      </c>
      <c r="AZ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95" s="0" t="inlineStr">
        <is>
          <t>11行 2列，源：9999-12-31 23:59:59.900000 备：2026-04-17 17:17:24.6</t>
        </is>
      </c>
      <c r="BG95" s="0" t="inlineStr">
        <is>
          <t>6行 12列，源：None 备：</t>
        </is>
      </c>
      <c r="BI95" s="0" t="inlineStr">
        <is>
          <t>10行 3列，源：1945-05-11 14:30:45.120000 备：0001-01-01 00:00:00.00</t>
        </is>
      </c>
      <c r="BJ95" s="0" t="inlineStr">
        <is>
          <t>6行 1列，源：0.0 备：</t>
        </is>
      </c>
      <c r="BL95" s="0" t="inlineStr">
        <is>
          <t>14行 1列，源：测 备：6</t>
        </is>
      </c>
      <c r="BO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95" s="0" t="inlineStr">
        <is>
          <t>23行 2列，源：b'2s\x91\xb2\xca\xeb\xbb38{\xf9;\xc6\x13v/\x88l"\x82' 备：48656C6C6F576F726C6400000000000000000000</t>
        </is>
      </c>
      <c r="BV95" s="0" t="inlineStr">
        <is>
          <t>10行 3列，源：2003-11-05 02:00:00.00 -05:10 备：1933-05-11 15:30:45.12 +01:00</t>
        </is>
      </c>
      <c r="BX95" s="0" t="inlineStr">
        <is>
          <t>10行 3列，源：2003-11-05 02:00:00.00 -05:10 备：1971-05-11 00:00:00.00 +14:00</t>
        </is>
      </c>
      <c r="BY95" s="0" t="inlineStr">
        <is>
          <t>10行 3列，源：2003-11-05 02:00:00.00 -05:10 备：1933-05-11 15:30:45.12 +01:00</t>
        </is>
      </c>
      <c r="CA95" s="0" t="inlineStr">
        <is>
          <t>23行 1列，源：b'B' 备：54</t>
        </is>
      </c>
      <c r="CB95" s="0" t="inlineStr">
        <is>
          <t>13行 8列，源：1900-01-01 00:00:00.0000000 +00:00 备：2025-05-11 23:59:59.9999999 -14:00</t>
        </is>
      </c>
      <c r="CE95" s="0" t="inlineStr">
        <is>
          <t>12行 1列，源：2025-05-12 00:00:00 -14:00 备：2063-03-12 02:00:00 -04:25</t>
        </is>
      </c>
      <c r="CF95" s="0" t="inlineStr">
        <is>
          <t>13行 0列，源：14 备：9</t>
        </is>
      </c>
      <c r="CM95" s="0" t="inlineStr">
        <is>
          <t>7行 4列，源：nan 备：</t>
        </is>
      </c>
      <c r="DA95" s="0" t="inlineStr">
        <is>
          <t>6行 13列，源：None 备：</t>
        </is>
      </c>
      <c r="DH95"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95" s="0" t="inlineStr">
        <is>
          <t>11行 2列，源：23:59:59.100000 备：12:30:45.1</t>
        </is>
      </c>
      <c r="DL95" s="0" t="inlineStr">
        <is>
          <t>12行 1列，源：None 备：00:00:00</t>
        </is>
      </c>
      <c r="DN95" s="0" t="inlineStr">
        <is>
          <t>14行 1列，源：测 备：6</t>
        </is>
      </c>
      <c r="DT95" s="0" t="inlineStr">
        <is>
          <t>11行 2列，源：23:59:59.100000 备：12:30:45.1</t>
        </is>
      </c>
      <c r="DU95" s="0" t="inlineStr">
        <is>
          <t>23行 2列，源：b'\xad~\xd4\x1b\x1d\x00\xf9+E\xf2\\\xf2"\x9e$\xd4w\xc6;_~\xf7\xcd\xf5\x1e0\xe1a=\xe5I\x85R\xfdv\xf5VkK\x80?\xcb\xeb\x0b\x7f\xb9\x18=\xc9\xcb\xca\xfa\xb6\xb9 \xae\x14\xda0.:\xecKk\xe4\x92\xe0+\x0f\xf4\x85\x06]\x94\xb18\xbf\x11\x87\\\xf2\xc7N#\tN:\x16\xd0U\x8eG\xc5\xa6\x0eFF\xaa\xd9K' 备：48656C6C6F576F726C64</t>
        </is>
      </c>
      <c r="DX95" s="0" t="inlineStr">
        <is>
          <t>6行 9列，源：None 备：0.0001</t>
        </is>
      </c>
      <c r="EC95" s="0" t="inlineStr">
        <is>
          <t>11行 2列，源：23:59:59.100000 备：12:30:45.0</t>
        </is>
      </c>
      <c r="EG95" s="0" t="inlineStr">
        <is>
          <t>11行 6列，源：23:59:59.123460 备：12:30:45.10000</t>
        </is>
      </c>
      <c r="EH95" s="0" t="inlineStr">
        <is>
          <t>6行 9列，源：None 备：</t>
        </is>
      </c>
      <c r="EO95" s="0" t="inlineStr">
        <is>
          <t>23行 1列，源：b'B' 备：2A</t>
        </is>
      </c>
      <c r="EP95" s="0" t="inlineStr">
        <is>
          <t>6行 9列，源：None 备：0.0001</t>
        </is>
      </c>
      <c r="ES95" s="0" t="inlineStr">
        <is>
          <t>6行 9列，源：None 备：</t>
        </is>
      </c>
      <c r="ET95" s="0" t="inlineStr">
        <is>
          <t>10行 3列，源：2003-11-05 02:00:00.00 -05:10 备：1933-05-11 15:30:45.12 +01:00</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c_decimal列源备映射错误，源端为decimal None位	期望更改为text	实际备端为decimal None位</t>
        </is>
      </c>
      <c r="AI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AM96" s="0" t="inlineStr">
        <is>
          <t>8行 2列，源：12345.0 备：</t>
        </is>
      </c>
      <c r="AP96" s="0" t="inlineStr">
        <is>
          <t>47行 1列，源：2040-12-25 23:59:59.997000 备：2024-05-11 12:00:00.567</t>
        </is>
      </c>
      <c r="AS96" s="0" t="inlineStr">
        <is>
          <t>7行 18列，源：None 备：1234.5678</t>
        </is>
      </c>
      <c r="AT96" s="0" t="inlineStr">
        <is>
          <t>47行 1列，源：2023-05-11 00:00:00.123000 备：2020-02-29 19:27:31.123</t>
        </is>
      </c>
      <c r="AZ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E96" s="0" t="inlineStr">
        <is>
          <t>11行 3列，源：9999-12-31 23:59:59.990000 备：2026-04-17 17:17:24.63</t>
        </is>
      </c>
      <c r="BG96" s="0" t="inlineStr">
        <is>
          <t>6行 13列，源：None 备：</t>
        </is>
      </c>
      <c r="BI96" s="0" t="inlineStr">
        <is>
          <t>10行 4列，源：1945-05-11 14:30:45.123000 备：0001-01-01 00:00:00.000</t>
        </is>
      </c>
      <c r="BJ96" s="0" t="inlineStr">
        <is>
          <t>6行 2列，源：0.0 备：</t>
        </is>
      </c>
      <c r="BL96" s="0" t="inlineStr">
        <is>
          <t>14行 1列，源：测 备：6</t>
        </is>
      </c>
      <c r="BO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96" s="0" t="inlineStr">
        <is>
          <t>23行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96" s="0" t="inlineStr">
        <is>
          <t>10行 4列，源：2003-11-05 02:00:00.000 -05:10 备：1933-05-11 15:30:45.123 +01:00</t>
        </is>
      </c>
      <c r="BX96" s="0" t="inlineStr">
        <is>
          <t>10行 4列，源：2003-11-05 02:00:00.000 -05:10 备：1971-05-11 00:00:00.000 +14:00</t>
        </is>
      </c>
      <c r="BY96" s="0" t="inlineStr">
        <is>
          <t>10行 4列，源：2003-11-05 02:00:00.000 -05:10 备：1933-05-11 15:30:45.123 +01:00</t>
        </is>
      </c>
      <c r="CA96" s="0" t="inlineStr">
        <is>
          <t>23行 2列，源：b'\xc9\xcf\xba\xa3\xd3\xa2\xb7\xbd\xc8\xed\xbc\xfe\xb9\xc9\xb7\xdd\xb9\xab\xcb\xbe' 备：48656C6C6F576F726C6400000000000000000000</t>
        </is>
      </c>
      <c r="CB96" s="0" t="inlineStr">
        <is>
          <t>14行 0列，源：53 备：13</t>
        </is>
      </c>
      <c r="CE96" s="0" t="inlineStr">
        <is>
          <t>12行 2列，源：2025-05-12 00:00:00.0 -14:00 备：2063-03-12 02:00:00.0 -04:25</t>
        </is>
      </c>
      <c r="CF96" s="0" t="inlineStr">
        <is>
          <t>13行 1列，源：12:00:00 备：12:30:45</t>
        </is>
      </c>
      <c r="CM96" s="0" t="inlineStr">
        <is>
          <t>7行 5列，源：None 备：</t>
        </is>
      </c>
      <c r="DA96" s="0" t="inlineStr">
        <is>
          <t>6行 14列，源：None 备：</t>
        </is>
      </c>
      <c r="DH96" s="0" t="inlineStr">
        <is>
          <t>13行 3列，源：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96" s="0" t="inlineStr">
        <is>
          <t>11行 3列，源：23:59:59.120000 备：12:30:45.10</t>
        </is>
      </c>
      <c r="DL96" s="0" t="inlineStr">
        <is>
          <t>12行 3列，源：None 备：00:00:00.00</t>
        </is>
      </c>
      <c r="DN96" s="0" t="inlineStr">
        <is>
          <t>14行 1列，源：测 备：6</t>
        </is>
      </c>
      <c r="DT96" s="0" t="inlineStr">
        <is>
          <t>11行 3列，源：23:59:59.120000 备：12:30:45.10</t>
        </is>
      </c>
      <c r="DU96" s="0" t="inlineStr">
        <is>
          <t>23行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备：48656C6C6F576F726C645465737444617461</t>
        </is>
      </c>
      <c r="DX96" s="0" t="inlineStr">
        <is>
          <t>6行 10列，源：None 备：0</t>
        </is>
      </c>
      <c r="EC96" s="0" t="inlineStr">
        <is>
          <t>11行 3列，源：23:59:59.120000 备：12:30:45.00</t>
        </is>
      </c>
      <c r="EG96" s="0" t="inlineStr">
        <is>
          <t>11行 7列，源：23:59:59.123457 备：12:30:45.100000</t>
        </is>
      </c>
      <c r="EH96" s="0" t="inlineStr">
        <is>
          <t>6行 10列，源：None 备：</t>
        </is>
      </c>
      <c r="EO96" s="0" t="inlineStr">
        <is>
          <t>23行 2列，源：b'\xc9\xcf\xba\xa3\xd3\xa2\xb7\xbd\xc8\xed\xbc\xfe\xb9\xc9\xb7\xdd\xb9\xab\xcb\xbe' 备：7E21402324255E262A5D</t>
        </is>
      </c>
      <c r="EP96" s="0" t="inlineStr">
        <is>
          <t>6行 10列，源：None 备：0</t>
        </is>
      </c>
      <c r="ES96" s="0" t="inlineStr">
        <is>
          <t>6行 10列，源：None 备：</t>
        </is>
      </c>
      <c r="ET96" s="0" t="inlineStr">
        <is>
          <t>10行 4列，源：2003-11-05 02:00:00.000 -05:10 备：1933-05-11 15:30:45.123 +01:00</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c_decimal38列源备映射错误，源端为decimal None位	期望更改为text	实际备端为decimal None位</t>
        </is>
      </c>
      <c r="AI97" s="0" t="inlineStr">
        <is>
          <t>14行 0列，源：15 备：8</t>
        </is>
      </c>
      <c r="AM97" s="0" t="inlineStr">
        <is>
          <t>8行 5列，源：None 备：</t>
        </is>
      </c>
      <c r="AP97" s="0" t="inlineStr">
        <is>
          <t>48行 0列，源：121 备：373</t>
        </is>
      </c>
      <c r="AS97" s="0" t="inlineStr">
        <is>
          <t>7行 19列，源：True 备：0</t>
        </is>
      </c>
      <c r="AT97" s="0" t="inlineStr">
        <is>
          <t>48行 0列，源：222 备：7</t>
        </is>
      </c>
      <c r="AZ97" s="0" t="inlineStr">
        <is>
          <t>14行 0列，源：15 备：8</t>
        </is>
      </c>
      <c r="BE97" s="0" t="inlineStr">
        <is>
          <t>11行 4列，源：9999-12-31 23:59:59.999000 备：2026-04-17 17:17:24.631</t>
        </is>
      </c>
      <c r="BG97" s="0" t="inlineStr">
        <is>
          <t>6行 14列，源：None 备：</t>
        </is>
      </c>
      <c r="BI97" s="0" t="inlineStr">
        <is>
          <t>10行 5列，源：1945-05-11 14:30:45.123500 备：0001-01-01 00:00:00.0000</t>
        </is>
      </c>
      <c r="BJ97" s="0" t="inlineStr">
        <is>
          <t>6行 3列，源：0.0 备：</t>
        </is>
      </c>
      <c r="BL97" s="0" t="inlineStr">
        <is>
          <t>14行 2列，源：这是一个长字符串             备：12345678901234567890</t>
        </is>
      </c>
      <c r="BO97" s="0" t="inlineStr">
        <is>
          <t>14行 0列，源：15 备：8</t>
        </is>
      </c>
      <c r="BP97" s="0" t="inlineStr">
        <is>
          <t>24行 0列，源：77 备：73</t>
        </is>
      </c>
      <c r="BV97" s="0" t="inlineStr">
        <is>
          <t>10行 5列，源：2003-11-05 02:00:00.0000 -05:10 备：1933-05-11 15:30:45.1235 +01:00</t>
        </is>
      </c>
      <c r="BX97" s="0" t="inlineStr">
        <is>
          <t>10行 5列，源：2003-11-05 02:00:00.0000 -05:10 备：1971-05-11 00:00:00.0000 +14:00</t>
        </is>
      </c>
      <c r="BY97" s="0" t="inlineStr">
        <is>
          <t>10行 5列，源：2003-11-05 02:00:00.0000 -05:10 备：1933-05-11 15:30:45.1235 +01:00</t>
        </is>
      </c>
      <c r="CA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CB97" s="0" t="inlineStr">
        <is>
          <t>14行 1列，源：2026-04-17 17:18:32 +08:00 备：1971-05-11 00:00:00 +14:00</t>
        </is>
      </c>
      <c r="CE97" s="0" t="inlineStr">
        <is>
          <t>12行 3列，源：2025-05-12 00:00:00.00 -14:00 备：2063-03-12 02:00:00.00 -04:25</t>
        </is>
      </c>
      <c r="CF97" s="0" t="inlineStr">
        <is>
          <t>13行 2列，源：None 备：12:30:45.1</t>
        </is>
      </c>
      <c r="CM97" s="0" t="inlineStr">
        <is>
          <t>7行 6列，源：None 备：</t>
        </is>
      </c>
      <c r="DA97" s="0" t="inlineStr">
        <is>
          <t>6行 15列，源：nan 备：</t>
        </is>
      </c>
      <c r="DH97" s="0" t="inlineStr">
        <is>
          <t>14行 0列，源：15 备：8</t>
        </is>
      </c>
      <c r="DJ97" s="0" t="inlineStr">
        <is>
          <t>11行 4列，源：23:59:59.123000 备：12:30:45.100</t>
        </is>
      </c>
      <c r="DL97" s="0" t="inlineStr">
        <is>
          <t>12行 5列，源：None 备：00:00:00.0000</t>
        </is>
      </c>
      <c r="DN97" s="0" t="inlineStr">
        <is>
          <t>14行 2列，源：这是一个长字符串 备：12345678901234567890</t>
        </is>
      </c>
      <c r="DT97" s="0" t="inlineStr">
        <is>
          <t>11行 4列，源：23:59:59.123000 备：12:30:45.100</t>
        </is>
      </c>
      <c r="DU97" s="0" t="inlineStr">
        <is>
          <t>24行 0列，源：77 备：73</t>
        </is>
      </c>
      <c r="DX97" s="0" t="inlineStr">
        <is>
          <t>6行 11列，源：None 备：1</t>
        </is>
      </c>
      <c r="EC97" s="0" t="inlineStr">
        <is>
          <t>11行 4列，源：23:59:59.123000 备：12:30:45.000</t>
        </is>
      </c>
      <c r="EG97" s="0" t="inlineStr">
        <is>
          <t>11行 8列，源：23:59:59.123456 备：12:30:45.1000000</t>
        </is>
      </c>
      <c r="EH97" s="0" t="inlineStr">
        <is>
          <t>6行 11列，源：None 备：</t>
        </is>
      </c>
      <c r="EO97" s="0" t="inlineStr">
        <is>
          <t>23行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EP97" s="0" t="inlineStr">
        <is>
          <t>6行 11列，源：None 备：1</t>
        </is>
      </c>
      <c r="ES97" s="0" t="inlineStr">
        <is>
          <t>6行 11列，源：None 备：</t>
        </is>
      </c>
      <c r="ET97" s="0" t="inlineStr">
        <is>
          <t>10行 5列，源：2003-11-05 02:00:00.0000 -05:10 备：1933-05-11 15:30:45.1235 +01:00</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c_decimal38_38列源备映射错误，源端为decimal None位	期望更改为text	实际备端为decimal None位</t>
        </is>
      </c>
      <c r="AI98" s="0" t="inlineStr">
        <is>
          <t>14行 1列，源：N 备：a</t>
        </is>
      </c>
      <c r="AM98" s="0" t="inlineStr">
        <is>
          <t>8行 6列，源：None 备：</t>
        </is>
      </c>
      <c r="AP98" s="0" t="inlineStr">
        <is>
          <t>48行 1列，源：2023-05-11 00:00:00.123000 备：2025-01-01 00:00:00.233</t>
        </is>
      </c>
      <c r="AS98" s="0" t="inlineStr">
        <is>
          <t>8行 0列，源：9 备：17</t>
        </is>
      </c>
      <c r="AT98" s="0" t="inlineStr">
        <is>
          <t>48行 1列，源：2024-05-11 12:00:00.567000 备：2000-05-11 14:30:29.000</t>
        </is>
      </c>
      <c r="AZ98" s="0" t="inlineStr">
        <is>
          <t>14行 1列，源：N 备：a</t>
        </is>
      </c>
      <c r="BE98" s="0" t="inlineStr">
        <is>
          <t>11行 5列，源：9999-12-31 23:59:59.999900 备：2026-04-17 17:17:24.6306</t>
        </is>
      </c>
      <c r="BG98" s="0" t="inlineStr">
        <is>
          <t>6行 15列，源：1.23456789e+38 备：-123456789000000002003480098325095514112.0000000000000</t>
        </is>
      </c>
      <c r="BI98" s="0" t="inlineStr">
        <is>
          <t>10行 6列，源：1945-05-11 14:30:45.123460 备：0001-01-01 00:00:00.00000</t>
        </is>
      </c>
      <c r="BJ98" s="0" t="inlineStr">
        <is>
          <t>6行 4列，源：0.0 备：</t>
        </is>
      </c>
      <c r="BL98" s="0" t="inlineStr">
        <is>
          <t>14行 2列，源：这是一个长字符串             备：12345678901234567890</t>
        </is>
      </c>
      <c r="BO98" s="0" t="inlineStr">
        <is>
          <t>14行 1列，源：N 备：a</t>
        </is>
      </c>
      <c r="BP98" s="0" t="inlineStr">
        <is>
          <t>24行 1列，源：b'T' 备：00</t>
        </is>
      </c>
      <c r="BV98" s="0" t="inlineStr">
        <is>
          <t>10行 6列，源：2003-11-05 02:00:00.00000 -05:10 备：1933-05-11 15:30:45.12346 +01:00</t>
        </is>
      </c>
      <c r="BX98" s="0" t="inlineStr">
        <is>
          <t>10行 6列，源：2003-11-05 02:00:00.00000 -05:10 备：1971-05-11 00:00:00.00000 +14:00</t>
        </is>
      </c>
      <c r="BY98" s="0" t="inlineStr">
        <is>
          <t>10行 6列，源：2003-11-05 02:00:00.00000 -05:10 备：1933-05-11 15:30:45.12346 +01:00</t>
        </is>
      </c>
      <c r="CA98" s="0" t="inlineStr">
        <is>
          <t>24行 0列，源：109 备：8</t>
        </is>
      </c>
      <c r="CB98" s="0" t="inlineStr">
        <is>
          <t>14行 2列，源：2026-04-17 17:18:31.5 +08:00 备：1971-05-11 00:00:00.0 +14:00</t>
        </is>
      </c>
      <c r="CE98" s="0" t="inlineStr">
        <is>
          <t>12行 4列，源：2025-05-12 00:00:00.000 -14:00 备：2063-03-12 02:00:00.000 -04:25</t>
        </is>
      </c>
      <c r="CF98" s="0" t="inlineStr">
        <is>
          <t>13行 3列，源：12:00:00.120000 备：12:30:45.12</t>
        </is>
      </c>
      <c r="CM98" s="0" t="inlineStr">
        <is>
          <t>7行 7列，源：None 备：</t>
        </is>
      </c>
      <c r="DA98" s="0" t="inlineStr">
        <is>
          <t>6行 16列，源：nan 备：</t>
        </is>
      </c>
      <c r="DH98" s="0" t="inlineStr">
        <is>
          <t>14行 1列，源：N 备：a</t>
        </is>
      </c>
      <c r="DJ98" s="0" t="inlineStr">
        <is>
          <t>11行 5列，源：23:59:59.123500 备：12:30:45.1000</t>
        </is>
      </c>
      <c r="DL98" s="0" t="inlineStr">
        <is>
          <t>12行 7列，源：None 备：00:00:00.000000</t>
        </is>
      </c>
      <c r="DN98" s="0" t="inlineStr">
        <is>
          <t>14行 2列，源：这是一个长字符串 备：12345678901234567890</t>
        </is>
      </c>
      <c r="DT98" s="0" t="inlineStr">
        <is>
          <t>11行 5列，源：23:59:59.123500 备：12:30:45.1000</t>
        </is>
      </c>
      <c r="DU98" s="0" t="inlineStr">
        <is>
          <t>24行 1列，源：b'T' 备：</t>
        </is>
      </c>
      <c r="DX98" s="0" t="inlineStr">
        <is>
          <t>6行 12列，源：None 备：0.00000000000000000000000000000100000000</t>
        </is>
      </c>
      <c r="EC98" s="0" t="inlineStr">
        <is>
          <t>11行 5列，源：23:59:59.123500 备：12:30:45.0000</t>
        </is>
      </c>
      <c r="EG98" s="0" t="inlineStr">
        <is>
          <t>12行 0列，源：13 备：6</t>
        </is>
      </c>
      <c r="EH98" s="0" t="inlineStr">
        <is>
          <t>6行 12列，源：None 备：</t>
        </is>
      </c>
      <c r="EP98" s="0" t="inlineStr">
        <is>
          <t>6行 12列，源：None 备：0.00000000000000000000000000000100000000</t>
        </is>
      </c>
      <c r="ES98" s="0" t="inlineStr">
        <is>
          <t>6行 12列，源：None 备：</t>
        </is>
      </c>
      <c r="ET98" s="0" t="inlineStr">
        <is>
          <t>10行 6列，源：2003-11-05 02:00:00.00000 -05:10 备：1933-05-11 15:30:45.12346 +01:00</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c_decimal38_10列源备映射错误，源端为decimal None位	期望更改为text	实际备端为decimal None位</t>
        </is>
      </c>
      <c r="AI99" s="0" t="inlineStr">
        <is>
          <t>14行 1列，源：N 备：a</t>
        </is>
      </c>
      <c r="AM99" s="0" t="inlineStr">
        <is>
          <t>8行 7列，源：None 备：</t>
        </is>
      </c>
      <c r="AP99" s="0" t="inlineStr">
        <is>
          <t>49行 0列，源：122 备：4</t>
        </is>
      </c>
      <c r="AS99" s="0" t="inlineStr">
        <is>
          <t>8行 2列，源：0.0 备：0</t>
        </is>
      </c>
      <c r="AT99" s="0" t="inlineStr">
        <is>
          <t>49行 0列，源：223 备：8</t>
        </is>
      </c>
      <c r="AZ99" s="0" t="inlineStr">
        <is>
          <t>14行 1列，源：N 备：a</t>
        </is>
      </c>
      <c r="BE99" s="0" t="inlineStr">
        <is>
          <t>11行 6列，源：9999-12-31 23:59:59.999990 备：2026-04-17 17:17:24.63065</t>
        </is>
      </c>
      <c r="BG99" s="0" t="inlineStr">
        <is>
          <t>6行 16列，源：3.4028230607370965e+38 备：-340282306073709652508363335590014353408.000000</t>
        </is>
      </c>
      <c r="BI99" s="0" t="inlineStr">
        <is>
          <t>10行 7列，源：1945-05-11 14:30:45.123457 备：0001-01-01 00:00:00.000000</t>
        </is>
      </c>
      <c r="BJ99" s="0" t="inlineStr">
        <is>
          <t>6行 6列，源：None 备：1</t>
        </is>
      </c>
      <c r="BL99"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O99" s="0" t="inlineStr">
        <is>
          <t>14行 1列，源：N 备：a</t>
        </is>
      </c>
      <c r="BP99" s="0" t="inlineStr">
        <is>
          <t>24行 2列，源：b'HelloWorld\x00\x00\x00\x00\x00\x00\x00\x00\x00\x00' 备：0000000000000000000000000000000000000000</t>
        </is>
      </c>
      <c r="BV99" s="0" t="inlineStr">
        <is>
          <t>10行 7列，源：2003-11-05 02:00:00.000000 -05:10 备：1933-05-11 15:30:45.123457 +01:00</t>
        </is>
      </c>
      <c r="BX99" s="0" t="inlineStr">
        <is>
          <t>10行 7列，源：2003-11-05 02:00:00.000000 -05:10 备：1971-05-11 00:00:00.000000 +14:00</t>
        </is>
      </c>
      <c r="BY99" s="0" t="inlineStr">
        <is>
          <t>10行 7列，源：2003-11-05 02:00:00.000000 -05:10 备：1933-05-11 15:30:45.123457 +01:00</t>
        </is>
      </c>
      <c r="CA99" s="0" t="inlineStr">
        <is>
          <t>24行 1列，源：b'*' 备：42</t>
        </is>
      </c>
      <c r="CB99" s="0" t="inlineStr">
        <is>
          <t>14行 3列，源：2026-04-17 17:18:31.54 +08:00 备：1971-05-11 00:00:00.00 +14:00</t>
        </is>
      </c>
      <c r="CE99" s="0" t="inlineStr">
        <is>
          <t>12行 5列，源：2025-05-12 00:00:00.0000 -14:00 备：2063-03-12 02:00:00.0000 -04:25</t>
        </is>
      </c>
      <c r="CF99" s="0" t="inlineStr">
        <is>
          <t>13行 4列，源：None 备：12:30:45.123</t>
        </is>
      </c>
      <c r="CM99" s="0" t="inlineStr">
        <is>
          <t>7行 9列，源：None 备：</t>
        </is>
      </c>
      <c r="DA99" s="0" t="inlineStr">
        <is>
          <t>6行 17列，源：None 备：1000000.0000</t>
        </is>
      </c>
      <c r="DH99" s="0" t="inlineStr">
        <is>
          <t>14行 1列，源：N 备：a</t>
        </is>
      </c>
      <c r="DJ99" s="0" t="inlineStr">
        <is>
          <t>11行 6列，源：23:59:59.123460 备：12:30:45.10000</t>
        </is>
      </c>
      <c r="DL99" s="0" t="inlineStr">
        <is>
          <t>13行 0列，源：14 备：23</t>
        </is>
      </c>
      <c r="DN99"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T99" s="0" t="inlineStr">
        <is>
          <t>11行 6列，源：23:59:59.123460 备：12:30:45.10000</t>
        </is>
      </c>
      <c r="DU99" s="0" t="inlineStr">
        <is>
          <t>24行 2列，源：b'HelloWorld' 备：</t>
        </is>
      </c>
      <c r="DX99" s="0" t="inlineStr">
        <is>
          <t>6行 13列，源：None 备：0.0000010000</t>
        </is>
      </c>
      <c r="EC99" s="0" t="inlineStr">
        <is>
          <t>11行 6列，源：23:59:59.123460 备：12:30:45.00000</t>
        </is>
      </c>
      <c r="EG99" s="0" t="inlineStr">
        <is>
          <t>12行 1列，源：None 备：09:12:34</t>
        </is>
      </c>
      <c r="EH99" s="0" t="inlineStr">
        <is>
          <t>6行 13列，源：None 备：</t>
        </is>
      </c>
      <c r="EP99" s="0" t="inlineStr">
        <is>
          <t>6行 13列，源：None 备：0.0000010000</t>
        </is>
      </c>
      <c r="ES99" s="0" t="inlineStr">
        <is>
          <t>6行 13列，源：None 备：</t>
        </is>
      </c>
      <c r="ET99" s="0" t="inlineStr">
        <is>
          <t>10行 7列，源：2003-11-05 02:00:00.000000 -05:10 备：1933-05-11 15:30:45.123457 +01:00</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c_decimal19_4列源备映射错误，源端为decimal None位	期望更改为text	实际备端为decimal None位</t>
        </is>
      </c>
      <c r="AI100" s="0" t="inlineStr">
        <is>
          <t>14行 2列，源：€¶I€¶                备：this is a testcaseyf</t>
        </is>
      </c>
      <c r="AM100" s="0" t="inlineStr">
        <is>
          <t>8行 8列，源：None 备：</t>
        </is>
      </c>
      <c r="AP100" s="0" t="inlineStr">
        <is>
          <t>49行 1列，源：2024-05-11 12:00:00.567000 备：9999-12-31 23:59:59.997</t>
        </is>
      </c>
      <c r="AS100" s="0" t="inlineStr">
        <is>
          <t>8行 5列，源：None 备：</t>
        </is>
      </c>
      <c r="AT100" s="0" t="inlineStr">
        <is>
          <t>49行 1列，源：2025-01-01 00:00:00.233000 备：2068-05-11 14:30:30.000</t>
        </is>
      </c>
      <c r="AZ100" s="0" t="inlineStr">
        <is>
          <t>14行 2列，源：€¶I€¶                备：this is a testcaseyf</t>
        </is>
      </c>
      <c r="BE100" s="0" t="inlineStr">
        <is>
          <t>11行 7列，源：9999-12-31 23:59:59.999999 备：2026-04-17 17:17:24.630647</t>
        </is>
      </c>
      <c r="BG100" s="0" t="inlineStr">
        <is>
          <t>6行 19列，源：True 备：0</t>
        </is>
      </c>
      <c r="BI100" s="0" t="inlineStr">
        <is>
          <t>10行 8列，源：1945-05-11 14:30:45.123456 备：0001-01-01 00:00:00.0000000</t>
        </is>
      </c>
      <c r="BJ100" s="0" t="inlineStr">
        <is>
          <t>6行 7列，源：None 备：0.00000000000000000000000000100000000000</t>
        </is>
      </c>
      <c r="BL100" s="0" t="inlineStr">
        <is>
          <t xml:space="preserve">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O100" s="0" t="inlineStr">
        <is>
          <t>14行 2列，源：€¶I€¶ 备：this is a test</t>
        </is>
      </c>
      <c r="BP100" s="0" t="inlineStr">
        <is>
          <t>24行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00" s="0" t="inlineStr">
        <is>
          <t>10行 8列，源：2003-11-05 02:00:00.0000000 -05:10 备：1933-05-11 15:30:45.1234567 +01:00</t>
        </is>
      </c>
      <c r="BX100" s="0" t="inlineStr">
        <is>
          <t>10行 8列，源：2003-11-05 02:00:00.0000000 -05:10 备：1971-05-11 00:00:00.0000001 +14:00</t>
        </is>
      </c>
      <c r="BY100" s="0" t="inlineStr">
        <is>
          <t>10行 8列，源：2003-11-05 02:00:00.0000000 -05:10 备：1933-05-11 15:30:45.1234567 +01:00</t>
        </is>
      </c>
      <c r="CA100" s="0" t="inlineStr">
        <is>
          <t>24行 2列，源：b'~!@#$%^&amp;*]\x00\x00\x00\x00\x00\x00\x00\x00\x00\x00' 备：C9CFBAA3D3A2B7BDC8EDBCFEB9C9B7DDB9ABCBBE</t>
        </is>
      </c>
      <c r="CB100" s="0" t="inlineStr">
        <is>
          <t>14行 4列，源：2026-04-17 17:18:31.537 +08:00 备：1971-05-11 00:00:00.000 +14:00</t>
        </is>
      </c>
      <c r="CE100" s="0" t="inlineStr">
        <is>
          <t>12行 6列，源：2025-05-12 00:00:00.00000 -14:00 备：2063-03-12 02:00:00.00000 -04:25</t>
        </is>
      </c>
      <c r="CF100" s="0" t="inlineStr">
        <is>
          <t>13行 5列，源：12:00:00.123500 备：12:30:45.1235</t>
        </is>
      </c>
      <c r="CM100" s="0" t="inlineStr">
        <is>
          <t>7行 10列，源：None 备：</t>
        </is>
      </c>
      <c r="DA100" s="0" t="inlineStr">
        <is>
          <t>6行 18列，源：None 备：20000.0000</t>
        </is>
      </c>
      <c r="DH100" s="0" t="inlineStr">
        <is>
          <t>14行 2列，源：€¶I€¶ 备：this is a testcaseyf</t>
        </is>
      </c>
      <c r="DJ100" s="0" t="inlineStr">
        <is>
          <t>11行 7列，源：23:59:59.123457 备：12:30:45.100000</t>
        </is>
      </c>
      <c r="DL100" s="0" t="inlineStr">
        <is>
          <t>13行 1列，源：None 备：23:59:59</t>
        </is>
      </c>
      <c r="DN100" s="0" t="inlineStr">
        <is>
          <t>14行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T100" s="0" t="inlineStr">
        <is>
          <t>11行 7列，源：23:59:59.123457 备：12:30:45.100000</t>
        </is>
      </c>
      <c r="DU100" s="0" t="inlineStr">
        <is>
          <t>24行 3列，源：b'HelloWorldTestData' 备：</t>
        </is>
      </c>
      <c r="DX100" s="0" t="inlineStr">
        <is>
          <t>6行 14列，源：None 备：0.01</t>
        </is>
      </c>
      <c r="EC100" s="0" t="inlineStr">
        <is>
          <t>11行 7列，源：23:59:59.123457 备：12:30:45.000000</t>
        </is>
      </c>
      <c r="EG100" s="0" t="inlineStr">
        <is>
          <t>12行 2列，源：00:00:01.100000 备：12:30:45.1</t>
        </is>
      </c>
      <c r="EH100" s="0" t="inlineStr">
        <is>
          <t>6行 14列，源：None 备：</t>
        </is>
      </c>
      <c r="EP100" s="0" t="inlineStr">
        <is>
          <t>6行 14列，源：None 备：0.01</t>
        </is>
      </c>
      <c r="ES100" s="0" t="inlineStr">
        <is>
          <t>6行 14列，源：None 备：</t>
        </is>
      </c>
      <c r="ET100" s="0" t="inlineStr">
        <is>
          <t>10行 8列，源：2003-11-05 02:00:00.0000000 -05:10 备：1933-05-11 15:30:45.1234567 +01:00</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c_numeric列源备映射错误，源端为numeric None位	期望更改为text	实际备端为numeric None位</t>
        </is>
      </c>
      <c r="AI101" s="0" t="inlineStr">
        <is>
          <t>14行 2列，源：€¶I€¶                备：this is a testcaseyf</t>
        </is>
      </c>
      <c r="AM101" s="0" t="inlineStr">
        <is>
          <t>8行 10列，源：None 备：</t>
        </is>
      </c>
      <c r="AP101" s="0" t="inlineStr">
        <is>
          <t>50行 0列，源：123 备：5</t>
        </is>
      </c>
      <c r="AS101" s="0" t="inlineStr">
        <is>
          <t>8行 6列，源：None 备：</t>
        </is>
      </c>
      <c r="AT101" s="0" t="inlineStr">
        <is>
          <t>50行 0列，源：224 备：9</t>
        </is>
      </c>
      <c r="AZ101" s="0" t="inlineStr">
        <is>
          <t>14行 2列，源：€¶I€¶                备：this is a testcaseyf</t>
        </is>
      </c>
      <c r="BE101" s="0" t="inlineStr">
        <is>
          <t>11行 8列，源：9999-12-31 23:59:59.999999 备：2026-04-17 17:17:24.6306467</t>
        </is>
      </c>
      <c r="BG101" s="0" t="inlineStr">
        <is>
          <t>7行 0列，源：17 备：18</t>
        </is>
      </c>
      <c r="BI101" s="0" t="inlineStr">
        <is>
          <t>11行 0列，源：57 备：5</t>
        </is>
      </c>
      <c r="BJ101" s="0" t="inlineStr">
        <is>
          <t>6行 8列，源：None 备：0.0000000010</t>
        </is>
      </c>
      <c r="BL101" s="0" t="inlineStr">
        <is>
          <t>15行 0列，源：28 备：5</t>
        </is>
      </c>
      <c r="BO101" s="0" t="inlineStr">
        <is>
          <t>14行 2列，源：€¶I€¶ 备：this is a test</t>
        </is>
      </c>
      <c r="BP101" s="0" t="inlineStr">
        <is>
          <t>25行 0列，源：78 备：74</t>
        </is>
      </c>
      <c r="BV101" s="0" t="inlineStr">
        <is>
          <t>11行 0列，源：12 备：8</t>
        </is>
      </c>
      <c r="BX101" s="0" t="inlineStr">
        <is>
          <t>11行 0列，源：12 备：130</t>
        </is>
      </c>
      <c r="BY101" s="0" t="inlineStr">
        <is>
          <t>11行 0列，源：12 备：8</t>
        </is>
      </c>
      <c r="CA101" s="0" t="inlineStr">
        <is>
          <t>24行 3列，源：b'~!@#$%^&amp;*]~!@#$%^&amp;*]~!@#$%^&amp;*]~!@#$%^&amp;*]~!@#$%^&amp;*]~!@#$%^&amp;*]~!@#$%^&amp;*]~!@#$%^&amp;*]~!@#$%^&amp;*]~!@#$%^&amp;*]~!@#$%^&amp;*]~!@#$%^&amp;*]~!@#$%^&amp;*]~!@#$%^&amp;*]~!@#$%^&amp;*]~!@#$%^&amp;*]~!@#$%^&amp;*]~!@#$%^&amp;*]~!@#$%^&amp;*]~!@#$%^&amp;*]'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CB101" s="0" t="inlineStr">
        <is>
          <t>14行 5列，源：2026-04-17 17:18:31.5370 +08:00 备：1971-05-11 00:00:00.0000 +14:00</t>
        </is>
      </c>
      <c r="CE101" s="0" t="inlineStr">
        <is>
          <t>12行 7列，源：2025-05-12 00:00:00.000000 -14:00 备：2063-03-12 02:00:00.000000 -04:25</t>
        </is>
      </c>
      <c r="CF101" s="0" t="inlineStr">
        <is>
          <t>13行 6列，源：None 备：12:30:45.12345</t>
        </is>
      </c>
      <c r="CM101" s="0" t="inlineStr">
        <is>
          <t>7行 11列，源：None 备：</t>
        </is>
      </c>
      <c r="DA101" s="0" t="inlineStr">
        <is>
          <t>6行 19列，源：None 备：</t>
        </is>
      </c>
      <c r="DH101" s="0" t="inlineStr">
        <is>
          <t>14行 2列，源：€¶I€¶ 备：this is a testcaseyf</t>
        </is>
      </c>
      <c r="DJ101" s="0" t="inlineStr">
        <is>
          <t>11行 8列，源：23:59:59.123456 备：12:30:45.1000000</t>
        </is>
      </c>
      <c r="DL101" s="0" t="inlineStr">
        <is>
          <t>13行 2列，源：12:00:00.100000 备：23:59:59.9</t>
        </is>
      </c>
      <c r="DN101" s="0" t="inlineStr">
        <is>
          <t>15行 0列，源：28 备：5</t>
        </is>
      </c>
      <c r="DT101" s="0" t="inlineStr">
        <is>
          <t>11行 8列，源：23:59:59.123456 备：12:30:45.1000000</t>
        </is>
      </c>
      <c r="DU101" s="0" t="inlineStr">
        <is>
          <t>25行 0列，源：78 备：74</t>
        </is>
      </c>
      <c r="DX101" s="0" t="inlineStr">
        <is>
          <t>6行 15列，源：nan 备：</t>
        </is>
      </c>
      <c r="EC101" s="0" t="inlineStr">
        <is>
          <t>11行 8列，源：23:59:59.123456 备：12:30:45.0000000</t>
        </is>
      </c>
      <c r="EG101" s="0" t="inlineStr">
        <is>
          <t>12行 3列，源：None 备：09:12:34.12</t>
        </is>
      </c>
      <c r="EH101" s="0" t="inlineStr">
        <is>
          <t>6行 15列，源：nan 备：</t>
        </is>
      </c>
      <c r="EP101" s="0" t="inlineStr">
        <is>
          <t>6行 15列，源：nan 备：</t>
        </is>
      </c>
      <c r="ES101" s="0" t="inlineStr">
        <is>
          <t>6行 15列，源：nan 备：</t>
        </is>
      </c>
      <c r="ET101" s="0" t="inlineStr">
        <is>
          <t>11行 0列，源：12 备：8</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c_numeric38列源备映射错误，源端为numeric None位	期望更改为text	实际备端为numeric None位</t>
        </is>
      </c>
      <c r="AI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102" s="0" t="inlineStr">
        <is>
          <t>8行 11列，源：None 备：</t>
        </is>
      </c>
      <c r="AP102" s="0" t="inlineStr">
        <is>
          <t>50行 1列，源：2025-01-01 00:00:00.233000 备：2026-04-17 17:16:25.287</t>
        </is>
      </c>
      <c r="AS102" s="0" t="inlineStr">
        <is>
          <t>8行 7列，源：None 备：</t>
        </is>
      </c>
      <c r="AT102" s="0" t="inlineStr">
        <is>
          <t>50行 1列，源：2040-12-25 23:59:59.997000 备：1981-05-11 14:30:59.000</t>
        </is>
      </c>
      <c r="AZ102"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102" s="0" t="inlineStr">
        <is>
          <t>12行 0列，源：26 备：225</t>
        </is>
      </c>
      <c r="BG102" s="0" t="inlineStr">
        <is>
          <t>7行 1列，源：nan 备：</t>
        </is>
      </c>
      <c r="BI102" s="0" t="inlineStr">
        <is>
          <t>11行 1列，源：2065-05-11 14:30:45 备：9999-12-31 23:59:59</t>
        </is>
      </c>
      <c r="BJ102" s="0" t="inlineStr">
        <is>
          <t>6行 10列，源：None 备：0</t>
        </is>
      </c>
      <c r="BL102" s="0" t="inlineStr">
        <is>
          <t>15行 1列，源：试 备：X</t>
        </is>
      </c>
      <c r="BO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102" s="0" t="inlineStr">
        <is>
          <t>25行 1列，源：b'B' 备：20</t>
        </is>
      </c>
      <c r="BV102" s="0" t="inlineStr">
        <is>
          <t>11行 1列，源：2025-05-12 00:00:00 -14:00 备：2000-05-11 00:30:45 +09:00</t>
        </is>
      </c>
      <c r="BX102" s="0" t="inlineStr">
        <is>
          <t>11行 1列，源：2025-05-12 00:00:00 -14:00 备：2013-03-12 02:00:00 -04:25</t>
        </is>
      </c>
      <c r="BY102" s="0" t="inlineStr">
        <is>
          <t>11行 1列，源：2025-05-12 00:00:00 -14:00 备：2000-05-11 00:30:45 +09:00</t>
        </is>
      </c>
      <c r="CA102" s="0" t="inlineStr">
        <is>
          <t>25行 0列，源：110 备：9</t>
        </is>
      </c>
      <c r="CB102" s="0" t="inlineStr">
        <is>
          <t>14行 6列，源：2026-04-17 17:18:31.53698 +08:00 备：1971-05-11 00:00:00.00000 +14:00</t>
        </is>
      </c>
      <c r="CE102" s="0" t="inlineStr">
        <is>
          <t>12行 8列，源：2025-05-11 23:59:59.9999999 -14:00 备：2063-03-12 02:00:00.0000000 -04:25</t>
        </is>
      </c>
      <c r="CF102" s="0" t="inlineStr">
        <is>
          <t>13行 7列，源：12:00:00.123457 备：12:30:45.123450</t>
        </is>
      </c>
      <c r="CM102" s="0" t="inlineStr">
        <is>
          <t>7行 12列，源：None 备：</t>
        </is>
      </c>
      <c r="DA102" s="0" t="inlineStr">
        <is>
          <t>7行 0列，源：12 备：17</t>
        </is>
      </c>
      <c r="DH102"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102" s="0" t="inlineStr">
        <is>
          <t>12行 0列，源：13 备：6</t>
        </is>
      </c>
      <c r="DL102" s="0" t="inlineStr">
        <is>
          <t>13行 3列，源：None 备：23:59:59.99</t>
        </is>
      </c>
      <c r="DN102" s="0" t="inlineStr">
        <is>
          <t>15行 1列，源：试 备：X</t>
        </is>
      </c>
      <c r="DT102" s="0" t="inlineStr">
        <is>
          <t>12行 0列，源：13 备：6</t>
        </is>
      </c>
      <c r="DU102" s="0" t="inlineStr">
        <is>
          <t>25行 1列，源：b'B' 备：20</t>
        </is>
      </c>
      <c r="DX102" s="0" t="inlineStr">
        <is>
          <t>6行 16列，源：nan 备：</t>
        </is>
      </c>
      <c r="EC102" s="0" t="inlineStr">
        <is>
          <t>12行 0列，源：13 备：5</t>
        </is>
      </c>
      <c r="EG102" s="0" t="inlineStr">
        <is>
          <t>12行 4列，源：00:00:01.123000 备：12:30:45.120</t>
        </is>
      </c>
      <c r="EH102" s="0" t="inlineStr">
        <is>
          <t>6行 16列，源：nan 备：</t>
        </is>
      </c>
      <c r="EP102" s="0" t="inlineStr">
        <is>
          <t>6行 16列，源：nan 备：</t>
        </is>
      </c>
      <c r="ES102" s="0" t="inlineStr">
        <is>
          <t>6行 16列，源：nan 备：</t>
        </is>
      </c>
      <c r="ET102" s="0" t="inlineStr">
        <is>
          <t>11行 1列，源：2025-05-12 00:00:00 -14:00 备：2000-05-11 00:30:45 +09:00</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c_numeric38_38列源备映射错误，源端为numeric None位	期望更改为text	实际备端为numeric None位</t>
        </is>
      </c>
      <c r="AI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AM103" s="0" t="inlineStr">
        <is>
          <t>8行 12列，源：None 备：</t>
        </is>
      </c>
      <c r="AP103" s="0" t="inlineStr">
        <is>
          <t>51行 0列，源：152 备：51</t>
        </is>
      </c>
      <c r="AS103" s="0" t="inlineStr">
        <is>
          <t>8行 8列，源：None 备：</t>
        </is>
      </c>
      <c r="AZ103" s="0" t="inlineStr">
        <is>
          <t xml:space="preserve">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E103" s="0" t="inlineStr">
        <is>
          <t>12行 1列，源：1945-05-11 14:30:45 备：9999-12-31 23:59:59</t>
        </is>
      </c>
      <c r="BG103" s="0" t="inlineStr">
        <is>
          <t>7行 2列，源：nan 备：</t>
        </is>
      </c>
      <c r="BI103" s="0" t="inlineStr">
        <is>
          <t>11行 2列，源：2065-05-11 14:30:45.100000 备：9999-12-31 23:59:59.9</t>
        </is>
      </c>
      <c r="BJ103" s="0" t="inlineStr">
        <is>
          <t>6行 11列，源：None 备：1</t>
        </is>
      </c>
      <c r="BL103" s="0" t="inlineStr">
        <is>
          <t>15行 1列，源：试 备：X</t>
        </is>
      </c>
      <c r="BO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BP103" s="0" t="inlineStr">
        <is>
          <t>25行 2列，源：b'\xc9\xcf\xba\xa3\xd3\xa2\xb7\xbd\xc8\xed\xbc\xfe\xb9\xc9\xb7\xdd\xb9\xab\xcb\xbe' 备：2020202020202020202020202020202020202020</t>
        </is>
      </c>
      <c r="BV103" s="0" t="inlineStr">
        <is>
          <t>11行 2列，源：2025-05-12 00:00:00.0 -14:00 备：2000-05-11 00:30:45.1 +09:00</t>
        </is>
      </c>
      <c r="BX103" s="0" t="inlineStr">
        <is>
          <t>11行 2列，源：2025-05-12 00:00:00.0 -14:00 备：2013-03-12 02:00:00.0 -04:25</t>
        </is>
      </c>
      <c r="BY103" s="0" t="inlineStr">
        <is>
          <t>11行 2列，源：2025-05-12 00:00:00.0 -14:00 备：2000-05-11 00:30:45.1 +09:00</t>
        </is>
      </c>
      <c r="CA103" s="0" t="inlineStr">
        <is>
          <t>25行 1列，源：b'*' 备：2A</t>
        </is>
      </c>
      <c r="CB103" s="0" t="inlineStr">
        <is>
          <t>14行 7列，源：2026-04-17 17:18:31.536981 +08:00 备：1971-05-11 00:00:00.000000 +14:00</t>
        </is>
      </c>
      <c r="CF103" s="0" t="inlineStr">
        <is>
          <t>13行 8列，源：None 备：12:30:45.1234500</t>
        </is>
      </c>
      <c r="CM103" s="0" t="inlineStr">
        <is>
          <t>7行 13列，源：None 备：</t>
        </is>
      </c>
      <c r="DA103" s="0" t="inlineStr">
        <is>
          <t>7行 1列，源：nan 备：</t>
        </is>
      </c>
      <c r="DH103" s="0" t="inlineStr">
        <is>
          <t>14行 3列，源：€¶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J103" s="0" t="inlineStr">
        <is>
          <t>12行 1列，源：None 备：12:30:45</t>
        </is>
      </c>
      <c r="DL103" s="0" t="inlineStr">
        <is>
          <t>13行 4列，源：12:00:00.123000 备：23:59:59.999</t>
        </is>
      </c>
      <c r="DN103" s="0" t="inlineStr">
        <is>
          <t>15行 1列，源：试 备：X</t>
        </is>
      </c>
      <c r="DT103" s="0" t="inlineStr">
        <is>
          <t>12行 1列，源：None 备：12:30:45</t>
        </is>
      </c>
      <c r="DU103" s="0" t="inlineStr">
        <is>
          <t>25行 2列，源：b'\xc9\xcf\xba\xa3\xd3\xa2\xb7\xbd\xc8\xed\xbc\xfe\xb9\xc9\xb7\xdd\xb9\xab\xcb\xbe' 备：20202020202020202020</t>
        </is>
      </c>
      <c r="DX103" s="0" t="inlineStr">
        <is>
          <t>6行 17列，源：None 备：</t>
        </is>
      </c>
      <c r="EC103" s="0" t="inlineStr">
        <is>
          <t>12行 1列，源：None 备：12:30:45</t>
        </is>
      </c>
      <c r="EG103" s="0" t="inlineStr">
        <is>
          <t>12行 5列，源：None 备：09:12:34.1235</t>
        </is>
      </c>
      <c r="EH103" s="0" t="inlineStr">
        <is>
          <t>6行 17列，源：None 备：</t>
        </is>
      </c>
      <c r="EP103" s="0" t="inlineStr">
        <is>
          <t>6行 17列，源：None 备：</t>
        </is>
      </c>
      <c r="ES103" s="0" t="inlineStr">
        <is>
          <t>6行 17列，源：None 备：</t>
        </is>
      </c>
      <c r="ET103" s="0" t="inlineStr">
        <is>
          <t>11行 2列，源：2025-05-12 00:00:00.0 -14:00 备：2000-05-11 00:30:45.1 +09:00</t>
        </is>
      </c>
    </row>
    <row r="104">
      <c r="B104" s="0" t="inlineStr">
        <is>
          <t>NULL</t>
        </is>
      </c>
      <c r="C104" s="0" t="inlineStr">
        <is>
          <t>NULL</t>
        </is>
      </c>
      <c r="D104" s="0" t="inlineStr">
        <is>
          <t>NULL</t>
        </is>
      </c>
      <c r="E104" s="0" t="inlineStr">
        <is>
          <t>NULL</t>
        </is>
      </c>
      <c r="F104" s="0" t="inlineStr">
        <is>
          <t>NULL</t>
        </is>
      </c>
      <c r="G104" s="0" t="inlineStr">
        <is>
          <t>NULL</t>
        </is>
      </c>
      <c r="H104" s="0" t="inlineStr">
        <is>
          <t>NULL</t>
        </is>
      </c>
      <c r="I104" s="0" t="inlineStr">
        <is>
          <t>NULL</t>
        </is>
      </c>
      <c r="J104" s="0" t="inlineStr">
        <is>
          <t>NULL</t>
        </is>
      </c>
      <c r="K104" s="0" t="inlineStr">
        <is>
          <t xml:space="preserve"> NO!  	 c_numeric38_10列源备映射错误，源端为numeric None位	期望更改为text	实际备端为numeric None位</t>
        </is>
      </c>
      <c r="AI104" s="0" t="inlineStr">
        <is>
          <t>15行 0列，源：16 备：9</t>
        </is>
      </c>
      <c r="AM104" s="0" t="inlineStr">
        <is>
          <t>8行 13列，源：None 备：</t>
        </is>
      </c>
      <c r="AP104" s="0" t="inlineStr">
        <is>
          <t>51行 1列，源：1900-01-01 00:00:00 备：</t>
        </is>
      </c>
      <c r="AS104" s="0" t="inlineStr">
        <is>
          <t>8行 10列，源：None 备：</t>
        </is>
      </c>
      <c r="AZ104" s="0" t="inlineStr">
        <is>
          <t>15行 0列，源：16 备：9</t>
        </is>
      </c>
      <c r="BE104" s="0" t="inlineStr">
        <is>
          <t>12行 2列，源：1945-05-11 14:30:45.100000 备：9999-12-31 23:59:59.9</t>
        </is>
      </c>
      <c r="BG104" s="0" t="inlineStr">
        <is>
          <t>7行 3列，源：nan 备：</t>
        </is>
      </c>
      <c r="BI104" s="0" t="inlineStr">
        <is>
          <t>11行 3列，源：2065-05-11 14:30:45.120000 备：9999-12-31 23:59:59.99</t>
        </is>
      </c>
      <c r="BJ104" s="0" t="inlineStr">
        <is>
          <t>6行 12列，源：None 备：0.00000000000000000000000000000100000000</t>
        </is>
      </c>
      <c r="BL104" s="0" t="inlineStr">
        <is>
          <t>15行 2列，源：更新生僻字                备：This is a nchar stri</t>
        </is>
      </c>
      <c r="BO104" s="0" t="inlineStr">
        <is>
          <t>15行 0列，源：16 备：9</t>
        </is>
      </c>
      <c r="BP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BV104" s="0" t="inlineStr">
        <is>
          <t>11行 3列，源：2025-05-12 00:00:00.00 -14:00 备：2000-05-11 00:30:45.12 +09:00</t>
        </is>
      </c>
      <c r="BX104" s="0" t="inlineStr">
        <is>
          <t>11行 3列，源：2025-05-12 00:00:00.00 -14:00 备：2013-03-12 02:00:00.00 -04:25</t>
        </is>
      </c>
      <c r="BY104" s="0" t="inlineStr">
        <is>
          <t>11行 3列，源：2025-05-12 00:00:00.00 -14:00 备：2000-05-11 00:30:45.12 +09:00</t>
        </is>
      </c>
      <c r="CA104" s="0" t="inlineStr">
        <is>
          <t>25行 2列，源：b'12345678901234567890' 备：7E21402324255E262A5D00000000000000000000</t>
        </is>
      </c>
      <c r="CB104" s="0" t="inlineStr">
        <is>
          <t>14行 8列，源：2026-04-17 17:18:31.5369809 +08:00 备：1971-05-11 00:00:00.0000001 +14:00</t>
        </is>
      </c>
      <c r="CM104" s="0" t="inlineStr">
        <is>
          <t>7行 14列，源：None 备：</t>
        </is>
      </c>
      <c r="DA104" s="0" t="inlineStr">
        <is>
          <t>7行 2列，源：nan 备：</t>
        </is>
      </c>
      <c r="DH104" s="0" t="inlineStr">
        <is>
          <t>15行 0列，源：16 备：9</t>
        </is>
      </c>
      <c r="DJ104" s="0" t="inlineStr">
        <is>
          <t>12行 2列，源：00:00:01.100000 备：12:30:45.1</t>
        </is>
      </c>
      <c r="DL104" s="0" t="inlineStr">
        <is>
          <t>13行 5列，源：None 备：23:59:59.9999</t>
        </is>
      </c>
      <c r="DN104" s="0" t="inlineStr">
        <is>
          <t>15行 2列，源：更新生僻字 备：This is a nchar stri</t>
        </is>
      </c>
      <c r="DT104" s="0" t="inlineStr">
        <is>
          <t>12行 2列，源：00:00:01.100000 备：12:30:45.1</t>
        </is>
      </c>
      <c r="DU104" s="0" t="inlineStr">
        <is>
          <t>25行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20</t>
        </is>
      </c>
      <c r="DX104" s="0" t="inlineStr">
        <is>
          <t>6行 18列，源：None 备：</t>
        </is>
      </c>
      <c r="EC104" s="0" t="inlineStr">
        <is>
          <t>12行 2列，源：00:00:01.100000 备：12:30:45.1</t>
        </is>
      </c>
      <c r="EG104" s="0" t="inlineStr">
        <is>
          <t>12行 6列，源：00:00:01.123460 备：12:30:45.12000</t>
        </is>
      </c>
      <c r="EH104" s="0" t="inlineStr">
        <is>
          <t>6行 18列，源：None 备：</t>
        </is>
      </c>
      <c r="EP104" s="0" t="inlineStr">
        <is>
          <t>6行 18列，源：None 备：</t>
        </is>
      </c>
      <c r="ES104" s="0" t="inlineStr">
        <is>
          <t>6行 18列，源：None 备：</t>
        </is>
      </c>
      <c r="ET104" s="0" t="inlineStr">
        <is>
          <t>11行 3列，源：2025-05-12 00:00:00.00 -14:00 备：2000-05-11 00:30:45.12 +09:00</t>
        </is>
      </c>
    </row>
    <row r="105">
      <c r="B105" s="0" t="inlineStr">
        <is>
          <t>NULL</t>
        </is>
      </c>
      <c r="C105" s="0" t="inlineStr">
        <is>
          <t>NULL</t>
        </is>
      </c>
      <c r="D105" s="0" t="inlineStr">
        <is>
          <t>NULL</t>
        </is>
      </c>
      <c r="E105" s="0" t="inlineStr">
        <is>
          <t>NULL</t>
        </is>
      </c>
      <c r="F105" s="0" t="inlineStr">
        <is>
          <t>NULL</t>
        </is>
      </c>
      <c r="G105" s="0" t="inlineStr">
        <is>
          <t>NULL</t>
        </is>
      </c>
      <c r="H105" s="0" t="inlineStr">
        <is>
          <t>NULL</t>
        </is>
      </c>
      <c r="I105" s="0" t="inlineStr">
        <is>
          <t>NULL</t>
        </is>
      </c>
      <c r="J105" s="0" t="inlineStr">
        <is>
          <t>NULL</t>
        </is>
      </c>
      <c r="K105" s="0" t="inlineStr">
        <is>
          <t xml:space="preserve"> NO!  	 c_numeric18_2列源备映射错误，源端为numeric None位	期望更改为text	实际备端为numeric None位</t>
        </is>
      </c>
      <c r="AI105" s="0" t="inlineStr">
        <is>
          <t>15行 1列，源：X 备：Y</t>
        </is>
      </c>
      <c r="AM105" s="0" t="inlineStr">
        <is>
          <t>8行 14列，源：None 备：</t>
        </is>
      </c>
      <c r="AP105" s="0" t="inlineStr">
        <is>
          <t>52行 0列，源：153 备：52</t>
        </is>
      </c>
      <c r="AS105" s="0" t="inlineStr">
        <is>
          <t>8行 11列，源：None 备：</t>
        </is>
      </c>
      <c r="AZ105" s="0" t="inlineStr">
        <is>
          <t>15行 1列，源：X 备：Y</t>
        </is>
      </c>
      <c r="BE105" s="0" t="inlineStr">
        <is>
          <t>12行 3列，源：1945-05-11 14:30:45.120000 备：9999-12-31 23:59:59.99</t>
        </is>
      </c>
      <c r="BG105" s="0" t="inlineStr">
        <is>
          <t>7行 4列，源：nan 备：</t>
        </is>
      </c>
      <c r="BI105" s="0" t="inlineStr">
        <is>
          <t>11行 4列，源：2065-05-11 14:30:45.123000 备：9999-12-31 23:59:59.999</t>
        </is>
      </c>
      <c r="BJ105" s="0" t="inlineStr">
        <is>
          <t>6行 13列，源：None 备：0.0000010000</t>
        </is>
      </c>
      <c r="BL105" s="0" t="inlineStr">
        <is>
          <t>15行 2列，源：更新生僻字                备：This is a nchar stri</t>
        </is>
      </c>
      <c r="BO105" s="0" t="inlineStr">
        <is>
          <t>15行 1列，源：X 备：Y</t>
        </is>
      </c>
      <c r="BP105" s="0" t="inlineStr">
        <is>
          <t>26行 0列，源：79 备：75</t>
        </is>
      </c>
      <c r="BV105" s="0" t="inlineStr">
        <is>
          <t>11行 4列，源：2025-05-12 00:00:00.000 -14:00 备：2000-05-11 00:30:45.123 +09:00</t>
        </is>
      </c>
      <c r="BX105" s="0" t="inlineStr">
        <is>
          <t>11行 4列，源：2025-05-12 00:00:00.000 -14:00 备：2013-03-12 02:00:00.000 -04:25</t>
        </is>
      </c>
      <c r="BY105" s="0" t="inlineStr">
        <is>
          <t>11行 4列，源：2025-05-12 00:00:00.000 -14:00 备：2000-05-11 00:30:45.123 +09:00</t>
        </is>
      </c>
      <c r="CA105" s="0" t="inlineStr">
        <is>
          <t>25行 3列，源：b'12345678901234567890123456789012345678901234567890123456789012345678901234567890123456789012345678901234567890123456789012345678901234567890123456789012345678901234567890123456789012345678901234567890'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CB105" s="0" t="inlineStr">
        <is>
          <t>15行 0列，源：54 备：2</t>
        </is>
      </c>
      <c r="CM105" s="0" t="inlineStr">
        <is>
          <t>7行 15列，源：nan 备：</t>
        </is>
      </c>
      <c r="DA105" s="0" t="inlineStr">
        <is>
          <t>7行 3列，源：nan 备：</t>
        </is>
      </c>
      <c r="DH105" s="0" t="inlineStr">
        <is>
          <t>15行 1列，源：X 备：Y</t>
        </is>
      </c>
      <c r="DJ105" s="0" t="inlineStr">
        <is>
          <t>12行 3列，源：None 备：12:30:45.12</t>
        </is>
      </c>
      <c r="DL105" s="0" t="inlineStr">
        <is>
          <t>13行 6列，源：12:00:00.123460 备：23:59:59.99999</t>
        </is>
      </c>
      <c r="DN105" s="0" t="inlineStr">
        <is>
          <t>15行 2列，源：更新生僻字 备：This is a nchar stri</t>
        </is>
      </c>
      <c r="DT105" s="0" t="inlineStr">
        <is>
          <t>12行 3列，源：None 备：12:30:45.12</t>
        </is>
      </c>
      <c r="DU105" s="0" t="inlineStr">
        <is>
          <t>26行 0列，源：79 备：75</t>
        </is>
      </c>
      <c r="DX105" s="0" t="inlineStr">
        <is>
          <t>6行 19列，源：None 备：</t>
        </is>
      </c>
      <c r="EC105" s="0" t="inlineStr">
        <is>
          <t>12行 3列，源：None 备：12:30:45.10</t>
        </is>
      </c>
      <c r="EG105" s="0" t="inlineStr">
        <is>
          <t>12行 7列，源：None 备：09:12:34.123457</t>
        </is>
      </c>
      <c r="EH105" s="0" t="inlineStr">
        <is>
          <t>6行 19列，源：None 备：</t>
        </is>
      </c>
      <c r="EP105" s="0" t="inlineStr">
        <is>
          <t>6行 19列，源：None 备：</t>
        </is>
      </c>
      <c r="ES105" s="0" t="inlineStr">
        <is>
          <t>6行 19列，源：None 备：</t>
        </is>
      </c>
      <c r="ET105" s="0" t="inlineStr">
        <is>
          <t>11行 4列，源：2025-05-12 00:00:00.000 -14:00 备：2000-05-11 00:30:45.123 +09:00</t>
        </is>
      </c>
    </row>
    <row r="106">
      <c r="B106" s="0" t="inlineStr">
        <is>
          <t>NULL</t>
        </is>
      </c>
      <c r="C106" s="0" t="inlineStr">
        <is>
          <t>NULL</t>
        </is>
      </c>
      <c r="D106" s="0" t="inlineStr">
        <is>
          <t>NULL</t>
        </is>
      </c>
      <c r="E106" s="0" t="inlineStr">
        <is>
          <t>NULL</t>
        </is>
      </c>
      <c r="F106" s="0" t="inlineStr">
        <is>
          <t>NULL</t>
        </is>
      </c>
      <c r="G106" s="0" t="inlineStr">
        <is>
          <t>NULL</t>
        </is>
      </c>
      <c r="H106" s="0" t="inlineStr">
        <is>
          <t>NULL</t>
        </is>
      </c>
      <c r="I106" s="0" t="inlineStr">
        <is>
          <t>NULL</t>
        </is>
      </c>
      <c r="J106" s="0" t="inlineStr">
        <is>
          <t>NULL</t>
        </is>
      </c>
      <c r="K106" s="0" t="inlineStr">
        <is>
          <t xml:space="preserve"> NO!  	 c_float列源备映射错误，源端为float None位	期望更改为text	实际备端为float None位</t>
        </is>
      </c>
      <c r="AI106" s="0" t="inlineStr">
        <is>
          <t>15行 1列，源：X 备：Y</t>
        </is>
      </c>
      <c r="AM106" s="0" t="inlineStr">
        <is>
          <t>8行 15列，源：1.23456789012345e-30 备：0.0000000000000</t>
        </is>
      </c>
      <c r="AP106" s="0" t="inlineStr">
        <is>
          <t>52行 1列，源：1753-01-01 00:00:00 备：1900-01-01 00:00:00.000</t>
        </is>
      </c>
      <c r="AS106" s="0" t="inlineStr">
        <is>
          <t>8行 12列，源：None 备：</t>
        </is>
      </c>
      <c r="AZ106" s="0" t="inlineStr">
        <is>
          <t>15行 1列，源：X 备：Y</t>
        </is>
      </c>
      <c r="BE106" s="0" t="inlineStr">
        <is>
          <t>12行 4列，源：1945-05-11 14:30:45.123000 备：9999-12-31 23:59:59.999</t>
        </is>
      </c>
      <c r="BG106" s="0" t="inlineStr">
        <is>
          <t>7行 5列，源：None 备：</t>
        </is>
      </c>
      <c r="BI106" s="0" t="inlineStr">
        <is>
          <t>11行 5列，源：2065-05-11 14:30:45.123500 备：9999-12-31 23:59:59.9999</t>
        </is>
      </c>
      <c r="BJ106" s="0" t="inlineStr">
        <is>
          <t>6行 14列，源：None 备：0.01</t>
        </is>
      </c>
      <c r="BL106"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106" s="0" t="inlineStr">
        <is>
          <t>15行 1列，源：X 备：Y</t>
        </is>
      </c>
      <c r="BP106" s="0" t="inlineStr">
        <is>
          <t>26行 1列，源：b'*' 备：41</t>
        </is>
      </c>
      <c r="BV106" s="0" t="inlineStr">
        <is>
          <t>11行 5列，源：2025-05-12 00:00:00.0000 -14:00 备：2000-05-11 00:30:45.1235 +09:00</t>
        </is>
      </c>
      <c r="BX106" s="0" t="inlineStr">
        <is>
          <t>11行 5列，源：2025-05-12 00:00:00.0000 -14:00 备：2013-03-12 02:00:00.0000 -04:25</t>
        </is>
      </c>
      <c r="BY106" s="0" t="inlineStr">
        <is>
          <t>11行 5列，源：2025-05-12 00:00:00.0000 -14:00 备：2000-05-11 00:30:45.1235 +09:00</t>
        </is>
      </c>
      <c r="CB106" s="0" t="inlineStr">
        <is>
          <t>15行 1列，源：0001-01-01 00:00:00 +00:00 备：1900-01-01 00:00:00 +00:00</t>
        </is>
      </c>
      <c r="CM106" s="0" t="inlineStr">
        <is>
          <t>7行 16列，源：nan 备：</t>
        </is>
      </c>
      <c r="DA106" s="0" t="inlineStr">
        <is>
          <t>7行 4列，源：nan 备：</t>
        </is>
      </c>
      <c r="DH106" s="0" t="inlineStr">
        <is>
          <t>15行 1列，源：X 备：Y</t>
        </is>
      </c>
      <c r="DJ106" s="0" t="inlineStr">
        <is>
          <t>12行 4列，源：00:00:01.123000 备：12:30:45.120</t>
        </is>
      </c>
      <c r="DL106" s="0" t="inlineStr">
        <is>
          <t>13行 7列，源：None 备：23:59:59.999999</t>
        </is>
      </c>
      <c r="DN106"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106" s="0" t="inlineStr">
        <is>
          <t>12行 4列，源：00:00:01.123000 备：12:30:45.120</t>
        </is>
      </c>
      <c r="DU106" s="0" t="inlineStr">
        <is>
          <t>26行 1列，源：b'*' 备：41</t>
        </is>
      </c>
      <c r="DX106" s="0" t="inlineStr">
        <is>
          <t>7行 0列，源：8 备：16</t>
        </is>
      </c>
      <c r="EC106" s="0" t="inlineStr">
        <is>
          <t>12行 4列，源：00:00:01.123000 备：12:30:45.100</t>
        </is>
      </c>
      <c r="EG106" s="0" t="inlineStr">
        <is>
          <t>12行 8列，源：00:00:01.123456 备：12:30:45.1200000</t>
        </is>
      </c>
      <c r="EH106" s="0" t="inlineStr">
        <is>
          <t>7行 0列，源：8 备：106</t>
        </is>
      </c>
      <c r="EP106" s="0" t="inlineStr">
        <is>
          <t>7行 0列，源：8 备：16</t>
        </is>
      </c>
      <c r="ES106" s="0" t="inlineStr">
        <is>
          <t>7行 0列，源：8 备：106</t>
        </is>
      </c>
      <c r="ET106" s="0" t="inlineStr">
        <is>
          <t>11行 5列，源：2025-05-12 00:00:00.0000 -14:00 备：2000-05-11 00:30:45.1235 +09:00</t>
        </is>
      </c>
    </row>
    <row r="107">
      <c r="B107" s="0" t="inlineStr">
        <is>
          <t>NULL</t>
        </is>
      </c>
      <c r="C107" s="0" t="inlineStr">
        <is>
          <t>NULL</t>
        </is>
      </c>
      <c r="D107" s="0" t="inlineStr">
        <is>
          <t>NULL</t>
        </is>
      </c>
      <c r="E107" s="0" t="inlineStr">
        <is>
          <t>NULL</t>
        </is>
      </c>
      <c r="F107" s="0" t="inlineStr">
        <is>
          <t>NULL</t>
        </is>
      </c>
      <c r="G107" s="0" t="inlineStr">
        <is>
          <t>NULL</t>
        </is>
      </c>
      <c r="H107" s="0" t="inlineStr">
        <is>
          <t>NULL</t>
        </is>
      </c>
      <c r="I107" s="0" t="inlineStr">
        <is>
          <t>NULL</t>
        </is>
      </c>
      <c r="J107" s="0" t="inlineStr">
        <is>
          <t>NULL</t>
        </is>
      </c>
      <c r="K107" s="0" t="inlineStr">
        <is>
          <t xml:space="preserve"> NO!  	 c_real列源备映射错误，源端为real None位	期望更改为text	实际备端为real None位</t>
        </is>
      </c>
      <c r="AI107" s="0" t="inlineStr">
        <is>
          <t xml:space="preserve">15行 2列，源：𧿹䗪䒦𠀀               备：上海英方股份有限公司          </t>
        </is>
      </c>
      <c r="AM107" s="0" t="inlineStr">
        <is>
          <t>8行 16列，源：1.2345669834560371e-20 备：0.000000</t>
        </is>
      </c>
      <c r="AP107" s="0" t="inlineStr">
        <is>
          <t>53行 0列，源：156 备：53</t>
        </is>
      </c>
      <c r="AS107" s="0" t="inlineStr">
        <is>
          <t>8行 13列，源：None 备：</t>
        </is>
      </c>
      <c r="AZ107" s="0" t="inlineStr">
        <is>
          <t xml:space="preserve">15行 2列，源：𧿹䗪䒦𠀀               备：上海英方股份有限公司          </t>
        </is>
      </c>
      <c r="BE107" s="0" t="inlineStr">
        <is>
          <t>12行 5列，源：1945-05-11 14:30:45.123500 备：9999-12-31 23:59:59.9999</t>
        </is>
      </c>
      <c r="BG107" s="0" t="inlineStr">
        <is>
          <t>7行 6列，源：None 备：</t>
        </is>
      </c>
      <c r="BI107" s="0" t="inlineStr">
        <is>
          <t>11行 6列，源：2065-05-11 14:30:45.123460 备：9999-12-31 23:59:59.99999</t>
        </is>
      </c>
      <c r="BJ107" s="0" t="inlineStr">
        <is>
          <t>6行 15列，源：123.456789 备：</t>
        </is>
      </c>
      <c r="BL107" s="0" t="inlineStr">
        <is>
          <t xml:space="preserve">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O107" s="0" t="inlineStr">
        <is>
          <t>15行 2列，源：𧿹䗪䒦𠀀 备：上海英方股份有限公司</t>
        </is>
      </c>
      <c r="BP107" s="0" t="inlineStr">
        <is>
          <t>26行 2列，源：b'~!@#$%^&amp;*]\x00\x00\x00\x00\x00\x00\x00\x00\x00\x00' 备：5661726961626C65206C656E6774682062696E61</t>
        </is>
      </c>
      <c r="BV107" s="0" t="inlineStr">
        <is>
          <t>11行 6列，源：2025-05-12 00:00:00.00000 -14:00 备：2000-05-11 00:30:45.12346 +09:00</t>
        </is>
      </c>
      <c r="BX107" s="0" t="inlineStr">
        <is>
          <t>11行 6列，源：2025-05-12 00:00:00.00000 -14:00 备：2013-03-12 02:00:00.00000 -04:25</t>
        </is>
      </c>
      <c r="BY107" s="0" t="inlineStr">
        <is>
          <t>11行 6列，源：2025-05-12 00:00:00.00000 -14:00 备：2000-05-11 00:30:45.12346 +09:00</t>
        </is>
      </c>
      <c r="CB107" s="0" t="inlineStr">
        <is>
          <t>15行 2列，源：0001-01-01 00:00:00.0 +00:00 备：1900-01-01 00:00:00.0 +00:00</t>
        </is>
      </c>
      <c r="CM107" s="0" t="inlineStr">
        <is>
          <t>7行 17列，源：None 备：1000000.0000</t>
        </is>
      </c>
      <c r="DA107" s="0" t="inlineStr">
        <is>
          <t>7行 5列，源：None 备：</t>
        </is>
      </c>
      <c r="DH107" s="0" t="inlineStr">
        <is>
          <t>15行 2列，源：𧿹䗪䒦𠀀 备：上海英方股份有限公司</t>
        </is>
      </c>
      <c r="DJ107" s="0" t="inlineStr">
        <is>
          <t>12行 5列，源：None 备：12:30:45.1200</t>
        </is>
      </c>
      <c r="DL107" s="0" t="inlineStr">
        <is>
          <t>13行 8列，源：12:00:00.123456 备：23:59:59.9999999</t>
        </is>
      </c>
      <c r="DN107" s="0" t="inlineStr">
        <is>
          <t>15行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T107" s="0" t="inlineStr">
        <is>
          <t>12行 5列，源：None 备：12:30:45.1200</t>
        </is>
      </c>
      <c r="DU107" s="0" t="inlineStr">
        <is>
          <t>26行 2列，源：b'~!@#$%^&amp;*]' 备：5661726961626C65206C656E6774682062696E61</t>
        </is>
      </c>
      <c r="DX107" s="0" t="inlineStr">
        <is>
          <t>7行 1列，源：0.0 备：</t>
        </is>
      </c>
      <c r="EC107" s="0" t="inlineStr">
        <is>
          <t>12行 5列，源：None 备：12:30:45.1000</t>
        </is>
      </c>
      <c r="EG107" s="0" t="inlineStr">
        <is>
          <t>13行 0列，源：14 备：7</t>
        </is>
      </c>
      <c r="EH107" s="0" t="inlineStr">
        <is>
          <t>7行 1列，源：0.0 备：</t>
        </is>
      </c>
      <c r="EP107" s="0" t="inlineStr">
        <is>
          <t>7行 1列，源：0.0 备：</t>
        </is>
      </c>
      <c r="ES107" s="0" t="inlineStr">
        <is>
          <t>7行 1列，源：0.0 备：</t>
        </is>
      </c>
      <c r="ET107" s="0" t="inlineStr">
        <is>
          <t>11行 6列，源：2025-05-12 00:00:00.00000 -14:00 备：2000-05-11 00:30:45.12346 +09:00</t>
        </is>
      </c>
    </row>
    <row r="108">
      <c r="B108" s="0" t="inlineStr">
        <is>
          <t>NULL</t>
        </is>
      </c>
      <c r="C108" s="0" t="inlineStr">
        <is>
          <t>NULL</t>
        </is>
      </c>
      <c r="D108" s="0" t="inlineStr">
        <is>
          <t>NULL</t>
        </is>
      </c>
      <c r="E108" s="0" t="inlineStr">
        <is>
          <t>NULL</t>
        </is>
      </c>
      <c r="F108" s="0" t="inlineStr">
        <is>
          <t>NULL</t>
        </is>
      </c>
      <c r="G108" s="0" t="inlineStr">
        <is>
          <t>NULL</t>
        </is>
      </c>
      <c r="H108" s="0" t="inlineStr">
        <is>
          <t>NULL</t>
        </is>
      </c>
      <c r="I108" s="0" t="inlineStr">
        <is>
          <t>NULL</t>
        </is>
      </c>
      <c r="J108" s="0" t="inlineStr">
        <is>
          <t>NULL</t>
        </is>
      </c>
      <c r="K108" s="0" t="inlineStr">
        <is>
          <t xml:space="preserve"> NO!  	 c_money列源备映射错误，源端为money None位	期望更改为text	实际备端为money None位</t>
        </is>
      </c>
      <c r="AI108" s="0" t="inlineStr">
        <is>
          <t xml:space="preserve">15行 2列，源：𧿹䗪䒦𠀀               备：上海英方股份有限公司          </t>
        </is>
      </c>
      <c r="AM108" s="0" t="inlineStr">
        <is>
          <t>8行 18列，源：None 备：-1234.5678</t>
        </is>
      </c>
      <c r="AP108" s="0" t="inlineStr">
        <is>
          <t>53行 1列，源：2020-02-29 19:27:31.123000 备：1753-01-01 00:00:00.000</t>
        </is>
      </c>
      <c r="AS108" s="0" t="inlineStr">
        <is>
          <t>8行 14列，源：None 备：</t>
        </is>
      </c>
      <c r="AZ108" s="0" t="inlineStr">
        <is>
          <t xml:space="preserve">15行 2列，源：𧿹䗪䒦𠀀               备：上海英方股份有限公司          </t>
        </is>
      </c>
      <c r="BE108" s="0" t="inlineStr">
        <is>
          <t>12行 6列，源：1945-05-11 14:30:45.123460 备：9999-12-31 23:59:59.99999</t>
        </is>
      </c>
      <c r="BG108" s="0" t="inlineStr">
        <is>
          <t>7行 7列，源：None 备：</t>
        </is>
      </c>
      <c r="BI108" s="0" t="inlineStr">
        <is>
          <t>11行 7列，源：2065-05-11 14:30:45.123457 备：9999-12-31 23:59:59.999999</t>
        </is>
      </c>
      <c r="BJ108" s="0" t="inlineStr">
        <is>
          <t>6行 16列，源：nan 备：</t>
        </is>
      </c>
      <c r="BL108" s="0" t="inlineStr">
        <is>
          <t>19行 0列，源：71 备：6</t>
        </is>
      </c>
      <c r="BO108" s="0" t="inlineStr">
        <is>
          <t>15行 2列，源：𧿹䗪䒦𠀀 备：上海英方股份有限公司</t>
        </is>
      </c>
      <c r="BP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BV108" s="0" t="inlineStr">
        <is>
          <t>11行 7列，源：2025-05-12 00:00:00.000000 -14:00 备：2000-05-11 00:30:45.123457 +09:00</t>
        </is>
      </c>
      <c r="BX108" s="0" t="inlineStr">
        <is>
          <t>11行 7列，源：2025-05-12 00:00:00.000000 -14:00 备：2013-03-12 02:00:00.000000 -04:25</t>
        </is>
      </c>
      <c r="BY108" s="0" t="inlineStr">
        <is>
          <t>11行 7列，源：2025-05-12 00:00:00.000000 -14:00 备：2000-05-11 00:30:45.123457 +09:00</t>
        </is>
      </c>
      <c r="CB108" s="0" t="inlineStr">
        <is>
          <t>15行 3列，源：0001-01-01 00:00:00.00 +00:00 备：1900-01-01 00:00:00.00 +00:00</t>
        </is>
      </c>
      <c r="CM108" s="0" t="inlineStr">
        <is>
          <t>7行 18列，源：None 备：20000.0000</t>
        </is>
      </c>
      <c r="DA108" s="0" t="inlineStr">
        <is>
          <t>7行 6列，源：None 备：</t>
        </is>
      </c>
      <c r="DH108" s="0" t="inlineStr">
        <is>
          <t>15行 2列，源：𧿹䗪䒦𠀀 备：上海英方股份有限公司</t>
        </is>
      </c>
      <c r="DJ108" s="0" t="inlineStr">
        <is>
          <t>12行 6列，源：00:00:01.123460 备：12:30:45.12000</t>
        </is>
      </c>
      <c r="DL108" s="0" t="inlineStr">
        <is>
          <t>14行 0列，源：15 备：24</t>
        </is>
      </c>
      <c r="DN108" s="0" t="inlineStr">
        <is>
          <t>19行 0列，源：71 备：6</t>
        </is>
      </c>
      <c r="DT108" s="0" t="inlineStr">
        <is>
          <t>12行 6列，源：00:00:01.123460 备：12:30:45.12000</t>
        </is>
      </c>
      <c r="DU108" s="0" t="inlineStr">
        <is>
          <t>26行 3列，源：b'~!@#$%^&amp;*]~!@#$%^&amp;*]~!@#$%^&amp;*]~!@#$%^&amp;*]~!@#$%^&amp;*]~!@#$%^&amp;*]~!@#$%^&amp;*]~!@#$%^&amp;*]~!@#$%^&amp;*]~!@#$%^&amp;*]~!@#$%^&amp;*]~!@#$%^&amp;*]~!@#$%^&amp;*]~!@#$%^&amp;*]~!@#$%^&amp;*]~!@#$%^&amp;*]~!@#$%^&amp;*]~!@#$%^&amp;*]~!@#$%^&amp;*]~!@#$%^&amp;*]' 备：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54657374</t>
        </is>
      </c>
      <c r="DX108" s="0" t="inlineStr">
        <is>
          <t>7行 2列，源：-32768.0 备：</t>
        </is>
      </c>
      <c r="EC108" s="0" t="inlineStr">
        <is>
          <t>12行 6列，源：00:00:01.123460 备：12:30:45.10000</t>
        </is>
      </c>
      <c r="EG108" s="0" t="inlineStr">
        <is>
          <t>13行 1列，源：None 备：12:30:45</t>
        </is>
      </c>
      <c r="EH108" s="0" t="inlineStr">
        <is>
          <t>7行 2列，源：-32768.0 备：</t>
        </is>
      </c>
      <c r="EP108" s="0" t="inlineStr">
        <is>
          <t>7行 2列，源：-32768.0 备：</t>
        </is>
      </c>
      <c r="ES108" s="0" t="inlineStr">
        <is>
          <t>7行 2列，源：-32768.0 备：</t>
        </is>
      </c>
      <c r="ET108" s="0" t="inlineStr">
        <is>
          <t>11行 7列，源：2025-05-12 00:00:00.000000 -14:00 备：2000-05-11 00:30:45.123457 +09:00</t>
        </is>
      </c>
    </row>
    <row r="109">
      <c r="B109" s="0" t="inlineStr">
        <is>
          <t>NULL</t>
        </is>
      </c>
      <c r="C109" s="0" t="inlineStr">
        <is>
          <t>NULL</t>
        </is>
      </c>
      <c r="D109" s="0" t="inlineStr">
        <is>
          <t>NULL</t>
        </is>
      </c>
      <c r="E109" s="0" t="inlineStr">
        <is>
          <t>NULL</t>
        </is>
      </c>
      <c r="F109" s="0" t="inlineStr">
        <is>
          <t>NULL</t>
        </is>
      </c>
      <c r="G109" s="0" t="inlineStr">
        <is>
          <t>NULL</t>
        </is>
      </c>
      <c r="H109" s="0" t="inlineStr">
        <is>
          <t>NULL</t>
        </is>
      </c>
      <c r="I109" s="0" t="inlineStr">
        <is>
          <t>NULL</t>
        </is>
      </c>
      <c r="J109" s="0" t="inlineStr">
        <is>
          <t>NULL</t>
        </is>
      </c>
      <c r="K109" s="0" t="inlineStr">
        <is>
          <t xml:space="preserve"> NO!  	 c_smallmoney列源备映射错误，源端为smallmoney None位	期望更改为text	实际备端为smallmoney None位</t>
        </is>
      </c>
      <c r="AI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M109" s="0" t="inlineStr">
        <is>
          <t>8行 19列，源：False 备：0</t>
        </is>
      </c>
      <c r="AP109" s="0" t="inlineStr">
        <is>
          <t>54行 0列，源：157 备：54</t>
        </is>
      </c>
      <c r="AS109" s="0" t="inlineStr">
        <is>
          <t>8行 15列，源：1.23456789012345e-30 备：0.0000000000000</t>
        </is>
      </c>
      <c r="AZ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E109" s="0" t="inlineStr">
        <is>
          <t>12行 7列，源：1945-05-11 14:30:45.123457 备：9999-12-31 23:59:59.999999</t>
        </is>
      </c>
      <c r="BG109" s="0" t="inlineStr">
        <is>
          <t>7行 8列，源：None 备：</t>
        </is>
      </c>
      <c r="BI109" s="0" t="inlineStr">
        <is>
          <t>11行 8列，源：2065-05-11 14:30:45.123456 备：9999-12-31 23:59:59.9999999</t>
        </is>
      </c>
      <c r="BJ109" s="0" t="inlineStr">
        <is>
          <t>6行 17列，源：None 备：</t>
        </is>
      </c>
      <c r="BL109" s="0" t="inlineStr">
        <is>
          <t>19行 1列，源：None 备：Y</t>
        </is>
      </c>
      <c r="BO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09" s="0" t="inlineStr">
        <is>
          <t>27行 0列，源：80 备：76</t>
        </is>
      </c>
      <c r="BV109" s="0" t="inlineStr">
        <is>
          <t>11行 8列，源：2025-05-11 23:59:59.9999999 -14:00 备：2000-05-11 00:30:45.1234567 +09:00</t>
        </is>
      </c>
      <c r="BX109" s="0" t="inlineStr">
        <is>
          <t>11行 8列，源：2025-05-11 23:59:59.9999999 -14:00 备：2013-03-12 02:00:00.0000000 -04:25</t>
        </is>
      </c>
      <c r="BY109" s="0" t="inlineStr">
        <is>
          <t>11行 8列，源：2025-05-11 23:59:59.9999999 -14:00 备：2000-05-11 00:30:45.1234567 +09:00</t>
        </is>
      </c>
      <c r="CB109" s="0" t="inlineStr">
        <is>
          <t>15行 4列，源：0001-01-01 00:00:00.000 +00:00 备：1900-01-01 00:00:00.000 +00:00</t>
        </is>
      </c>
      <c r="CM109" s="0" t="inlineStr">
        <is>
          <t>7行 19列，源：None 备：</t>
        </is>
      </c>
      <c r="DA109" s="0" t="inlineStr">
        <is>
          <t>7行 7列，源：None 备：</t>
        </is>
      </c>
      <c r="DH109"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09" s="0" t="inlineStr">
        <is>
          <t>12行 7列，源：None 备：12:30:45.120000</t>
        </is>
      </c>
      <c r="DL109" s="0" t="inlineStr">
        <is>
          <t>14行 1列，源：00:00:01 备：12:30:45</t>
        </is>
      </c>
      <c r="DN109" s="0" t="inlineStr">
        <is>
          <t>19行 1列，源：None 备：Y</t>
        </is>
      </c>
      <c r="DT109" s="0" t="inlineStr">
        <is>
          <t>12行 7列，源：None 备：12:30:45.120000</t>
        </is>
      </c>
      <c r="DU109" s="0" t="inlineStr">
        <is>
          <t>27行 0列，源：80 备：76</t>
        </is>
      </c>
      <c r="DX109" s="0" t="inlineStr">
        <is>
          <t>7行 3列，源：-2147483648.0 备：</t>
        </is>
      </c>
      <c r="EC109" s="0" t="inlineStr">
        <is>
          <t>12行 7列，源：None 备：12:30:45.100000</t>
        </is>
      </c>
      <c r="EG109" s="0" t="inlineStr">
        <is>
          <t>13行 2列，源：12:00:00.100000 备：12:30:45.1</t>
        </is>
      </c>
      <c r="EH109" s="0" t="inlineStr">
        <is>
          <t>7行 3列，源：-2147483648.0 备：</t>
        </is>
      </c>
      <c r="EP109" s="0" t="inlineStr">
        <is>
          <t>7行 3列，源：-2147483648.0 备：</t>
        </is>
      </c>
      <c r="ES109" s="0" t="inlineStr">
        <is>
          <t>7行 3列，源：-2147483648.0 备：</t>
        </is>
      </c>
      <c r="ET109" s="0" t="inlineStr">
        <is>
          <t>11行 8列，源：2025-05-11 23:59:59.9999999 -14:00 备：2000-05-11 00:30:45.1234567 +09:00</t>
        </is>
      </c>
    </row>
    <row r="110">
      <c r="B110" s="0" t="inlineStr">
        <is>
          <t>NULL</t>
        </is>
      </c>
      <c r="C110" s="0" t="inlineStr">
        <is>
          <t>NULL</t>
        </is>
      </c>
      <c r="D110" s="0" t="inlineStr">
        <is>
          <t>NULL</t>
        </is>
      </c>
      <c r="E110" s="0" t="inlineStr">
        <is>
          <t>NULL</t>
        </is>
      </c>
      <c r="F110" s="0" t="inlineStr">
        <is>
          <t>NULL</t>
        </is>
      </c>
      <c r="G110" s="0" t="inlineStr">
        <is>
          <t>NULL</t>
        </is>
      </c>
      <c r="H110" s="0" t="inlineStr">
        <is>
          <t>NULL</t>
        </is>
      </c>
      <c r="I110" s="0" t="inlineStr">
        <is>
          <t>NULL</t>
        </is>
      </c>
      <c r="J110" s="0" t="inlineStr">
        <is>
          <t>NULL</t>
        </is>
      </c>
      <c r="K110" s="0" t="inlineStr">
        <is>
          <t xml:space="preserve"> NO!  	 c_bit列源备映射错误，源端为bit None位	期望更改为text	实际备端为bit None位</t>
        </is>
      </c>
      <c r="AI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AM110" s="0" t="inlineStr">
        <is>
          <t>9行 0列，源：10 备：18</t>
        </is>
      </c>
      <c r="AP110" s="0" t="inlineStr">
        <is>
          <t>54行 1列，源：2000-05-11 14:30:29 备：9999-12-31 23:59:59.997</t>
        </is>
      </c>
      <c r="AS110" s="0" t="inlineStr">
        <is>
          <t>8行 16列，源：1.2345669834560371e-20 备：0.000000</t>
        </is>
      </c>
      <c r="AZ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E110" s="0" t="inlineStr">
        <is>
          <t>12行 8列，源：1945-05-11 14:30:45.123456 备：9999-12-31 23:59:59.9999999</t>
        </is>
      </c>
      <c r="BG110" s="0" t="inlineStr">
        <is>
          <t>7行 9列，源：None 备：</t>
        </is>
      </c>
      <c r="BI110" s="0" t="inlineStr">
        <is>
          <t>12行 0列，源：103 备：53</t>
        </is>
      </c>
      <c r="BJ110" s="0" t="inlineStr">
        <is>
          <t>6行 18列，源：None 备：</t>
        </is>
      </c>
      <c r="BL110" s="0" t="inlineStr">
        <is>
          <t xml:space="preserve">19行 2列，源：None 备：€¶I€¶               </t>
        </is>
      </c>
      <c r="BO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BP110" s="0" t="inlineStr">
        <is>
          <t>27行 1列，源：b'*' 备：70</t>
        </is>
      </c>
      <c r="BV110" s="0" t="inlineStr">
        <is>
          <t>12行 0列，源：13 备：9</t>
        </is>
      </c>
      <c r="BX110" s="0" t="inlineStr">
        <is>
          <t>12行 0列，源：13 备：131</t>
        </is>
      </c>
      <c r="BY110" s="0" t="inlineStr">
        <is>
          <t>12行 0列，源：13 备：9</t>
        </is>
      </c>
      <c r="CB110" s="0" t="inlineStr">
        <is>
          <t>15行 5列，源：0001-01-01 00:00:00.0000 +00:00 备：1900-01-01 00:00:00.0000 +00:00</t>
        </is>
      </c>
      <c r="CM110" s="0" t="inlineStr">
        <is>
          <t>8行 0列，源：9 备：17</t>
        </is>
      </c>
      <c r="DA110" s="0" t="inlineStr">
        <is>
          <t>7行 8列，源：None 备：</t>
        </is>
      </c>
      <c r="DH110" s="0" t="inlineStr">
        <is>
          <t>15行 3列，源：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 备：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t>
        </is>
      </c>
      <c r="DJ110" s="0" t="inlineStr">
        <is>
          <t>12行 8列，源：00:00:01.123456 备：12:30:45.1200000</t>
        </is>
      </c>
      <c r="DL110" s="0" t="inlineStr">
        <is>
          <t>14行 2列，源：None 备：12:30:45.0</t>
        </is>
      </c>
      <c r="DN110" s="0" t="inlineStr">
        <is>
          <t>19行 2列，源：None 备：€¶I€¶</t>
        </is>
      </c>
      <c r="DT110" s="0" t="inlineStr">
        <is>
          <t>12行 8列，源：00:00:01.123456 备：12:30:45.1200000</t>
        </is>
      </c>
      <c r="DU110" s="0" t="inlineStr">
        <is>
          <t>27行 1列，源：b'*' 备：A1</t>
        </is>
      </c>
      <c r="DX110" s="0" t="inlineStr">
        <is>
          <t>7行 4列，源：-9.223372036854776e+18 备：</t>
        </is>
      </c>
      <c r="EC110" s="0" t="inlineStr">
        <is>
          <t>12行 8列，源：00:00:01.123456 备：12:30:45.1000000</t>
        </is>
      </c>
      <c r="EG110" s="0" t="inlineStr">
        <is>
          <t>13行 3列，源：None 备：12:30:45.12</t>
        </is>
      </c>
      <c r="EH110" s="0" t="inlineStr">
        <is>
          <t>7行 4列，源：-9.223372036854776e+18 备：</t>
        </is>
      </c>
      <c r="EP110" s="0" t="inlineStr">
        <is>
          <t>7行 4列，源：-9.223372036854776e+18 备：</t>
        </is>
      </c>
      <c r="ES110" s="0" t="inlineStr">
        <is>
          <t>7行 4列，源：-9.223372036854776e+18 备：</t>
        </is>
      </c>
      <c r="ET110" s="0" t="inlineStr">
        <is>
          <t>12行 0列，源：13 备：9</t>
        </is>
      </c>
    </row>
    <row r="111">
      <c r="A111" s="0" t="inlineStr">
        <is>
          <t>info_xml_dml_single_pk_urp</t>
        </is>
      </c>
      <c r="K111" s="0" t="inlineStr">
        <is>
          <t>[0;34m info_xml_dml_single_pk_urp [0m源备字段数相同，源端字段：2 	备端字段2</t>
        </is>
      </c>
      <c r="W111" s="2">
        <f>HYPERLINK("#2026041905hbase4!AN2","NO 源备存在差异，共5个")</f>
        <v/>
      </c>
      <c r="X111" s="0">
        <f>A111</f>
        <v/>
      </c>
      <c r="AM111" s="0" t="inlineStr">
        <is>
          <t>9行 2列，源：-12345.0 备：</t>
        </is>
      </c>
      <c r="AP111" s="0" t="inlineStr">
        <is>
          <t>55行 0列，源：159 备：55</t>
        </is>
      </c>
      <c r="AS111" s="0" t="inlineStr">
        <is>
          <t>8行 18列，源：None 备：-1234.5678</t>
        </is>
      </c>
      <c r="BE111" s="0" t="inlineStr">
        <is>
          <t>13行 0列，源：27 备：227</t>
        </is>
      </c>
      <c r="BG111" s="0" t="inlineStr">
        <is>
          <t>7行 10列，源：None 备：</t>
        </is>
      </c>
      <c r="BI111" s="0" t="inlineStr">
        <is>
          <t>12行 2列，源：2026-04-17 17:17:33.400000 备：2026-04-17 17:17:33.4</t>
        </is>
      </c>
      <c r="BJ111" s="0" t="inlineStr">
        <is>
          <t>6行 19列，源：True 备：</t>
        </is>
      </c>
      <c r="BL111" s="0" t="inlineStr">
        <is>
          <t xml:space="preserve">19行 3列，源：None 备：€¶I€¶€¶I€¶€¶I€¶€¶I€¶€¶I€¶€¶I€¶€¶I€¶€¶I€¶€¶I€¶€¶I€¶€¶I€¶€¶I€¶€¶I€¶€¶I€¶€¶I€¶€¶I€¶€¶I€¶€¶I€¶€¶I€¶€¶I€¶€¶I€¶€¶I€¶€¶I€¶€¶I€¶€¶I€¶€¶I€¶€¶I€¶€¶I€¶€¶I€¶€¶I€¶€¶I€¶€¶I€¶€¶I€¶€¶I€¶€¶I€¶€¶I€¶€¶I€¶€¶I€¶€¶I€¶€¶I€¶€¶I€¶€¶I€¶€¶I€¶€¶I€¶€¶I€¶€¶I€¶€¶I€¶€¶I€¶€¶I€¶€¶I€¶€¶I€¶€¶I€¶€¶I€¶€¶I€¶€¶I€¶€¶I€¶€¶I€¶€¶I€¶€¶I€¶€¶I€¶€¶I€¶€¶I€¶€¶I€¶€¶I€¶€¶I€¶€¶I€¶€¶I€¶€¶I€¶€¶I€¶€¶I€¶€¶I€¶€¶I€¶€¶I€¶€¶I€¶€¶I€¶€¶I€¶€¶I€¶€¶I€¶€¶I€¶€¶I€¶€¶I€¶€¶I€¶€¶I€¶€¶I€¶€¶I€¶€¶I€¶€¶I€¶€¶I€¶€¶I€¶€¶I€¶€¶I€¶€¶I€¶€¶I€¶€¶I€¶€¶I€¶€¶I€¶€¶I€¶€¶I€¶€¶I€¶€¶I€¶€¶I€¶€¶I€¶€¶I€¶€¶I€¶€¶I€¶€¶I€¶€¶I€¶€¶I€¶€¶I€¶€¶I€¶€¶I€¶€¶I€¶€¶I€¶€¶I€¶€¶I€¶€¶I€¶€¶I€¶€¶I€¶€¶I€¶€¶I€¶€¶I€¶€¶I€¶€¶I€¶€¶I€¶€¶I€¶€¶I€¶€¶I€¶€¶I€¶€¶I€¶€¶I€¶€¶I€¶€¶I€¶€¶I€¶€¶I€¶€¶I€¶€¶I€¶€¶I€¶€¶I€¶€¶I€¶€¶I€¶€¶I€¶€¶I€¶€¶I€¶€¶I€¶€¶I€¶€¶I€¶€¶I€¶€¶I€¶€¶I€¶€¶I€¶€¶I€¶€¶I€¶€¶I€¶€¶I€¶€¶I€¶€¶I€¶€¶I€¶€¶I€¶€¶I€¶€¶I€¶€¶I€¶€¶I€¶€¶I€¶€¶I€¶€¶I€¶€¶I€¶€¶I€¶€¶I€¶€¶I€¶€¶I€¶€¶I€¶€¶I€¶€¶I€¶€¶I€¶€¶I€¶€¶I€¶€¶I€¶€¶I€¶€¶I€¶€¶I€¶€¶I€¶€¶I€¶€¶I€¶€¶I€¶€¶I€¶€¶I€¶€¶I€¶€¶I€¶€¶I€¶€¶I€¶€¶I€¶€¶I€¶€¶I€¶€¶I€¶€¶I€¶€¶I€¶€¶I€¶€¶I€¶€¶I€¶€¶I€¶                                                                                                                                                                                                                                                                                                                                                                                                                                                                                                                                                                                                                                                                                                                                                                                                                                                                                                                                                                                                                                                                                                                                                                                                                                                                                                                                                                                                                                                                                                                                                                                                                                                                                                                                                                                                                                                                                                                                                                                                                                                                                                                                                                                                                                                                                                                                                                                                                                                                                                                                                                                                    </t>
        </is>
      </c>
      <c r="BP111" s="0" t="inlineStr">
        <is>
          <t>27行 2列，源：b'12345678901234567890' 备：327391B2CAEBBB33387BF93BC613762F886C2282</t>
        </is>
      </c>
      <c r="BV111" s="0" t="inlineStr">
        <is>
          <t>12行 1列，源：1971-05-11 00:00:00 +14:00 备：1999-05-16 01:30:45 +10:15</t>
        </is>
      </c>
      <c r="BX111" s="0" t="inlineStr">
        <is>
          <t>12行 1列，源：1971-05-11 00:00:00 +14:00 备：2003-11-05 02:00:00 -05:10</t>
        </is>
      </c>
      <c r="BY111" s="0" t="inlineStr">
        <is>
          <t>12行 1列，源：1971-05-11 00:00:00 +14:00 备：1999-05-16 01:30:45 +10:15</t>
        </is>
      </c>
      <c r="CB111" s="0" t="inlineStr">
        <is>
          <t>15行 6列，源：0001-01-01 00:00:00.00000 +00:00 备：1900-01-01 00:00:00.00000 +00:00</t>
        </is>
      </c>
      <c r="CM111" s="0" t="inlineStr">
        <is>
          <t>8行 1列，源：nan 备：</t>
        </is>
      </c>
      <c r="DA111" s="0" t="inlineStr">
        <is>
          <t>7行 9列，源：None 备：</t>
        </is>
      </c>
      <c r="DJ111" s="0" t="inlineStr">
        <is>
          <t>13行 0列，源：14 备：7</t>
        </is>
      </c>
      <c r="DL111" s="0" t="inlineStr">
        <is>
          <t>14行 3列，源：00:00:01.120000 备：12:30:45.00</t>
        </is>
      </c>
      <c r="DN111" s="0" t="inlineStr">
        <is>
          <t>19行 3列，源：None 备：€¶I€¶€¶I€¶€¶I€¶€¶I€¶€¶I€¶€¶I€¶€¶I€¶€¶I€¶€¶I€¶€¶I€¶€¶I€¶€¶I€¶€¶I€¶€¶I€¶€¶I€¶€¶I€¶€¶I€¶€¶I€¶€¶I€¶€¶I€¶€¶I€¶€¶I€¶€¶I€¶€¶I€¶€¶I€¶€¶I€¶€¶I€¶€¶I€¶€¶I€¶€¶I€¶€¶I€¶€¶I€¶€¶I€¶€¶I€¶€¶I€¶€¶I€¶€¶I€¶€¶I€¶€¶I€¶€¶I€¶€¶I€¶€¶I€¶€¶I€¶€¶I€¶€¶I€¶€¶I€¶€¶I€¶€¶I€¶€¶I€¶€¶I€¶€¶I€¶€¶I€¶€¶I€¶€¶I€¶€¶I€¶€¶I€¶€¶I€¶€¶I€¶€¶I€¶€¶I€¶€¶I€¶€¶I€¶€¶I€¶€¶I€¶€¶I€¶€¶I€¶€¶I€¶€¶I€¶€¶I€¶€¶I€¶€¶I€¶€¶I€¶€¶I€¶€¶I€¶€¶I€¶€¶I€¶€¶I€¶€¶I€¶€¶I€¶€¶I€¶€¶I€¶€¶I€¶€¶I€¶€¶I€¶€¶I€¶€¶I€¶€¶I€¶€¶I€¶€¶I€¶€¶I€¶€¶I€¶€¶I€¶€¶I€¶€¶I€¶€¶I€¶€¶I€¶€¶I€¶€¶I€¶€¶I€¶€¶I€¶€¶I€¶€¶I€¶€¶I€¶€¶I€¶€¶I€¶€¶I€¶€¶I€¶€¶I€¶€¶I€¶€¶I€¶€¶I€¶€¶I€¶€¶I€¶€¶I€¶€¶I€¶€¶I€¶€¶I€¶€¶I€¶€¶I€¶€¶I€¶€¶I€¶€¶I€¶€¶I€¶€¶I€¶€¶I€¶€¶I€¶€¶I€¶€¶I€¶€¶I€¶€¶I€¶€¶I€¶€¶I€¶€¶I€¶€¶I€¶€¶I€¶€¶I€¶€¶I€¶€¶I€¶€¶I€¶€¶I€¶€¶I€¶€¶I€¶€¶I€¶€¶I€¶€¶I€¶€¶I€¶€¶I€¶€¶I€¶€¶I€¶€¶I€¶€¶I€¶€¶I€¶€¶I€¶€¶I€¶€¶I€¶€¶I€¶€¶I€¶€¶I€¶€¶I€¶€¶I€¶€¶I€¶€¶I€¶€¶I€¶€¶I€¶€¶I€¶€¶I€¶€¶I€¶€¶I€¶€¶I€¶€¶I€¶€¶I€¶€¶I€¶€¶I€¶€¶I€¶€¶I€¶€¶I€¶€¶I€¶€¶I€¶€¶I€¶€¶I€¶€¶I€¶€¶I€¶€¶I€¶€¶I€¶€¶I€¶€¶I€¶€¶I€¶€¶I€¶€¶I€¶€¶I€¶€¶I€¶€¶I€¶€¶I€¶€¶I€¶€¶I€¶€¶I€¶€¶I€¶€¶I€¶€¶I€¶€¶I€¶</t>
        </is>
      </c>
      <c r="DT111" s="0" t="inlineStr">
        <is>
          <t>13行 0列，源：14 备：7</t>
        </is>
      </c>
      <c r="DU111" s="0" t="inlineStr">
        <is>
          <t>27行 2列，源：b'12345678901234567890' 备：AD7ED41B1D00F92B45F25CF2229E24D477C63B5F7EF7CDF51E30E1613DE5498552FD76F5566B4B803FCBEB0B7FB9183DC9CBCAFAB6B920AE14DA302E3AEC4B6BE492E02B0FF485065D94B138BF11875CF2C74E23094E3A16D0558E47C5A60E4646AAD94B</t>
        </is>
      </c>
      <c r="DX111" s="0" t="inlineStr">
        <is>
          <t>7行 5列，源：None 备：</t>
        </is>
      </c>
      <c r="EC111" s="0" t="inlineStr">
        <is>
          <t>13行 0列，源：14 备：57</t>
        </is>
      </c>
      <c r="EG111" s="0" t="inlineStr">
        <is>
          <t>13行 4列，源：12:00:00.123000 备：12:30:45.123</t>
        </is>
      </c>
      <c r="EH111" s="0" t="inlineStr">
        <is>
          <t>7行 5列，源：None 备：</t>
        </is>
      </c>
      <c r="EP111" s="0" t="inlineStr">
        <is>
          <t>7行 5列，源：None 备：</t>
        </is>
      </c>
      <c r="ES111" s="0" t="inlineStr">
        <is>
          <t>7行 5列，源：None 备：</t>
        </is>
      </c>
      <c r="ET111" s="0" t="inlineStr">
        <is>
          <t>12行 1列，源：1971-05-11 00:00:00 +14:00 备：1999-05-16 01:30:45 +10:15</t>
        </is>
      </c>
    </row>
    <row r="112">
      <c r="B112" s="0" t="inlineStr">
        <is>
          <t>YES</t>
        </is>
      </c>
      <c r="C112" s="0" t="inlineStr">
        <is>
          <t>NULL</t>
        </is>
      </c>
      <c r="D112" s="0" t="inlineStr">
        <is>
          <t>NULL</t>
        </is>
      </c>
      <c r="E112" s="0" t="inlineStr">
        <is>
          <t>NULL</t>
        </is>
      </c>
      <c r="F112" s="0" t="inlineStr">
        <is>
          <t>NULL</t>
        </is>
      </c>
      <c r="G112" s="0" t="inlineStr">
        <is>
          <t>NULL</t>
        </is>
      </c>
      <c r="H112" s="0" t="inlineStr">
        <is>
          <t>NULL</t>
        </is>
      </c>
      <c r="I112" s="0" t="inlineStr">
        <is>
          <t>YES!PK__info_xml__3213E83F248D068F</t>
        </is>
      </c>
      <c r="J112" s="0" t="inlineStr">
        <is>
          <t>YES! 主键相关索引</t>
        </is>
      </c>
      <c r="K112" s="0" t="inlineStr">
        <is>
          <t xml:space="preserve"> NO!  	 id列源备映射错误，源端为int None位	期望更改为text	实际备端为int None位</t>
        </is>
      </c>
      <c r="AM112" s="0" t="inlineStr">
        <is>
          <t>9行 5列，源：None 备：</t>
        </is>
      </c>
      <c r="AP112" s="0" t="inlineStr">
        <is>
          <t>55行 1列，源：1981-05-11 14:30:59 备：2026-04-17 17:16:25.287</t>
        </is>
      </c>
      <c r="AS112" s="0" t="inlineStr">
        <is>
          <t>8行 19列，源：False 备：0</t>
        </is>
      </c>
      <c r="BE112" s="0" t="inlineStr">
        <is>
          <t>13行 2列，源：2065-05-11 14:30:45.100000 备：2065-05-11 14:30:45.1</t>
        </is>
      </c>
      <c r="BG112" s="0" t="inlineStr">
        <is>
          <t>7行 11列，源：None 备：</t>
        </is>
      </c>
      <c r="BI112" s="0" t="inlineStr">
        <is>
          <t>12行 3列，源：2026-04-17 17:17:33.410000 备：2026-04-17 17:17:33.41</t>
        </is>
      </c>
      <c r="BJ112" s="0" t="inlineStr">
        <is>
          <t>7行 0列，源：9 备：16</t>
        </is>
      </c>
      <c r="BL112" s="0" t="inlineStr">
        <is>
          <t>20行 0列，源：72 备：7</t>
        </is>
      </c>
      <c r="BP112" s="0" t="inlineStr">
        <is>
          <t>27行 3列，源：b'12345678901234567890123456789012345678901234567890123456789012345678901234567890123456789012345678901234567890123456789012345678901234567890123456789012345678901234567890123456789012345678901234567890' 备：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t>
        </is>
      </c>
      <c r="BV112" s="0" t="inlineStr">
        <is>
          <t>12行 2列，源：1971-05-11 00:00:00.0 +14:00 备：1999-05-16 01:30:45.1 +10:15</t>
        </is>
      </c>
      <c r="BX112" s="0" t="inlineStr">
        <is>
          <t>12行 2列，源：1971-05-11 00:00:00.0 +14:00 备：2003-11-05 02:00:00.0 -05:10</t>
        </is>
      </c>
      <c r="BY112" s="0" t="inlineStr">
        <is>
          <t>12行 2列，源：1971-05-11 00:00:00.0 +14:00 备：1999-05-16 01:30:45.1 +10:15</t>
        </is>
      </c>
      <c r="CB112" s="0" t="inlineStr">
        <is>
          <t>15行 7列，源：0001-01-01 00:00:00.000000 +00:00 备：1900-01-01 00:00:00.000000 +00:00</t>
        </is>
      </c>
      <c r="CM112" s="0" t="inlineStr">
        <is>
          <t>8行 2列，源：nan 备：</t>
        </is>
      </c>
      <c r="DA112" s="0" t="inlineStr">
        <is>
          <t>7行 10列，源：None 备：</t>
        </is>
      </c>
      <c r="DJ112" s="0" t="inlineStr">
        <is>
          <t>13行 1列，源：None 备：12:30:45</t>
        </is>
      </c>
      <c r="DL112" s="0" t="inlineStr">
        <is>
          <t>14行 4列，源：None 备：12:30:45.000</t>
        </is>
      </c>
      <c r="DN112" s="0" t="inlineStr">
        <is>
          <t>20行 0列，源：72 备：7</t>
        </is>
      </c>
      <c r="DT112" s="0" t="inlineStr">
        <is>
          <t>13行 1列，源：None 备：12:30:45</t>
        </is>
      </c>
      <c r="DU112" s="0" t="inlineStr">
        <is>
          <t>27行 3列，源：b'12345678901234567890123456789012345678901234567890123456789012345678901234567890123456789012345678901234567890123456789012345678901234567890123456789012345678901234567890123456789012345678901234567890' 备：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t>
        </is>
      </c>
      <c r="DX112" s="0" t="inlineStr">
        <is>
          <t>7行 6列，源：None 备：</t>
        </is>
      </c>
      <c r="EC112" s="0" t="inlineStr">
        <is>
          <t>13行 1列，源：None 备：12:30:45</t>
        </is>
      </c>
      <c r="EG112" s="0" t="inlineStr">
        <is>
          <t>13行 5列，源：None 备：12:30:45.1230</t>
        </is>
      </c>
      <c r="EH112" s="0" t="inlineStr">
        <is>
          <t>7行 6列，源：None 备：</t>
        </is>
      </c>
      <c r="EP112" s="0" t="inlineStr">
        <is>
          <t>7行 6列，源：None 备：</t>
        </is>
      </c>
      <c r="ES112" s="0" t="inlineStr">
        <is>
          <t>7行 6列，源：None 备：</t>
        </is>
      </c>
      <c r="ET112" s="0" t="inlineStr">
        <is>
          <t>12行 2列，源：1971-05-11 00:00:00.0 +14:00 备：1999-05-16 01:30:45.1 +10:15</t>
        </is>
      </c>
    </row>
    <row r="113">
      <c r="B113" s="0" t="inlineStr">
        <is>
          <t>NULL</t>
        </is>
      </c>
      <c r="C113" s="0" t="inlineStr">
        <is>
          <t>NULL</t>
        </is>
      </c>
      <c r="D113" s="0" t="inlineStr">
        <is>
          <t>NULL</t>
        </is>
      </c>
      <c r="E113" s="0" t="inlineStr">
        <is>
          <t>NULL</t>
        </is>
      </c>
      <c r="F113" s="0" t="inlineStr">
        <is>
          <t>NULL</t>
        </is>
      </c>
      <c r="G113" s="0" t="inlineStr">
        <is>
          <t>NULL</t>
        </is>
      </c>
      <c r="H113" s="0" t="inlineStr">
        <is>
          <t>NULL</t>
        </is>
      </c>
      <c r="I113" s="0" t="inlineStr">
        <is>
          <t>NULL</t>
        </is>
      </c>
      <c r="J113" s="0" t="inlineStr">
        <is>
          <t>NULL</t>
        </is>
      </c>
      <c r="K113" s="0" t="inlineStr">
        <is>
          <t xml:space="preserve"> NO!  	 c_xml列源备映射错误，源端为xml -1位	期望更改为text	实际备端为xml -1位</t>
        </is>
      </c>
      <c r="AM113" s="0" t="inlineStr">
        <is>
          <t>9行 6列，源：None 备：</t>
        </is>
      </c>
      <c r="AP113" s="0" t="inlineStr">
        <is>
          <t>56行 0列，源：160 备：56</t>
        </is>
      </c>
      <c r="AS113" s="0" t="inlineStr">
        <is>
          <t>9行 0列，源：10 备：18</t>
        </is>
      </c>
      <c r="BE113" s="0" t="inlineStr">
        <is>
          <t>13行 3列，源：2065-05-11 14:30:45.120000 备：2065-05-11 14:30:45.12</t>
        </is>
      </c>
      <c r="BG113" s="0" t="inlineStr">
        <is>
          <t>7行 12列，源：None 备：</t>
        </is>
      </c>
      <c r="BI113" s="0" t="inlineStr">
        <is>
          <t>12行 4列，源：2026-04-17 17:17:33.413000 备：2026-04-17 17:17:33.413</t>
        </is>
      </c>
      <c r="BJ113" s="0" t="inlineStr">
        <is>
          <t>7行 1列，源：42.0 备：</t>
        </is>
      </c>
      <c r="BL113" s="0" t="inlineStr">
        <is>
          <t>20行 1列，源：  备：测</t>
        </is>
      </c>
      <c r="BP113" s="0" t="inlineStr">
        <is>
          <t>28行 0列，源：123 备：77</t>
        </is>
      </c>
      <c r="BV113" s="0" t="inlineStr">
        <is>
          <t>12行 3列，源：1971-05-11 00:00:00.00 +14:00 备：1999-05-16 01:30:45.12 +10:15</t>
        </is>
      </c>
      <c r="BX113" s="0" t="inlineStr">
        <is>
          <t>12行 3列，源：1971-05-11 00:00:00.00 +14:00 备：2003-11-05 02:00:00.00 -05:10</t>
        </is>
      </c>
      <c r="BY113" s="0" t="inlineStr">
        <is>
          <t>12行 3列，源：1971-05-11 00:00:00.00 +14:00 备：1999-05-16 01:30:45.12 +10:15</t>
        </is>
      </c>
      <c r="CB113" s="0" t="inlineStr">
        <is>
          <t>15行 8列，源：0001-01-01 00:00:00.0000000 +00:00 备：1900-01-01 00:00:00.0000000 +00:00</t>
        </is>
      </c>
      <c r="CM113" s="0" t="inlineStr">
        <is>
          <t>8行 3列，源：nan 备：</t>
        </is>
      </c>
      <c r="DA113" s="0" t="inlineStr">
        <is>
          <t>7行 11列，源：None 备：</t>
        </is>
      </c>
      <c r="DJ113" s="0" t="inlineStr">
        <is>
          <t>13行 2列，源：12:00:00.100000 备：12:30:45.1</t>
        </is>
      </c>
      <c r="DL113" s="0" t="inlineStr">
        <is>
          <t>14行 5列，源：00:00:01.123500 备：12:30:45.0000</t>
        </is>
      </c>
      <c r="DN113" s="0" t="inlineStr">
        <is>
          <t>20行 1列，源： 备：测</t>
        </is>
      </c>
      <c r="DT113" s="0" t="inlineStr">
        <is>
          <t>13行 2列，源：12:00:00.100000 备：12:30:45.1</t>
        </is>
      </c>
      <c r="DU113" s="0" t="inlineStr">
        <is>
          <t>28行 0列，源：123 备：77</t>
        </is>
      </c>
      <c r="DX113" s="0" t="inlineStr">
        <is>
          <t>7行 7列，源：None 备：</t>
        </is>
      </c>
      <c r="EC113" s="0" t="inlineStr">
        <is>
          <t>13行 2列，源：12:00:00.100000 备：12:30:45.1</t>
        </is>
      </c>
      <c r="EG113" s="0" t="inlineStr">
        <is>
          <t>13行 6列，源：12:00:00.123460 备：12:30:45.12300</t>
        </is>
      </c>
      <c r="EH113" s="0" t="inlineStr">
        <is>
          <t>7行 7列，源：None 备：</t>
        </is>
      </c>
      <c r="EP113" s="0" t="inlineStr">
        <is>
          <t>7行 7列，源：None 备：</t>
        </is>
      </c>
      <c r="ES113" s="0" t="inlineStr">
        <is>
          <t>7行 7列，源：None 备：</t>
        </is>
      </c>
      <c r="ET113" s="0" t="inlineStr">
        <is>
          <t>12行 3列，源：1971-05-11 00:00:00.00 +14:00 备：1999-05-16 01:30:45.12 +10:15</t>
        </is>
      </c>
    </row>
    <row r="114">
      <c r="A114" s="0" t="inlineStr">
        <is>
          <t>info_datetime_dml_batch1_pk_irp1</t>
        </is>
      </c>
      <c r="K114" s="0" t="inlineStr">
        <is>
          <t>[0;34m info_datetime_dml_batch1_pk_irp1 [0m源备字段数相同，源端字段：2 	备端字段2</t>
        </is>
      </c>
      <c r="W114" s="2">
        <f>HYPERLINK("#2026041905hbase4!AO2","NO 源备存在差异，共47个")</f>
        <v/>
      </c>
      <c r="X114" s="0">
        <f>A114</f>
        <v/>
      </c>
      <c r="AM114" s="0" t="inlineStr">
        <is>
          <t>9行 7列，源：None 备：</t>
        </is>
      </c>
      <c r="AP114" s="0" t="inlineStr">
        <is>
          <t>56行 1列，源：1996-03-03 23:59:59.997000 备：2020-02-29 19:27:31.123</t>
        </is>
      </c>
      <c r="AS114" s="0" t="inlineStr">
        <is>
          <t>9行 2列，源：0.0 备：0</t>
        </is>
      </c>
      <c r="BE114" s="0" t="inlineStr">
        <is>
          <t>13行 4列，源：2065-05-11 14:30:45.123000 备：2065-05-11 14:30:45.123</t>
        </is>
      </c>
      <c r="BG114" s="0" t="inlineStr">
        <is>
          <t>7行 13列，源：None 备：</t>
        </is>
      </c>
      <c r="BI114" s="0" t="inlineStr">
        <is>
          <t>12行 5列，源：2026-04-17 17:17:33.413300 备：2026-04-17 17:17:33.4133</t>
        </is>
      </c>
      <c r="BJ114" s="0" t="inlineStr">
        <is>
          <t>7行 2列，源：0.0 备：</t>
        </is>
      </c>
      <c r="BL114" s="0" t="inlineStr">
        <is>
          <t>20行 1列，源：  备：测</t>
        </is>
      </c>
      <c r="BP114" s="0" t="inlineStr">
        <is>
          <t>28行 1列，源：b'\x00' 备：54</t>
        </is>
      </c>
      <c r="BV114" s="0" t="inlineStr">
        <is>
          <t>12行 4列，源：1971-05-11 00:00:00.000 +14:00 备：1999-05-16 01:30:45.123 +10:15</t>
        </is>
      </c>
      <c r="BX114" s="0" t="inlineStr">
        <is>
          <t>12行 4列，源：1971-05-11 00:00:00.000 +14:00 备：2003-11-05 02:00:00.000 -05:10</t>
        </is>
      </c>
      <c r="BY114" s="0" t="inlineStr">
        <is>
          <t>12行 4列，源：1971-05-11 00:00:00.000 +14:00 备：1999-05-16 01:30:45.123 +10:15</t>
        </is>
      </c>
      <c r="CB114" s="0" t="inlineStr">
        <is>
          <t>16行 0列，源：55 备：203</t>
        </is>
      </c>
      <c r="CM114" s="0" t="inlineStr">
        <is>
          <t>8行 4列，源：nan 备：</t>
        </is>
      </c>
      <c r="DA114" s="0" t="inlineStr">
        <is>
          <t>7行 12列，源：None 备：</t>
        </is>
      </c>
      <c r="DJ114" s="0" t="inlineStr">
        <is>
          <t>13行 3列，源：None 备：12:30:45.12</t>
        </is>
      </c>
      <c r="DL114" s="0" t="inlineStr">
        <is>
          <t>14行 6列，源：None 备：12:30:45.00000</t>
        </is>
      </c>
      <c r="DN114" s="0" t="inlineStr">
        <is>
          <t>20行 1列，源： 备：测</t>
        </is>
      </c>
      <c r="DT114" s="0" t="inlineStr">
        <is>
          <t>13行 3列，源：None 备：12:30:45.12</t>
        </is>
      </c>
      <c r="DU114" s="0" t="inlineStr">
        <is>
          <t>28行 1列，源：b'' 备：54</t>
        </is>
      </c>
      <c r="DX114" s="0" t="inlineStr">
        <is>
          <t>7行 8列，源：None 备：</t>
        </is>
      </c>
      <c r="EC114" s="0" t="inlineStr">
        <is>
          <t>13行 3列，源：None 备：12:30:45.12</t>
        </is>
      </c>
      <c r="EG114" s="0" t="inlineStr">
        <is>
          <t>13行 7列，源：None 备：12:30:45.123000</t>
        </is>
      </c>
      <c r="EH114" s="0" t="inlineStr">
        <is>
          <t>7行 8列，源：None 备：</t>
        </is>
      </c>
      <c r="EP114" s="0" t="inlineStr">
        <is>
          <t>7行 8列，源：None 备：</t>
        </is>
      </c>
      <c r="ES114" s="0" t="inlineStr">
        <is>
          <t>7行 8列，源：None 备：</t>
        </is>
      </c>
      <c r="ET114" s="0" t="inlineStr">
        <is>
          <t>12行 4列，源：1971-05-11 00:00:00.000 +14:00 备：1999-05-16 01:30:45.123 +10:15</t>
        </is>
      </c>
    </row>
    <row r="115">
      <c r="B115" s="0" t="inlineStr">
        <is>
          <t>YES</t>
        </is>
      </c>
      <c r="C115" s="0" t="inlineStr">
        <is>
          <t>NULL</t>
        </is>
      </c>
      <c r="D115" s="0" t="inlineStr">
        <is>
          <t>NULL</t>
        </is>
      </c>
      <c r="E115" s="0" t="inlineStr">
        <is>
          <t>NULL</t>
        </is>
      </c>
      <c r="F115" s="0" t="inlineStr">
        <is>
          <t>NULL</t>
        </is>
      </c>
      <c r="G115" s="0" t="inlineStr">
        <is>
          <t>NULL</t>
        </is>
      </c>
      <c r="H115" s="0" t="inlineStr">
        <is>
          <t>NULL</t>
        </is>
      </c>
      <c r="I115" s="0" t="inlineStr">
        <is>
          <t>YES!PK__info_dat__3213E83F50262958</t>
        </is>
      </c>
      <c r="J115" s="0" t="inlineStr">
        <is>
          <t>YES! 主键相关索引</t>
        </is>
      </c>
      <c r="K115" s="0" t="inlineStr">
        <is>
          <t xml:space="preserve"> NO!  	 id列源备映射错误，源端为int None位	期望更改为text	实际备端为int None位</t>
        </is>
      </c>
      <c r="AM115" s="0" t="inlineStr">
        <is>
          <t>9行 8列，源：None 备：</t>
        </is>
      </c>
      <c r="AP115" s="0" t="inlineStr">
        <is>
          <t>57行 0列，源：161 备：57</t>
        </is>
      </c>
      <c r="AS115" s="0" t="inlineStr">
        <is>
          <t>9行 6列，源：None 备：</t>
        </is>
      </c>
      <c r="BE115" s="0" t="inlineStr">
        <is>
          <t>13行 5列，源：2065-05-11 14:30:45.123500 备：2065-05-11 14:30:45.1235</t>
        </is>
      </c>
      <c r="BG115" s="0" t="inlineStr">
        <is>
          <t>7行 14列，源：None 备：</t>
        </is>
      </c>
      <c r="BI115" s="0" t="inlineStr">
        <is>
          <t>12行 6列，源：2026-04-17 17:17:33.413300 备：2026-04-17 17:17:33.41330</t>
        </is>
      </c>
      <c r="BJ115" s="0" t="inlineStr">
        <is>
          <t>7行 3列，源：0.0 备：</t>
        </is>
      </c>
      <c r="BL115" s="0" t="inlineStr">
        <is>
          <t xml:space="preserve">20行 2列，源：                     备：这是一个长字符串            </t>
        </is>
      </c>
      <c r="BP115" s="0" t="inlineStr">
        <is>
          <t>28行 2列，源：b'\x00\x00\x00\x00\x00\x00\x00\x00\x00\x00\x00\x00\x00\x00\x00\x00\x00\x00\x00\x00' 备：48656C6C6F576F726C6400000000000000000000</t>
        </is>
      </c>
      <c r="BV115" s="0" t="inlineStr">
        <is>
          <t>12行 5列，源：1971-05-11 00:00:00.0000 +14:00 备：1999-05-16 01:30:45.1235 +10:15</t>
        </is>
      </c>
      <c r="BX115" s="0" t="inlineStr">
        <is>
          <t>12行 5列，源：1971-05-11 00:00:00.0000 +14:00 备：2003-11-05 02:00:00.0000 -05:10</t>
        </is>
      </c>
      <c r="BY115" s="0" t="inlineStr">
        <is>
          <t>12行 5列，源：1971-05-11 00:00:00.0000 +14:00 备：1999-05-16 01:30:45.1235 +10:15</t>
        </is>
      </c>
      <c r="CB115" s="0" t="inlineStr">
        <is>
          <t>16行 1列，源：9999-12-31 23:59:59 +00:00 备：2026-04-17 17:18:32 +08:00</t>
        </is>
      </c>
      <c r="CM115" s="0" t="inlineStr">
        <is>
          <t>8行 5列，源：None 备：</t>
        </is>
      </c>
      <c r="DA115" s="0" t="inlineStr">
        <is>
          <t>7行 13列，源：None 备：</t>
        </is>
      </c>
      <c r="DJ115" s="0" t="inlineStr">
        <is>
          <t>13行 4列，源：12:00:00.123000 备：12:30:45.123</t>
        </is>
      </c>
      <c r="DL115" s="0" t="inlineStr">
        <is>
          <t>14行 7列，源：00:00:01.123457 备：12:30:45.000000</t>
        </is>
      </c>
      <c r="DN115" s="0" t="inlineStr">
        <is>
          <t>20行 2列，源： 备：这是一个长字符串</t>
        </is>
      </c>
      <c r="DT115" s="0" t="inlineStr">
        <is>
          <t>13行 4列，源：12:00:00.123000 备：12:30:45.123</t>
        </is>
      </c>
      <c r="DU115" s="0" t="inlineStr">
        <is>
          <t>28行 2列，源：b'' 备：48656C6C6F576F726C64</t>
        </is>
      </c>
      <c r="DX115" s="0" t="inlineStr">
        <is>
          <t>7行 9列，源：None 备：</t>
        </is>
      </c>
      <c r="EC115" s="0" t="inlineStr">
        <is>
          <t>13行 4列，源：12:00:00.123000 备：12:30:45.123</t>
        </is>
      </c>
      <c r="EG115" s="0" t="inlineStr">
        <is>
          <t>13行 8列，源：12:00:00.123456 备：12:30:45.1230000</t>
        </is>
      </c>
      <c r="EH115" s="0" t="inlineStr">
        <is>
          <t>7行 9列，源：None 备：</t>
        </is>
      </c>
      <c r="EP115" s="0" t="inlineStr">
        <is>
          <t>7行 9列，源：None 备：</t>
        </is>
      </c>
      <c r="ES115" s="0" t="inlineStr">
        <is>
          <t>7行 9列，源：None 备：</t>
        </is>
      </c>
      <c r="ET115" s="0" t="inlineStr">
        <is>
          <t>12行 5列，源：1971-05-11 00:00:00.0000 +14:00 备：1999-05-16 01:30:45.1235 +10:15</t>
        </is>
      </c>
    </row>
    <row r="116">
      <c r="B116" s="0" t="inlineStr">
        <is>
          <t>NULL</t>
        </is>
      </c>
      <c r="C116" s="0" t="inlineStr">
        <is>
          <t>NULL</t>
        </is>
      </c>
      <c r="D116" s="0" t="inlineStr">
        <is>
          <t>NULL</t>
        </is>
      </c>
      <c r="E116" s="0" t="inlineStr">
        <is>
          <t>NULL</t>
        </is>
      </c>
      <c r="F116" s="0" t="inlineStr">
        <is>
          <t>NULL</t>
        </is>
      </c>
      <c r="G116" s="0" t="inlineStr">
        <is>
          <t>NULL</t>
        </is>
      </c>
      <c r="H116" s="0" t="inlineStr">
        <is>
          <t>NULL</t>
        </is>
      </c>
      <c r="I116" s="0" t="inlineStr">
        <is>
          <t>NULL</t>
        </is>
      </c>
      <c r="J116" s="0" t="inlineStr">
        <is>
          <t>NULL</t>
        </is>
      </c>
      <c r="K116" s="0" t="inlineStr">
        <is>
          <t xml:space="preserve"> NO!  	 c_datetime列源备映射错误，源端为datetime None位	期望更改为text	实际备端为datetime None位</t>
        </is>
      </c>
      <c r="AM116" s="0" t="inlineStr">
        <is>
          <t>9行 10列，源：None 备：</t>
        </is>
      </c>
      <c r="AP116" s="0" t="inlineStr">
        <is>
          <t>57行 1列，源：1997-04-04 23:59:59.997000 备：2000-05-11 14:30:29.000</t>
        </is>
      </c>
      <c r="AS116" s="0" t="inlineStr">
        <is>
          <t>9行 7列，源：None 备：</t>
        </is>
      </c>
      <c r="BE116" s="0" t="inlineStr">
        <is>
          <t>13行 6列，源：2065-05-11 14:30:45.123460 备：2065-05-11 14:30:45.12346</t>
        </is>
      </c>
      <c r="BG116" s="0" t="inlineStr">
        <is>
          <t>7行 15列，源：-1.23456789e+38 备：0.0000000000000</t>
        </is>
      </c>
      <c r="BI116" s="0" t="inlineStr">
        <is>
          <t>13行 0列，源：105 备：54</t>
        </is>
      </c>
      <c r="BJ116" s="0" t="inlineStr">
        <is>
          <t>7行 4列，源：0.0 备：</t>
        </is>
      </c>
      <c r="BL116" s="0" t="inlineStr">
        <is>
          <t xml:space="preserve">20行 2列，源：                     备：这是一个长字符串            </t>
        </is>
      </c>
      <c r="BP116" s="0" t="inlineStr">
        <is>
          <t>28行 3列，源：b'\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is>
      </c>
      <c r="BV116" s="0" t="inlineStr">
        <is>
          <t>12行 6列，源：1971-05-11 00:00:00.00000 +14:00 备：1999-05-16 01:30:45.12346 +10:15</t>
        </is>
      </c>
      <c r="BX116" s="0" t="inlineStr">
        <is>
          <t>12行 6列，源：1971-05-11 00:00:00.00000 +14:00 备：2003-11-05 02:00:00.00000 -05:10</t>
        </is>
      </c>
      <c r="BY116" s="0" t="inlineStr">
        <is>
          <t>12行 6列，源：1971-05-11 00:00:00.00000 +14:00 备：1999-05-16 01:30:45.12346 +10:15</t>
        </is>
      </c>
      <c r="CB116" s="0" t="inlineStr">
        <is>
          <t>16行 2列，源：9999-12-31 23:59:59.9 +00:00 备：2026-04-17 17:18:31.5 +08:00</t>
        </is>
      </c>
      <c r="CM116" s="0" t="inlineStr">
        <is>
          <t>8行 6列，源：None 备：</t>
        </is>
      </c>
      <c r="DA116" s="0" t="inlineStr">
        <is>
          <t>7行 14列，源：None 备：</t>
        </is>
      </c>
      <c r="DJ116" s="0" t="inlineStr">
        <is>
          <t>13行 5列，源：None 备：12:30:45.1230</t>
        </is>
      </c>
      <c r="DL116" s="0" t="inlineStr">
        <is>
          <t>14行 8列，源：None 备：12:30:45.0000000</t>
        </is>
      </c>
      <c r="DN116" s="0" t="inlineStr">
        <is>
          <t>20行 2列，源： 备：这是一个长字符串</t>
        </is>
      </c>
      <c r="DT116" s="0" t="inlineStr">
        <is>
          <t>13行 5列，源：None 备：12:30:45.1230</t>
        </is>
      </c>
      <c r="DU116" s="0" t="inlineStr">
        <is>
          <t>28行 3列，源：b'' 备：48656C6C6F576F726C645465737444617461</t>
        </is>
      </c>
      <c r="DX116" s="0" t="inlineStr">
        <is>
          <t>7行 10列，源：None 备：</t>
        </is>
      </c>
      <c r="EC116" s="0" t="inlineStr">
        <is>
          <t>13行 5列，源：None 备：12:30:45.1230</t>
        </is>
      </c>
      <c r="EG116" s="0" t="inlineStr">
        <is>
          <t>14行 0列，源：15 备：8</t>
        </is>
      </c>
      <c r="EH116" s="0" t="inlineStr">
        <is>
          <t>7行 10列，源：None 备：</t>
        </is>
      </c>
      <c r="EP116" s="0" t="inlineStr">
        <is>
          <t>7行 10列，源：None 备：</t>
        </is>
      </c>
      <c r="ES116" s="0" t="inlineStr">
        <is>
          <t>7行 10列，源：None 备：</t>
        </is>
      </c>
      <c r="ET116" s="0" t="inlineStr">
        <is>
          <t>12行 6列，源：1971-05-11 00:00:00.00000 +14:00 备：1999-05-16 01:30:45.12346 +10:15</t>
        </is>
      </c>
    </row>
    <row r="117">
      <c r="A117" s="0" t="inlineStr">
        <is>
          <t>info_datetime_dml_batch1_pk_irp2</t>
        </is>
      </c>
      <c r="K117" s="0" t="inlineStr">
        <is>
          <t>[0;34m info_datetime_dml_batch1_pk_irp2 [0m源备字段数相同，源端字段：2 	备端字段2</t>
        </is>
      </c>
      <c r="W117" s="2">
        <f>HYPERLINK("#2026041905hbase4!AP2","NO 源备存在差异，共156个")</f>
        <v/>
      </c>
      <c r="X117" s="0">
        <f>A117</f>
        <v/>
      </c>
      <c r="AM117" s="0" t="inlineStr">
        <is>
          <t>9行 11列，源：None 备：</t>
        </is>
      </c>
      <c r="AP117" s="0" t="inlineStr">
        <is>
          <t>58行 0列，源：162 备：58</t>
        </is>
      </c>
      <c r="AS117" s="0" t="inlineStr">
        <is>
          <t>9行 8列，源：None 备：</t>
        </is>
      </c>
      <c r="BE117" s="0" t="inlineStr">
        <is>
          <t>14行 0列，源：74 备：23</t>
        </is>
      </c>
      <c r="BG117" s="0" t="inlineStr">
        <is>
          <t>7行 16列，源：-3.4028230607370965e+38 备：0.000000</t>
        </is>
      </c>
      <c r="BI117" s="0" t="inlineStr">
        <is>
          <t>13行 1列，源：9999-12-31 23:59:59 备：0001-01-01 00:00:00</t>
        </is>
      </c>
      <c r="BJ117" s="0" t="inlineStr">
        <is>
          <t>7行 6列，源：None 备：</t>
        </is>
      </c>
      <c r="BL117"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P117" s="0" t="inlineStr">
        <is>
          <t>29行 0列，源：124 备：78</t>
        </is>
      </c>
      <c r="BV117" s="0" t="inlineStr">
        <is>
          <t>12行 7列，源：1971-05-11 00:00:00.000000 +14:00 备：1999-05-16 01:30:45.123457 +10:15</t>
        </is>
      </c>
      <c r="BX117" s="0" t="inlineStr">
        <is>
          <t>12行 7列，源：1971-05-11 00:00:00.000000 +14:00 备：2003-11-05 02:00:00.000000 -05:10</t>
        </is>
      </c>
      <c r="BY117" s="0" t="inlineStr">
        <is>
          <t>12行 7列，源：1971-05-11 00:00:00.000000 +14:00 备：1999-05-16 01:30:45.123457 +10:15</t>
        </is>
      </c>
      <c r="CB117" s="0" t="inlineStr">
        <is>
          <t>16行 3列，源：9999-12-31 23:59:59.99 +00:00 备：2026-04-17 17:18:31.54 +08:00</t>
        </is>
      </c>
      <c r="CM117" s="0" t="inlineStr">
        <is>
          <t>8行 7列，源：None 备：</t>
        </is>
      </c>
      <c r="DA117" s="0" t="inlineStr">
        <is>
          <t>7行 15列，源：nan 备：</t>
        </is>
      </c>
      <c r="DJ117" s="0" t="inlineStr">
        <is>
          <t>13行 6列，源：12:00:00.123460 备：12:30:45.12300</t>
        </is>
      </c>
      <c r="DL117" s="0" t="inlineStr">
        <is>
          <t>15行 0列，源：16 备：25</t>
        </is>
      </c>
      <c r="DN117"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117" s="0" t="inlineStr">
        <is>
          <t>13行 6列，源：12:00:00.123460 备：12:30:45.12300</t>
        </is>
      </c>
      <c r="DU117" s="0" t="inlineStr">
        <is>
          <t>29行 0列，源：124 备：78</t>
        </is>
      </c>
      <c r="DX117" s="0" t="inlineStr">
        <is>
          <t>7行 11列，源：None 备：</t>
        </is>
      </c>
      <c r="EC117" s="0" t="inlineStr">
        <is>
          <t>13行 6列，源：12:00:00.123460 备：12:30:45.12300</t>
        </is>
      </c>
      <c r="EG117" s="0" t="inlineStr">
        <is>
          <t>14行 1列，源：00:00:01 备：09:12:34</t>
        </is>
      </c>
      <c r="EH117" s="0" t="inlineStr">
        <is>
          <t>7行 11列，源：None 备：</t>
        </is>
      </c>
      <c r="EP117" s="0" t="inlineStr">
        <is>
          <t>7行 11列，源：None 备：</t>
        </is>
      </c>
      <c r="ES117" s="0" t="inlineStr">
        <is>
          <t>7行 11列，源：None 备：</t>
        </is>
      </c>
      <c r="ET117" s="0" t="inlineStr">
        <is>
          <t>12行 7列，源：1971-05-11 00:00:00.000000 +14:00 备：1999-05-16 01:30:45.123457 +10:15</t>
        </is>
      </c>
    </row>
    <row r="118">
      <c r="B118" s="0" t="inlineStr">
        <is>
          <t>YES</t>
        </is>
      </c>
      <c r="C118" s="0" t="inlineStr">
        <is>
          <t>NULL</t>
        </is>
      </c>
      <c r="D118" s="0" t="inlineStr">
        <is>
          <t>NULL</t>
        </is>
      </c>
      <c r="E118" s="0" t="inlineStr">
        <is>
          <t>NULL</t>
        </is>
      </c>
      <c r="F118" s="0" t="inlineStr">
        <is>
          <t>NULL</t>
        </is>
      </c>
      <c r="G118" s="0" t="inlineStr">
        <is>
          <t>NULL</t>
        </is>
      </c>
      <c r="H118" s="0" t="inlineStr">
        <is>
          <t>NULL</t>
        </is>
      </c>
      <c r="I118" s="0" t="inlineStr">
        <is>
          <t>YES!PK__info_dat__3213E83FEBF995EB</t>
        </is>
      </c>
      <c r="J118" s="0" t="inlineStr">
        <is>
          <t>YES! 主键相关索引</t>
        </is>
      </c>
      <c r="K118" s="0" t="inlineStr">
        <is>
          <t xml:space="preserve"> NO!  	 id列源备映射错误，源端为int None位	期望更改为text	实际备端为int None位</t>
        </is>
      </c>
      <c r="AM118" s="0" t="inlineStr">
        <is>
          <t>9行 12列，源：None 备：</t>
        </is>
      </c>
      <c r="AP118" s="0" t="inlineStr">
        <is>
          <t>58行 1列，源：1998-05-05 23:59:59.997000 备：2068-05-11 14:30:30.000</t>
        </is>
      </c>
      <c r="AS118" s="0" t="inlineStr">
        <is>
          <t>9行 10列，源：None 备：</t>
        </is>
      </c>
      <c r="BE118" s="0" t="inlineStr">
        <is>
          <t>14行 1列，源：0001-01-01 00:00:00 备：2026-04-17 17:17:25</t>
        </is>
      </c>
      <c r="BG118" s="0" t="inlineStr">
        <is>
          <t>7行 19列，源：False 备：1</t>
        </is>
      </c>
      <c r="BI118" s="0" t="inlineStr">
        <is>
          <t>13行 2列，源：9999-12-31 23:59:59.900000 备：0001-01-01 00:00:00.0</t>
        </is>
      </c>
      <c r="BJ118" s="0" t="inlineStr">
        <is>
          <t>7行 7列，源：None 备：</t>
        </is>
      </c>
      <c r="BL118" s="0" t="inlineStr">
        <is>
          <t xml:space="preserve">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P118" s="0" t="inlineStr">
        <is>
          <t>29行 1列，源：b' ' 备：42</t>
        </is>
      </c>
      <c r="BV118" s="0" t="inlineStr">
        <is>
          <t>12行 8列，源：1971-05-11 00:00:00.0000001 +14:00 备：1999-05-16 01:30:45.1234567 +10:15</t>
        </is>
      </c>
      <c r="BX118" s="0" t="inlineStr">
        <is>
          <t>12行 8列，源：1971-05-11 00:00:00.0000001 +14:00 备：2003-11-05 02:00:00.0000000 -05:10</t>
        </is>
      </c>
      <c r="BY118" s="0" t="inlineStr">
        <is>
          <t>12行 8列，源：1971-05-11 00:00:00.0000001 +14:00 备：1999-05-16 01:30:45.1234567 +10:15</t>
        </is>
      </c>
      <c r="CB118" s="0" t="inlineStr">
        <is>
          <t>16行 4列，源：9999-12-31 23:59:59.999 +00:00 备：2026-04-17 17:18:31.537 +08:00</t>
        </is>
      </c>
      <c r="CM118" s="0" t="inlineStr">
        <is>
          <t>8行 9列，源：None 备：</t>
        </is>
      </c>
      <c r="DA118" s="0" t="inlineStr">
        <is>
          <t>7行 16列，源：nan 备：</t>
        </is>
      </c>
      <c r="DJ118" s="0" t="inlineStr">
        <is>
          <t>13行 7列，源：None 备：12:30:45.123000</t>
        </is>
      </c>
      <c r="DL118" s="0" t="inlineStr">
        <is>
          <t>15行 1列，源：12:00:00 备：12:30:45</t>
        </is>
      </c>
      <c r="DN118" s="0" t="inlineStr">
        <is>
          <t>20行 3列，源：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T118" s="0" t="inlineStr">
        <is>
          <t>13行 7列，源：None 备：12:30:45.123000</t>
        </is>
      </c>
      <c r="DU118" s="0" t="inlineStr">
        <is>
          <t>29行 1列，源：b' ' 备：42</t>
        </is>
      </c>
      <c r="DX118" s="0" t="inlineStr">
        <is>
          <t>7行 12列，源：None 备：</t>
        </is>
      </c>
      <c r="EC118" s="0" t="inlineStr">
        <is>
          <t>13行 7列，源：None 备：12:30:45.123000</t>
        </is>
      </c>
      <c r="EG118" s="0" t="inlineStr">
        <is>
          <t>14行 2列，源：05:44:11.100000 备：12:30:45.1</t>
        </is>
      </c>
      <c r="EH118" s="0" t="inlineStr">
        <is>
          <t>7行 12列，源：None 备：</t>
        </is>
      </c>
      <c r="EP118" s="0" t="inlineStr">
        <is>
          <t>7行 12列，源：None 备：</t>
        </is>
      </c>
      <c r="ES118" s="0" t="inlineStr">
        <is>
          <t>7行 12列，源：None 备：</t>
        </is>
      </c>
      <c r="ET118" s="0" t="inlineStr">
        <is>
          <t>12行 8列，源：1971-05-11 00:00:00.0000001 +14:00 备：1999-05-16 01:30:45.1234567 +10:15</t>
        </is>
      </c>
    </row>
    <row r="119">
      <c r="B119" s="0" t="inlineStr">
        <is>
          <t>NULL</t>
        </is>
      </c>
      <c r="C119" s="0" t="inlineStr">
        <is>
          <t>NULL</t>
        </is>
      </c>
      <c r="D119" s="0" t="inlineStr">
        <is>
          <t>NULL</t>
        </is>
      </c>
      <c r="E119" s="0" t="inlineStr">
        <is>
          <t>NULL</t>
        </is>
      </c>
      <c r="F119" s="0" t="inlineStr">
        <is>
          <t>NULL</t>
        </is>
      </c>
      <c r="G119" s="0" t="inlineStr">
        <is>
          <t>NULL</t>
        </is>
      </c>
      <c r="H119" s="0" t="inlineStr">
        <is>
          <t>NULL</t>
        </is>
      </c>
      <c r="I119" s="0" t="inlineStr">
        <is>
          <t>NULL</t>
        </is>
      </c>
      <c r="J119" s="0" t="inlineStr">
        <is>
          <t>NULL</t>
        </is>
      </c>
      <c r="K119" s="0" t="inlineStr">
        <is>
          <t xml:space="preserve"> NO!  	 c_datetime列源备映射错误，源端为datetime None位	期望更改为text	实际备端为datetime None位</t>
        </is>
      </c>
      <c r="AM119" s="0" t="inlineStr">
        <is>
          <t>9行 13列，源：None 备：</t>
        </is>
      </c>
      <c r="AP119" s="0" t="inlineStr">
        <is>
          <t>59行 0列，源：163 备：59</t>
        </is>
      </c>
      <c r="AS119" s="0" t="inlineStr">
        <is>
          <t>9行 11列，源：None 备：</t>
        </is>
      </c>
      <c r="BE119" s="0" t="inlineStr">
        <is>
          <t>14行 2列，源：0001-01-01 00:00:00 备：2026-04-17 17:17:24.6</t>
        </is>
      </c>
      <c r="BG119" s="0" t="inlineStr">
        <is>
          <t>8行 0列，源：18 备：19</t>
        </is>
      </c>
      <c r="BI119" s="0" t="inlineStr">
        <is>
          <t>13行 3列，源：9999-12-31 23:59:59.990000 备：0001-01-01 00:00:00.00</t>
        </is>
      </c>
      <c r="BJ119" s="0" t="inlineStr">
        <is>
          <t>7行 8列，源：None 备：</t>
        </is>
      </c>
      <c r="BL119" s="0" t="inlineStr">
        <is>
          <t>21行 0列，源：73 备：71</t>
        </is>
      </c>
      <c r="BP119" s="0" t="inlineStr">
        <is>
          <t>29行 2列，源：b'                    ' 备：C9CFBAA3D3A2B7BDC8EDBCFEB9C9B7DDB9ABCBBE</t>
        </is>
      </c>
      <c r="BX119" s="0" t="inlineStr">
        <is>
          <t>13行 0列，源：21 备：132</t>
        </is>
      </c>
      <c r="CB119" s="0" t="inlineStr">
        <is>
          <t>16行 5列，源：9999-12-31 23:59:59.9999 +00:00 备：2026-04-17 17:18:31.5370 +08:00</t>
        </is>
      </c>
      <c r="CM119" s="0" t="inlineStr">
        <is>
          <t>8行 10列，源：None 备：</t>
        </is>
      </c>
      <c r="DA119" s="0" t="inlineStr">
        <is>
          <t>7行 19列，源：None 备：</t>
        </is>
      </c>
      <c r="DJ119" s="0" t="inlineStr">
        <is>
          <t>13行 8列，源：12:00:00.123456 备：12:30:45.1230000</t>
        </is>
      </c>
      <c r="DL119" s="0" t="inlineStr">
        <is>
          <t>15行 2列，源：None 备：12:30:45.1</t>
        </is>
      </c>
      <c r="DN119" s="0" t="inlineStr">
        <is>
          <t>21行 0列，源：73 备：71</t>
        </is>
      </c>
      <c r="DT119" s="0" t="inlineStr">
        <is>
          <t>13行 8列，源：12:00:00.123456 备：12:30:45.1230000</t>
        </is>
      </c>
      <c r="DU119" s="0" t="inlineStr">
        <is>
          <t>29行 2列，源：b'          ' 备：C9CFBAA3D3A2B7BDC8EDBCFEB9C9B7DDB9ABCBBE</t>
        </is>
      </c>
      <c r="DX119" s="0" t="inlineStr">
        <is>
          <t>7行 13列，源：None 备：</t>
        </is>
      </c>
      <c r="EC119" s="0" t="inlineStr">
        <is>
          <t>13行 8列，源：12:00:00.123456 备：12:30:45.1230000</t>
        </is>
      </c>
      <c r="EG119" s="0" t="inlineStr">
        <is>
          <t>14行 3列，源：00:00:01.120000 备：09:12:34.12</t>
        </is>
      </c>
      <c r="EH119" s="0" t="inlineStr">
        <is>
          <t>7行 13列，源：None 备：</t>
        </is>
      </c>
      <c r="EP119" s="0" t="inlineStr">
        <is>
          <t>7行 13列，源：None 备：</t>
        </is>
      </c>
      <c r="ES119" s="0" t="inlineStr">
        <is>
          <t>7行 13列，源：None 备：</t>
        </is>
      </c>
    </row>
    <row r="120">
      <c r="A120" s="0" t="inlineStr">
        <is>
          <t>info_varbinary_dml_batch1_pk_urp2</t>
        </is>
      </c>
      <c r="K120" s="0" t="inlineStr">
        <is>
          <t>[0;34m info_varbinary_dml_batch1_pk_urp2 [0m源备字段数相同，源端字段：4 	备端字段4</t>
        </is>
      </c>
      <c r="W120" s="2">
        <f>HYPERLINK("#2026041905hbase4!AQ2","NO 源备存在差异，共39个")</f>
        <v/>
      </c>
      <c r="X120" s="0">
        <f>A120</f>
        <v/>
      </c>
      <c r="AM120" s="0" t="inlineStr">
        <is>
          <t>9行 14列，源：None 备：</t>
        </is>
      </c>
      <c r="AP120" s="0" t="inlineStr">
        <is>
          <t>59行 1列，源：1999-06-06 23:59:59.997000 备：1981-05-11 14:30:59.000</t>
        </is>
      </c>
      <c r="AS120" s="0" t="inlineStr">
        <is>
          <t>9行 12列，源：None 备：</t>
        </is>
      </c>
      <c r="BE120" s="0" t="inlineStr">
        <is>
          <t>14行 3列，源：0001-01-01 00:00:00 备：2026-04-17 17:17:24.63</t>
        </is>
      </c>
      <c r="BG120" s="0" t="inlineStr">
        <is>
          <t>8行 1列，源：nan 备：</t>
        </is>
      </c>
      <c r="BI120" s="0" t="inlineStr">
        <is>
          <t>13行 4列，源：9999-12-31 23:59:59.999000 备：0001-01-01 00:00:00.000</t>
        </is>
      </c>
      <c r="BJ120" s="0" t="inlineStr">
        <is>
          <t>7行 10列，源：None 备：</t>
        </is>
      </c>
      <c r="BL120" s="0" t="inlineStr">
        <is>
          <t>21行 1列，源：A 备：</t>
        </is>
      </c>
      <c r="BP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X120" s="0" t="inlineStr">
        <is>
          <t>13行 1列，源：None 备：2025-05-12 00:00:00 -14:00</t>
        </is>
      </c>
      <c r="CB120" s="0" t="inlineStr">
        <is>
          <t>16行 6列，源：9999-12-31 23:59:59.99999 +00:00 备：2026-04-17 17:18:31.53698 +08:00</t>
        </is>
      </c>
      <c r="CM120" s="0" t="inlineStr">
        <is>
          <t>8行 11列，源：None 备：</t>
        </is>
      </c>
      <c r="DA120" s="0" t="inlineStr">
        <is>
          <t>8行 0列，源：13 备：18</t>
        </is>
      </c>
      <c r="DJ120" s="0" t="inlineStr">
        <is>
          <t>14行 0列，源：15 备：8</t>
        </is>
      </c>
      <c r="DL120" s="0" t="inlineStr">
        <is>
          <t>15行 3列，源：12:00:00.120000 备：12:30:45.10</t>
        </is>
      </c>
      <c r="DN120" s="0" t="inlineStr">
        <is>
          <t>21行 1列，源：A 备：</t>
        </is>
      </c>
      <c r="DT120" s="0" t="inlineStr">
        <is>
          <t>14行 0列，源：15 备：8</t>
        </is>
      </c>
      <c r="DU120" s="0" t="inlineStr">
        <is>
          <t>29行 3列，源：b'                                                                                                                                                                                                        '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120" s="0" t="inlineStr">
        <is>
          <t>7行 14列，源：None 备：</t>
        </is>
      </c>
      <c r="EC120" s="0" t="inlineStr">
        <is>
          <t>14行 0列，源：15 备：58</t>
        </is>
      </c>
      <c r="EG120" s="0" t="inlineStr">
        <is>
          <t>14行 4列，源：05:44:11.123000 备：12:30:45.123</t>
        </is>
      </c>
      <c r="EH120" s="0" t="inlineStr">
        <is>
          <t>7行 14列，源：None 备：</t>
        </is>
      </c>
      <c r="EP120" s="0" t="inlineStr">
        <is>
          <t>7行 14列，源：None 备：</t>
        </is>
      </c>
      <c r="ES120" s="0" t="inlineStr">
        <is>
          <t>7行 14列，源：None 备：</t>
        </is>
      </c>
    </row>
    <row r="121">
      <c r="B121" s="0" t="inlineStr">
        <is>
          <t>YES</t>
        </is>
      </c>
      <c r="C121" s="0" t="inlineStr">
        <is>
          <t>NULL</t>
        </is>
      </c>
      <c r="D121" s="0" t="inlineStr">
        <is>
          <t>NULL</t>
        </is>
      </c>
      <c r="E121" s="0" t="inlineStr">
        <is>
          <t>NULL</t>
        </is>
      </c>
      <c r="F121" s="0" t="inlineStr">
        <is>
          <t>NULL</t>
        </is>
      </c>
      <c r="G121" s="0" t="inlineStr">
        <is>
          <t>NULL</t>
        </is>
      </c>
      <c r="H121" s="0" t="inlineStr">
        <is>
          <t>NULL</t>
        </is>
      </c>
      <c r="I121" s="0" t="inlineStr">
        <is>
          <t>YES!PK__info_var__3213E83F8B6B86DE</t>
        </is>
      </c>
      <c r="J121" s="0" t="inlineStr">
        <is>
          <t>YES! 主键相关索引</t>
        </is>
      </c>
      <c r="K121" s="0" t="inlineStr">
        <is>
          <t xml:space="preserve"> NO!  	 id列源备映射错误，源端为int None位	期望更改为text	实际备端为int None位</t>
        </is>
      </c>
      <c r="AM121" s="0" t="inlineStr">
        <is>
          <t>9行 15列，源：1.23456789012345e-30 备：0.0000000000000</t>
        </is>
      </c>
      <c r="AP121" s="0" t="inlineStr">
        <is>
          <t>60行 0列，源：164 备：6</t>
        </is>
      </c>
      <c r="AS121" s="0" t="inlineStr">
        <is>
          <t>9行 13列，源：None 备：</t>
        </is>
      </c>
      <c r="BE121" s="0" t="inlineStr">
        <is>
          <t>14行 4列，源：0001-01-01 00:00:00 备：2026-04-17 17:17:24.631</t>
        </is>
      </c>
      <c r="BG121" s="0" t="inlineStr">
        <is>
          <t>8行 2列，源：nan 备：</t>
        </is>
      </c>
      <c r="BI121" s="0" t="inlineStr">
        <is>
          <t>13行 5列，源：9999-12-31 23:59:59.999900 备：0001-01-01 00:00:00.0000</t>
        </is>
      </c>
      <c r="BJ121" s="0" t="inlineStr">
        <is>
          <t>7行 11列，源：None 备：</t>
        </is>
      </c>
      <c r="BL121" s="0" t="inlineStr">
        <is>
          <t>21行 1列，源：A 备：</t>
        </is>
      </c>
      <c r="BP121" s="0" t="inlineStr">
        <is>
          <t>30行 0列，源：125 备：79</t>
        </is>
      </c>
      <c r="BX121" s="0" t="inlineStr">
        <is>
          <t>13行 2列，源：None 备：2025-05-12 00:00:00.0 -14:00</t>
        </is>
      </c>
      <c r="CB121" s="0" t="inlineStr">
        <is>
          <t>16行 7列，源：9999-12-31 23:59:59.999999 +00:00 备：2026-04-17 17:18:31.536981 +08:00</t>
        </is>
      </c>
      <c r="CM121" s="0" t="inlineStr">
        <is>
          <t>8行 12列，源：None 备：</t>
        </is>
      </c>
      <c r="DA121" s="0" t="inlineStr">
        <is>
          <t>8行 1列，源：nan 备：</t>
        </is>
      </c>
      <c r="DJ121" s="0" t="inlineStr">
        <is>
          <t>14行 1列，源：00:00:01 备：12:30:45</t>
        </is>
      </c>
      <c r="DL121" s="0" t="inlineStr">
        <is>
          <t>15行 4列，源：None 备：12:30:45.100</t>
        </is>
      </c>
      <c r="DN121" s="0" t="inlineStr">
        <is>
          <t>21行 1列，源：A 备：</t>
        </is>
      </c>
      <c r="DT121" s="0" t="inlineStr">
        <is>
          <t>14行 1列，源：00:00:01 备：12:30:45</t>
        </is>
      </c>
      <c r="DU121" s="0" t="inlineStr">
        <is>
          <t>30行 0列，源：125 备：79</t>
        </is>
      </c>
      <c r="DX121" s="0" t="inlineStr">
        <is>
          <t>7行 15列，源：nan 备：123456789000000002003480098325095514112.0000000000000</t>
        </is>
      </c>
      <c r="EC121" s="0" t="inlineStr">
        <is>
          <t>14行 1列，源：00:00:01 备：12:30:45</t>
        </is>
      </c>
      <c r="EG121" s="0" t="inlineStr">
        <is>
          <t>14行 5列，源：00:00:01.123500 备：09:12:34.1235</t>
        </is>
      </c>
      <c r="EH121" s="0" t="inlineStr">
        <is>
          <t>7行 15列，源：nan 备：</t>
        </is>
      </c>
      <c r="EP121" s="0" t="inlineStr">
        <is>
          <t>7行 15列，源：nan 备：123456789000000002003480098325095514112.0000000000000</t>
        </is>
      </c>
      <c r="ES121" s="0" t="inlineStr">
        <is>
          <t>7行 15列，源：nan 备：</t>
        </is>
      </c>
    </row>
    <row r="122">
      <c r="B122" s="0" t="inlineStr">
        <is>
          <t>NULL</t>
        </is>
      </c>
      <c r="C122" s="0" t="inlineStr">
        <is>
          <t>NULL</t>
        </is>
      </c>
      <c r="D122" s="0" t="inlineStr">
        <is>
          <t>NULL</t>
        </is>
      </c>
      <c r="E122" s="0" t="inlineStr">
        <is>
          <t>NULL</t>
        </is>
      </c>
      <c r="F122" s="0" t="inlineStr">
        <is>
          <t>NULL</t>
        </is>
      </c>
      <c r="G122" s="0" t="inlineStr">
        <is>
          <t>NULL</t>
        </is>
      </c>
      <c r="H122" s="0" t="inlineStr">
        <is>
          <t>NULL</t>
        </is>
      </c>
      <c r="I122" s="0" t="inlineStr">
        <is>
          <t>NULL</t>
        </is>
      </c>
      <c r="J122" s="0" t="inlineStr">
        <is>
          <t>NULL</t>
        </is>
      </c>
      <c r="K122" s="0" t="inlineStr">
        <is>
          <t xml:space="preserve"> NO!  	 c_varbinary列源备映射错误，源端为varbinary 1位	期望更改为text	实际备端为varbinary 1位</t>
        </is>
      </c>
      <c r="AM122" s="0" t="inlineStr">
        <is>
          <t>9行 16列，源：1.2345669834560371e-20 备：0.000000</t>
        </is>
      </c>
      <c r="AP122" s="0" t="inlineStr">
        <is>
          <t>60行 1列，源：2000-05-01 23:59:59.993000 备：2020-02-29 19:27:31.123</t>
        </is>
      </c>
      <c r="AS122" s="0" t="inlineStr">
        <is>
          <t>9行 14列，源：None 备：</t>
        </is>
      </c>
      <c r="BE122" s="0" t="inlineStr">
        <is>
          <t>14行 5列，源：0001-01-01 00:00:00 备：2026-04-17 17:17:24.6306</t>
        </is>
      </c>
      <c r="BG122" s="0" t="inlineStr">
        <is>
          <t>8行 3列，源：nan 备：</t>
        </is>
      </c>
      <c r="BI122" s="0" t="inlineStr">
        <is>
          <t>13行 6列，源：9999-12-31 23:59:59.999990 备：0001-01-01 00:00:00.00000</t>
        </is>
      </c>
      <c r="BJ122" s="0" t="inlineStr">
        <is>
          <t>7行 12列，源：None 备：</t>
        </is>
      </c>
      <c r="BL122" s="0" t="inlineStr">
        <is>
          <t>21行 2列，源：THIS IS A TESTCASEYF 备：</t>
        </is>
      </c>
      <c r="BP122" s="0" t="inlineStr">
        <is>
          <t>30行 1列，源：b'A' 备：2A</t>
        </is>
      </c>
      <c r="BX122" s="0" t="inlineStr">
        <is>
          <t>13行 3列，源：None 备：2025-05-12 00:00:00.00 -14:00</t>
        </is>
      </c>
      <c r="CB122" s="0" t="inlineStr">
        <is>
          <t>16行 8列，源：9999-12-31 23:59:59.9999999 +00:00 备：2026-04-17 17:18:31.5369809 +08:00</t>
        </is>
      </c>
      <c r="CM122" s="0" t="inlineStr">
        <is>
          <t>8行 13列，源：None 备：</t>
        </is>
      </c>
      <c r="DA122" s="0" t="inlineStr">
        <is>
          <t>8行 2列，源：nan 备：</t>
        </is>
      </c>
      <c r="DJ122" s="0" t="inlineStr">
        <is>
          <t>14行 2列，源：None 备：12:30:45.1</t>
        </is>
      </c>
      <c r="DL122" s="0" t="inlineStr">
        <is>
          <t>15行 5列，源：12:00:00.123500 备：12:30:45.1000</t>
        </is>
      </c>
      <c r="DN122" s="0" t="inlineStr">
        <is>
          <t>21行 2列，源：THIS IS A TESTCASEYF 备：</t>
        </is>
      </c>
      <c r="DT122" s="0" t="inlineStr">
        <is>
          <t>14行 2列，源：None 备：12:30:45.1</t>
        </is>
      </c>
      <c r="DU122" s="0" t="inlineStr">
        <is>
          <t>30行 1列，源：b'A' 备：2A</t>
        </is>
      </c>
      <c r="DX122" s="0" t="inlineStr">
        <is>
          <t>7行 16列，源：nan 备：340282306073709652508363335590014353408.000000</t>
        </is>
      </c>
      <c r="EC122" s="0" t="inlineStr">
        <is>
          <t>14行 2列，源：None 备：12:30:45.1</t>
        </is>
      </c>
      <c r="EG122" s="0" t="inlineStr">
        <is>
          <t>14行 6列，源：05:44:11.123460 备：12:30:45.12340</t>
        </is>
      </c>
      <c r="EH122" s="0" t="inlineStr">
        <is>
          <t>7行 16列，源：nan 备：</t>
        </is>
      </c>
      <c r="EP122" s="0" t="inlineStr">
        <is>
          <t>7行 16列，源：nan 备：340282306073709652508363335590014353408.000000</t>
        </is>
      </c>
      <c r="ES122" s="0" t="inlineStr">
        <is>
          <t>7行 16列，源：nan 备：</t>
        </is>
      </c>
    </row>
    <row r="123">
      <c r="B123" s="0" t="inlineStr">
        <is>
          <t>NULL</t>
        </is>
      </c>
      <c r="C123" s="0" t="inlineStr">
        <is>
          <t>NULL</t>
        </is>
      </c>
      <c r="D123" s="0" t="inlineStr">
        <is>
          <t>NULL</t>
        </is>
      </c>
      <c r="E123" s="0" t="inlineStr">
        <is>
          <t>NULL</t>
        </is>
      </c>
      <c r="F123" s="0" t="inlineStr">
        <is>
          <t>NULL</t>
        </is>
      </c>
      <c r="G123" s="0" t="inlineStr">
        <is>
          <t>NULL</t>
        </is>
      </c>
      <c r="H123" s="0" t="inlineStr">
        <is>
          <t>NULL</t>
        </is>
      </c>
      <c r="I123" s="0" t="inlineStr">
        <is>
          <t>NULL</t>
        </is>
      </c>
      <c r="J123" s="0" t="inlineStr">
        <is>
          <t>NULL</t>
        </is>
      </c>
      <c r="K123" s="0" t="inlineStr">
        <is>
          <t xml:space="preserve"> NO!  	 c_varbinary_100列源备映射错误，源端为varbinary 100位	期望更改为text	实际备端为varbinary 100位</t>
        </is>
      </c>
      <c r="AM123" s="0" t="inlineStr">
        <is>
          <t>9行 18列，源：None 备：0.0001</t>
        </is>
      </c>
      <c r="AP123" s="0" t="inlineStr">
        <is>
          <t>61行 0列，源：165 备：60</t>
        </is>
      </c>
      <c r="AS123" s="0" t="inlineStr">
        <is>
          <t>9行 15列，源：123.456789 备：0.0000000000000</t>
        </is>
      </c>
      <c r="BE123" s="0" t="inlineStr">
        <is>
          <t>14行 6列，源：0001-01-01 00:00:00 备：2026-04-17 17:17:24.63065</t>
        </is>
      </c>
      <c r="BG123" s="0" t="inlineStr">
        <is>
          <t>8行 4列，源：nan 备：</t>
        </is>
      </c>
      <c r="BI123" s="0" t="inlineStr">
        <is>
          <t>13行 7列，源：9999-12-31 23:59:59.999999 备：0001-01-01 00:00:00.000000</t>
        </is>
      </c>
      <c r="BJ123" s="0" t="inlineStr">
        <is>
          <t>7行 13列，源：None 备：</t>
        </is>
      </c>
      <c r="BL123" s="0" t="inlineStr">
        <is>
          <t>21行 2列，源：THIS IS A TESTCASEYF 备：</t>
        </is>
      </c>
      <c r="BP123" s="0" t="inlineStr">
        <is>
          <t>30行 2列，源：b'Variable length bina' 备：7E21402324255E262A5D00000000000000000000</t>
        </is>
      </c>
      <c r="BX123" s="0" t="inlineStr">
        <is>
          <t>13行 4列，源：None 备：2025-05-12 00:00:00.000 -14:00</t>
        </is>
      </c>
      <c r="CB123" s="0" t="inlineStr">
        <is>
          <t>17行 0列，源：56 备：205</t>
        </is>
      </c>
      <c r="CM123" s="0" t="inlineStr">
        <is>
          <t>8行 14列，源：None 备：</t>
        </is>
      </c>
      <c r="DA123" s="0" t="inlineStr">
        <is>
          <t>8行 3列，源：nan 备：</t>
        </is>
      </c>
      <c r="DJ123" s="0" t="inlineStr">
        <is>
          <t>14行 3列，源：00:00:01.120000 备：12:30:45.12</t>
        </is>
      </c>
      <c r="DL123" s="0" t="inlineStr">
        <is>
          <t>15行 6列，源：None 备：12:30:45.10000</t>
        </is>
      </c>
      <c r="DN123" s="0" t="inlineStr">
        <is>
          <t>21行 2列，源：THIS IS A TESTCASEYF 备：</t>
        </is>
      </c>
      <c r="DT123" s="0" t="inlineStr">
        <is>
          <t>14行 3列，源：00:00:01.120000 备：12:30:45.12</t>
        </is>
      </c>
      <c r="DU123" s="0" t="inlineStr">
        <is>
          <t>30行 2列，源：b'Variable length bina' 备：7E21402324255E262A5D</t>
        </is>
      </c>
      <c r="DX123" s="0" t="inlineStr">
        <is>
          <t>7行 17列，源：None 备：123456.7890</t>
        </is>
      </c>
      <c r="EC123" s="0" t="inlineStr">
        <is>
          <t>14行 3列，源：00:00:01.120000 备：12:30:45.12</t>
        </is>
      </c>
      <c r="EG123" s="0" t="inlineStr">
        <is>
          <t>14行 7列，源：00:00:01.123457 备：09:12:34.123457</t>
        </is>
      </c>
      <c r="EH123" s="0" t="inlineStr">
        <is>
          <t>7行 17列，源：None 备：</t>
        </is>
      </c>
      <c r="EP123" s="0" t="inlineStr">
        <is>
          <t>7行 17列，源：None 备：123456.7890</t>
        </is>
      </c>
      <c r="ES123" s="0" t="inlineStr">
        <is>
          <t>7行 17列，源：None 备：</t>
        </is>
      </c>
    </row>
    <row r="124">
      <c r="B124" s="0" t="inlineStr">
        <is>
          <t>NULL</t>
        </is>
      </c>
      <c r="C124" s="0" t="inlineStr">
        <is>
          <t>NULL</t>
        </is>
      </c>
      <c r="D124" s="0" t="inlineStr">
        <is>
          <t>NULL</t>
        </is>
      </c>
      <c r="E124" s="0" t="inlineStr">
        <is>
          <t>NULL</t>
        </is>
      </c>
      <c r="F124" s="0" t="inlineStr">
        <is>
          <t>NULL</t>
        </is>
      </c>
      <c r="G124" s="0" t="inlineStr">
        <is>
          <t>NULL</t>
        </is>
      </c>
      <c r="H124" s="0" t="inlineStr">
        <is>
          <t>NULL</t>
        </is>
      </c>
      <c r="I124" s="0" t="inlineStr">
        <is>
          <t>NULL</t>
        </is>
      </c>
      <c r="J124" s="0" t="inlineStr">
        <is>
          <t>NULL</t>
        </is>
      </c>
      <c r="K124" s="0" t="inlineStr">
        <is>
          <t xml:space="preserve"> NO!  	 c_varbinary_200列源备映射错误，源端为varbinary 200位	期望更改为text	实际备端为varbinary 200位</t>
        </is>
      </c>
      <c r="AM124" s="0" t="inlineStr">
        <is>
          <t>9行 19列，源：False 备：0</t>
        </is>
      </c>
      <c r="AP124" s="0" t="inlineStr">
        <is>
          <t>61行 1列，源：2001-04-09 23:59:59.993000 备：1996-03-03 23:59:59.997</t>
        </is>
      </c>
      <c r="AS124" s="0" t="inlineStr">
        <is>
          <t>9行 16列，源：1.2345669834560371e-20 备：0.000000</t>
        </is>
      </c>
      <c r="BE124" s="0" t="inlineStr">
        <is>
          <t>14行 7列，源：0001-01-01 00:00:00 备：2026-04-17 17:17:24.630647</t>
        </is>
      </c>
      <c r="BG124" s="0" t="inlineStr">
        <is>
          <t>8行 5列，源：None 备：</t>
        </is>
      </c>
      <c r="BI124" s="0" t="inlineStr">
        <is>
          <t>13行 8列，源：9999-12-31 23:59:59.999999 备：0001-01-01 00:00:00.0000000</t>
        </is>
      </c>
      <c r="BJ124" s="0" t="inlineStr">
        <is>
          <t>7行 14列，源：None 备：</t>
        </is>
      </c>
      <c r="BL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P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X124" s="0" t="inlineStr">
        <is>
          <t>13行 5列，源：None 备：2025-05-12 00:00:00.0000 -14:00</t>
        </is>
      </c>
      <c r="CB124" s="0" t="inlineStr">
        <is>
          <t>17行 1列，源：2063-05-11 10:30:45 -04:00 备：9999-12-31 23:59:59 +00:00</t>
        </is>
      </c>
      <c r="CM124" s="0" t="inlineStr">
        <is>
          <t>8行 15列，源：nan 备：</t>
        </is>
      </c>
      <c r="DA124" s="0" t="inlineStr">
        <is>
          <t>8行 4列，源：nan 备：</t>
        </is>
      </c>
      <c r="DJ124" s="0" t="inlineStr">
        <is>
          <t>14行 4列，源：None 备：12:30:45.123</t>
        </is>
      </c>
      <c r="DL124" s="0" t="inlineStr">
        <is>
          <t>15行 7列，源：12:00:00.123457 备：12:30:45.100000</t>
        </is>
      </c>
      <c r="DN124"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DT124" s="0" t="inlineStr">
        <is>
          <t>14行 4列，源：None 备：12:30:45.123</t>
        </is>
      </c>
      <c r="DU124" s="0" t="inlineStr">
        <is>
          <t>30行 3列，源：b'TestTestTestTestTestTestTestTestTestTestTestTestTestTestTestTestTestTestTestTestTestTestTestTestTestTestTestTestTestTestTestTestTestTestTestTestTestTestTestTestTestTestTestTestTestTestTestTestTestTest'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X124" s="0" t="inlineStr">
        <is>
          <t>7行 18列，源：None 备：1234.5678</t>
        </is>
      </c>
      <c r="EC124" s="0" t="inlineStr">
        <is>
          <t>14行 4列，源：None 备：12:30:45.123</t>
        </is>
      </c>
      <c r="EG124" s="0" t="inlineStr">
        <is>
          <t>14行 8列，源：05:44:11.123456 备：12:30:45.1234000</t>
        </is>
      </c>
      <c r="EH124" s="0" t="inlineStr">
        <is>
          <t>7行 18列，源：None 备：</t>
        </is>
      </c>
      <c r="EP124" s="0" t="inlineStr">
        <is>
          <t>7行 18列，源：None 备：1234.5678</t>
        </is>
      </c>
      <c r="ES124" s="0" t="inlineStr">
        <is>
          <t>7行 18列，源：None 备：</t>
        </is>
      </c>
    </row>
    <row r="125">
      <c r="A125" s="0" t="inlineStr">
        <is>
          <t>info_datetime_dml_batch2_pk_irp1</t>
        </is>
      </c>
      <c r="K125" s="0" t="inlineStr">
        <is>
          <t>[0;34m info_datetime_dml_batch2_pk_irp1 [0m源备字段数相同，源端字段：2 	备端字段2</t>
        </is>
      </c>
      <c r="W125" s="2">
        <f>HYPERLINK("#2026041905hbase4!AR2","NO 源备存在差异，共47个")</f>
        <v/>
      </c>
      <c r="X125" s="0">
        <f>A125</f>
        <v/>
      </c>
      <c r="AM125" s="0" t="inlineStr">
        <is>
          <t>10行 0列，源：11 备：19</t>
        </is>
      </c>
      <c r="AP125" s="0" t="inlineStr">
        <is>
          <t>62行 0列，源：166 备：61</t>
        </is>
      </c>
      <c r="AS125" s="0" t="inlineStr">
        <is>
          <t>9行 18列，源：None 备：0.0001</t>
        </is>
      </c>
      <c r="BE125" s="0" t="inlineStr">
        <is>
          <t>14行 8列，源：0001-01-01 00:00:00 备：2026-04-17 17:17:24.6306467</t>
        </is>
      </c>
      <c r="BG125" s="0" t="inlineStr">
        <is>
          <t>8行 6列，源：None 备：</t>
        </is>
      </c>
      <c r="BI125" s="0" t="inlineStr">
        <is>
          <t>14行 0列，源：106 备：55</t>
        </is>
      </c>
      <c r="BJ125" s="0" t="inlineStr">
        <is>
          <t>7行 15列，源：123.456789 备：123456789000000002003480098325095514112.0000000000000</t>
        </is>
      </c>
      <c r="BL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BP125" s="0" t="inlineStr">
        <is>
          <t>31行 0列，源：126 备：8</t>
        </is>
      </c>
      <c r="BX125" s="0" t="inlineStr">
        <is>
          <t>13行 6列，源：None 备：2025-05-12 00:00:00.00000 -14:00</t>
        </is>
      </c>
      <c r="CB125" s="0" t="inlineStr">
        <is>
          <t>17行 2列，源：2063-05-11 10:30:45.1 -04:00 备：9999-12-31 23:59:59.9 +00:00</t>
        </is>
      </c>
      <c r="CM125" s="0" t="inlineStr">
        <is>
          <t>8行 16列，源：nan 备：</t>
        </is>
      </c>
      <c r="DA125" s="0" t="inlineStr">
        <is>
          <t>8行 5列，源：None 备：</t>
        </is>
      </c>
      <c r="DJ125" s="0" t="inlineStr">
        <is>
          <t>14行 5列，源：00:00:01.123500 备：12:30:45.1234</t>
        </is>
      </c>
      <c r="DL125" s="0" t="inlineStr">
        <is>
          <t>15行 8列，源：None 备：12:30:45.1000000</t>
        </is>
      </c>
      <c r="DN125" s="0" t="inlineStr">
        <is>
          <t>21行 3列，源：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备：</t>
        </is>
      </c>
      <c r="DT125" s="0" t="inlineStr">
        <is>
          <t>14行 5列，源：00:00:01.123500 备：12:30:45.1234</t>
        </is>
      </c>
      <c r="DU125" s="0" t="inlineStr">
        <is>
          <t>31行 0列，源：126 备：8</t>
        </is>
      </c>
      <c r="DX125" s="0" t="inlineStr">
        <is>
          <t>7行 19列，源：None 备：1</t>
        </is>
      </c>
      <c r="EC125" s="0" t="inlineStr">
        <is>
          <t>14行 5列，源：00:00:01.123500 备：12:30:45.1234</t>
        </is>
      </c>
      <c r="EG125" s="0" t="inlineStr">
        <is>
          <t>15行 0列，源：16 备：9</t>
        </is>
      </c>
      <c r="EH125" s="0" t="inlineStr">
        <is>
          <t>7行 19列，源：None 备：</t>
        </is>
      </c>
      <c r="EP125" s="0" t="inlineStr">
        <is>
          <t>7行 19列，源：None 备：1</t>
        </is>
      </c>
      <c r="ES125" s="0" t="inlineStr">
        <is>
          <t>7行 19列，源：None 备：</t>
        </is>
      </c>
    </row>
    <row r="126">
      <c r="B126" s="0" t="inlineStr">
        <is>
          <t>YES</t>
        </is>
      </c>
      <c r="C126" s="0" t="inlineStr">
        <is>
          <t>NULL</t>
        </is>
      </c>
      <c r="D126" s="0" t="inlineStr">
        <is>
          <t>NULL</t>
        </is>
      </c>
      <c r="E126" s="0" t="inlineStr">
        <is>
          <t>NULL</t>
        </is>
      </c>
      <c r="F126" s="0" t="inlineStr">
        <is>
          <t>NULL</t>
        </is>
      </c>
      <c r="G126" s="0" t="inlineStr">
        <is>
          <t>NULL</t>
        </is>
      </c>
      <c r="H126" s="0" t="inlineStr">
        <is>
          <t>NULL</t>
        </is>
      </c>
      <c r="I126" s="0" t="inlineStr">
        <is>
          <t>YES!PK__info_dat__3213E83FA2485911</t>
        </is>
      </c>
      <c r="J126" s="0" t="inlineStr">
        <is>
          <t>YES! 主键相关索引</t>
        </is>
      </c>
      <c r="K126" s="0" t="inlineStr">
        <is>
          <t xml:space="preserve"> NO!  	 id列源备映射错误，源端为int None位	期望更改为text	实际备端为int None位</t>
        </is>
      </c>
      <c r="AM126" s="0" t="inlineStr">
        <is>
          <t>10行 2列，源：20000.0 备：</t>
        </is>
      </c>
      <c r="AP126" s="0" t="inlineStr">
        <is>
          <t>62行 1列，源：2002-06-11 23:59:59.993000 备：1997-04-04 23:59:59.997</t>
        </is>
      </c>
      <c r="AS126" s="0" t="inlineStr">
        <is>
          <t>9行 19列，源：True 备：0</t>
        </is>
      </c>
      <c r="BE126" s="0" t="inlineStr">
        <is>
          <t>15行 0列，源：75 备：24</t>
        </is>
      </c>
      <c r="BG126" s="0" t="inlineStr">
        <is>
          <t>8行 7列，源：None 备：</t>
        </is>
      </c>
      <c r="BI126" s="0" t="inlineStr">
        <is>
          <t>14行 1列，源：1945-05-11 14:30:45 备：9999-12-31 23:59:59</t>
        </is>
      </c>
      <c r="BJ126" s="0" t="inlineStr">
        <is>
          <t>7行 16列，源：nan 备：340282306073709652508363335590014353408.000000</t>
        </is>
      </c>
      <c r="BL126" s="0" t="inlineStr">
        <is>
          <t>22行 0列，源：74 备：72</t>
        </is>
      </c>
      <c r="BP126" s="0" t="inlineStr">
        <is>
          <t>31行 1列，源：b'p' 备：42</t>
        </is>
      </c>
      <c r="BX126" s="0" t="inlineStr">
        <is>
          <t>13行 7列，源：None 备：2025-05-12 00:00:00.000000 -14:00</t>
        </is>
      </c>
      <c r="CB126" s="0" t="inlineStr">
        <is>
          <t>17行 3列，源：2063-05-11 10:30:45.12 -04:00 备：9999-12-31 23:59:59.99 +00:00</t>
        </is>
      </c>
      <c r="CM126" s="0" t="inlineStr">
        <is>
          <t>8行 17列，源：None 备：-0.0100</t>
        </is>
      </c>
      <c r="DA126" s="0" t="inlineStr">
        <is>
          <t>8行 6列，源：None 备：</t>
        </is>
      </c>
      <c r="DJ126" s="0" t="inlineStr">
        <is>
          <t>14行 6列，源：None 备：12:30:45.12340</t>
        </is>
      </c>
      <c r="DL126" s="0" t="inlineStr">
        <is>
          <t>16行 0列，源：21 备：26</t>
        </is>
      </c>
      <c r="DN126" s="0" t="inlineStr">
        <is>
          <t>22行 0列，源：74 备：72</t>
        </is>
      </c>
      <c r="DT126" s="0" t="inlineStr">
        <is>
          <t>14行 6列，源：None 备：12:30:45.12340</t>
        </is>
      </c>
      <c r="DU126" s="0" t="inlineStr">
        <is>
          <t>31行 1列，源：b'\xa1' 备：42</t>
        </is>
      </c>
      <c r="DX126" s="0" t="inlineStr">
        <is>
          <t>8行 0列，源：9 备：17</t>
        </is>
      </c>
      <c r="EC126" s="0" t="inlineStr">
        <is>
          <t>14行 6列，源：None 备：12:30:45.12340</t>
        </is>
      </c>
      <c r="EG126" s="0" t="inlineStr">
        <is>
          <t>15行 1列，源：12:00:00 备：12:30:45</t>
        </is>
      </c>
      <c r="EH126" s="0" t="inlineStr">
        <is>
          <t>8行 0列，源：9 备：107</t>
        </is>
      </c>
      <c r="EP126" s="0" t="inlineStr">
        <is>
          <t>8行 0列，源：9 备：17</t>
        </is>
      </c>
      <c r="ES126" s="0" t="inlineStr">
        <is>
          <t>8行 0列，源：9 备：107</t>
        </is>
      </c>
    </row>
    <row r="127">
      <c r="B127" s="0" t="inlineStr">
        <is>
          <t>NULL</t>
        </is>
      </c>
      <c r="C127" s="0" t="inlineStr">
        <is>
          <t>NULL</t>
        </is>
      </c>
      <c r="D127" s="0" t="inlineStr">
        <is>
          <t>NULL</t>
        </is>
      </c>
      <c r="E127" s="0" t="inlineStr">
        <is>
          <t>NULL</t>
        </is>
      </c>
      <c r="F127" s="0" t="inlineStr">
        <is>
          <t>NULL</t>
        </is>
      </c>
      <c r="G127" s="0" t="inlineStr">
        <is>
          <t>NULL</t>
        </is>
      </c>
      <c r="H127" s="0" t="inlineStr">
        <is>
          <t>NULL</t>
        </is>
      </c>
      <c r="I127" s="0" t="inlineStr">
        <is>
          <t>NULL</t>
        </is>
      </c>
      <c r="J127" s="0" t="inlineStr">
        <is>
          <t>NULL</t>
        </is>
      </c>
      <c r="K127" s="0" t="inlineStr">
        <is>
          <t xml:space="preserve"> NO!  	 c_datetime列源备映射错误，源端为datetime None位	期望更改为text	实际备端为datetime None位</t>
        </is>
      </c>
      <c r="AM127" s="0" t="inlineStr">
        <is>
          <t>10行 5列，源：None 备：</t>
        </is>
      </c>
      <c r="AP127" s="0" t="inlineStr">
        <is>
          <t>63行 0列，源：167 备：62</t>
        </is>
      </c>
      <c r="AS127" s="0" t="inlineStr">
        <is>
          <t>10行 0列，源：11 备：19</t>
        </is>
      </c>
      <c r="BE127" s="0" t="inlineStr">
        <is>
          <t>15行 1列，源：9999-12-31 23:59:59 备：0001-01-01 00:00:00</t>
        </is>
      </c>
      <c r="BG127" s="0" t="inlineStr">
        <is>
          <t>8行 8列，源：None 备：</t>
        </is>
      </c>
      <c r="BI127" s="0" t="inlineStr">
        <is>
          <t>14行 2列，源：1945-05-11 14:30:45.100000 备：9999-12-31 23:59:59.9</t>
        </is>
      </c>
      <c r="BJ127" s="0" t="inlineStr">
        <is>
          <t>7行 17列，源：None 备：123456.7890</t>
        </is>
      </c>
      <c r="BL127" s="0" t="inlineStr">
        <is>
          <t xml:space="preserve">22行 1列，源：6 备： </t>
        </is>
      </c>
      <c r="BP127" s="0" t="inlineStr">
        <is>
          <t>31行 2列，源：b'2s\x91\xb2\xca\xeb\xbb38{\xf9;\xc6\x13v/\x88l"\x82' 备：C9CFBAA3D3A2B7BDC8EDBCFEB9C9B7DDB9ABCBBE</t>
        </is>
      </c>
      <c r="BX127" s="0" t="inlineStr">
        <is>
          <t>13行 8列，源：None 备：2025-05-11 23:59:59.9999999 -14:00</t>
        </is>
      </c>
      <c r="CB127" s="0" t="inlineStr">
        <is>
          <t>17行 4列，源：2063-05-11 10:30:45.123 -04:00 备：9999-12-31 23:59:59.999 +00:00</t>
        </is>
      </c>
      <c r="CM127" s="0" t="inlineStr">
        <is>
          <t>8行 18列，源：None 备：-0.0100</t>
        </is>
      </c>
      <c r="DA127" s="0" t="inlineStr">
        <is>
          <t>8行 7列，源：None 备：</t>
        </is>
      </c>
      <c r="DJ127" s="0" t="inlineStr">
        <is>
          <t>14行 7列，源：00:00:01.123457 备：12:30:45.123400</t>
        </is>
      </c>
      <c r="DL127" s="0" t="inlineStr">
        <is>
          <t>16行 1列，源：None 备：12:30:45</t>
        </is>
      </c>
      <c r="DN127" s="0" t="inlineStr">
        <is>
          <t>22行 1列，源：6 备：</t>
        </is>
      </c>
      <c r="DT127" s="0" t="inlineStr">
        <is>
          <t>14行 7列，源：00:00:01.123457 备：12:30:45.123400</t>
        </is>
      </c>
      <c r="DU127" s="0" t="inlineStr">
        <is>
          <t>31行 2列，源：b'\xad~\xd4\x1b\x1d\x00\xf9+E\xf2\\\xf2"\x9e$\xd4w\xc6;_~\xf7\xcd\xf5\x1e0\xe1a=\xe5I\x85R\xfdv\xf5VkK\x80?\xcb\xeb\x0b\x7f\xb9\x18=\xc9\xcb\xca\xfa\xb6\xb9 \xae\x14\xda0.:\xecKk\xe4\x92\xe0+\x0f\xf4\x85\x06]\x94\xb18\xbf\x11\x87\\\xf2\xc7N#\tN:\x16\xd0U\x8eG\xc5\xa6\x0eFF\xaa\xd9K' 备：C9CFBAA3D3A2B7BDC8EDBCFEB9C9B7DDB9ABCBBE</t>
        </is>
      </c>
      <c r="DX127" s="0" t="inlineStr">
        <is>
          <t>8行 1列，源：42.0 备：</t>
        </is>
      </c>
      <c r="EC127" s="0" t="inlineStr">
        <is>
          <t>14行 7列，源：00:00:01.123457 备：12:30:45.123400</t>
        </is>
      </c>
      <c r="EG127" s="0" t="inlineStr">
        <is>
          <t>15行 2列，源：05:44:11.100000 备：12:30:45.1</t>
        </is>
      </c>
      <c r="EH127" s="0" t="inlineStr">
        <is>
          <t>8行 1列，源：42.0 备：</t>
        </is>
      </c>
      <c r="EP127" s="0" t="inlineStr">
        <is>
          <t>8行 1列，源：42.0 备：</t>
        </is>
      </c>
      <c r="ES127" s="0" t="inlineStr">
        <is>
          <t>8行 1列，源：42.0 备：</t>
        </is>
      </c>
    </row>
    <row r="128">
      <c r="A128" s="0" t="inlineStr">
        <is>
          <t>info_datetimeoffset_dml_single_pk</t>
        </is>
      </c>
      <c r="K128" s="0" t="inlineStr">
        <is>
          <t>[0;34m info_datetimeoffset_dml_single_pk [0m源备字段数相同，源端字段：9 	备端字段9</t>
        </is>
      </c>
      <c r="W128" s="0" t="inlineStr">
        <is>
          <t>YES 源备无差异</t>
        </is>
      </c>
      <c r="X128" s="0">
        <f>A128</f>
        <v/>
      </c>
      <c r="AM128" s="0" t="inlineStr">
        <is>
          <t>10行 6列，源：None 备：</t>
        </is>
      </c>
      <c r="AP128" s="0" t="inlineStr">
        <is>
          <t>63行 1列，源：2003-11-04 23:59:59.990000 备：1998-05-05 23:59:59.997</t>
        </is>
      </c>
      <c r="AS128" s="0" t="inlineStr">
        <is>
          <t>10行 2列，源：0.0 备：0</t>
        </is>
      </c>
      <c r="BE128" s="0" t="inlineStr">
        <is>
          <t>15行 2列，源：9999-12-31 23:59:59.900000 备：0001-01-01 00:00:00.0</t>
        </is>
      </c>
      <c r="BG128" s="0" t="inlineStr">
        <is>
          <t>8行 9列，源：None 备：</t>
        </is>
      </c>
      <c r="BI128" s="0" t="inlineStr">
        <is>
          <t>14行 3列，源：1945-05-11 14:30:45.120000 备：9999-12-31 23:59:59.99</t>
        </is>
      </c>
      <c r="BJ128" s="0" t="inlineStr">
        <is>
          <t>7行 18列，源：None 备：1234.5678</t>
        </is>
      </c>
      <c r="BL128" s="0" t="inlineStr">
        <is>
          <t xml:space="preserve">22行 1列，源：6 备： </t>
        </is>
      </c>
      <c r="BP128" s="0" t="inlineStr">
        <is>
          <t>31行 3列，源：b'9\xaa\xc2\xce\xee\xbb\xec\xfcE\x94cn\x16_\xc7 \x84\x85\x88\x00"H\xa7\x8e\xf1\xb9e\xc5\xf0\xf4Qg5\x10\x8d\x8c0\xaf\xde\xbe\x81\xa0\x15o\x8e\xfeh.\x81\x02\xc4P\xc1\xbb!\x8e\xcd\xa1\xb1\xa6\xabf\xfe\x8f\x9b\x19CA\x92\x9c\xad\xe9\xeb\x98$A\x04\xfdNAd.Gt\x80\x8a\xef\xaa\x13\x8et8\xfdt\x1c\x95\xfd\xc0\r\xbe\xae\xe6(\x0e=\n\x1a\xf7\xa7\xc4\xc4\xb1\x7f\xc1\x08M10\xa2Q^\xcf\x83\xdc\x1a[\x95\xf0u\xf8;\xb6R\xc8q/O\x08\x1c\x8c\xc7.\xc05\xfc\xfa\xd6\xbdY[\x94\x03\x00\x17(\x18\x85\x8e\xe7\x89\xbcz\x06\xf6\xc6\xdd\xbd\xdd\x98r$\x85\xdd\x11\xaa\xeb\xb4\xd7\xd7\xaf\xa2\rv\xfd,\xb5\xefNm_ q\xe2{\xae\x12k\x8d\xa3\xa4'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BX128" s="0" t="inlineStr">
        <is>
          <t>14行 0列，源：22 备：133</t>
        </is>
      </c>
      <c r="CB128" s="0" t="inlineStr">
        <is>
          <t>17行 5列，源：2063-05-11 10:30:45.1235 -04:00 备：9999-12-31 23:59:59.9999 +00:00</t>
        </is>
      </c>
      <c r="CM128" s="0" t="inlineStr">
        <is>
          <t>8行 19列，源：None 备：</t>
        </is>
      </c>
      <c r="DA128" s="0" t="inlineStr">
        <is>
          <t>8行 8列，源：None 备：</t>
        </is>
      </c>
      <c r="DJ128" s="0" t="inlineStr">
        <is>
          <t>14行 8列，源：None 备：12:30:45.1234000</t>
        </is>
      </c>
      <c r="DL128" s="0" t="inlineStr">
        <is>
          <t>16行 2列，源：None 备：12:30:45.1</t>
        </is>
      </c>
      <c r="DN128" s="0" t="inlineStr">
        <is>
          <t>22行 1列，源：6 备：</t>
        </is>
      </c>
      <c r="DT128" s="0" t="inlineStr">
        <is>
          <t>14行 8列，源：None 备：12:30:45.1234000</t>
        </is>
      </c>
      <c r="DU128" s="0" t="inlineStr">
        <is>
          <t>31行 3列，源：b'\x85\xde\xa9c\x023O9c&lt;\r\xd2\xd4\xb7\x15B\xb6.\xf2\x1e\xb2\x0c{\xb9\x19v\xca{\x964B\xff&lt;\xdd\xb3\xba\x16\xea\x1c\x9ci{\xc2\x02\xc8\nk\xdd\n\xa0\xf5\x81\xf5lp\xd8\xca\xb1{\x93\xa5o\xe5\xe9\xa5r\x9bVg\xc7\x8d\x9do\xf7\xec\xa6\xf3\xf5\xb1 l&amp;\xc7\x90\xbf\x96\xfb\xcf=z\x83o\xc3\xbd\x8f\xd5&gt;\xf7\xe5\x9d\xf7Oy5"8\x02\xee[y\xef\xec\x9d\x87\x06(\x0e\xd3]\xf0\xa5\xc4m\xcbk\x1c\xee\xb3I\xfc\xc8e\xd4\xd3\x98*\xaf\nI\xca\xbb\xcf\xc2(h\x1b\xeb\x05\xbe\xcd\x90\x90\x06h\x9e\x11\x19=\xbc\xcf\xec\xd96n4\x98\xbdp\x85\x05Z\x98\xe3\x80\xea\x05h\xfay\xa3*\xf9\xe2\x9dP\xa0\xbe\x82\xea@z\xe5@\xa5\xf1\xd6D\x9a0\xcb' 备：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t>
        </is>
      </c>
      <c r="DX128" s="0" t="inlineStr">
        <is>
          <t>8行 2列，源：12345.0 备：</t>
        </is>
      </c>
      <c r="EC128" s="0" t="inlineStr">
        <is>
          <t>14行 8列，源：None 备：12:30:45.1234000</t>
        </is>
      </c>
      <c r="EG128" s="0" t="inlineStr">
        <is>
          <t>15行 3列，源：12:00:00.120000 备：12:30:45.12</t>
        </is>
      </c>
      <c r="EH128" s="0" t="inlineStr">
        <is>
          <t>8行 2列，源：12345.0 备：</t>
        </is>
      </c>
      <c r="EP128" s="0" t="inlineStr">
        <is>
          <t>8行 2列，源：12345.0 备：</t>
        </is>
      </c>
      <c r="ES128" s="0" t="inlineStr">
        <is>
          <t>8行 2列，源：12345.0 备：</t>
        </is>
      </c>
    </row>
    <row r="129">
      <c r="B129" s="0" t="inlineStr">
        <is>
          <t>YES</t>
        </is>
      </c>
      <c r="C129" s="0" t="inlineStr">
        <is>
          <t>NULL</t>
        </is>
      </c>
      <c r="D129" s="0" t="inlineStr">
        <is>
          <t>NULL</t>
        </is>
      </c>
      <c r="E129" s="0" t="inlineStr">
        <is>
          <t>NULL</t>
        </is>
      </c>
      <c r="F129" s="0" t="inlineStr">
        <is>
          <t>NULL</t>
        </is>
      </c>
      <c r="G129" s="0" t="inlineStr">
        <is>
          <t>NULL</t>
        </is>
      </c>
      <c r="H129" s="0" t="inlineStr">
        <is>
          <t>NULL</t>
        </is>
      </c>
      <c r="I129" s="0" t="inlineStr">
        <is>
          <t>YES!PK__info_dat__3213E83FD2DA10ED</t>
        </is>
      </c>
      <c r="J129" s="0" t="inlineStr">
        <is>
          <t>YES! 主键相关索引</t>
        </is>
      </c>
      <c r="K129" s="0" t="inlineStr">
        <is>
          <t xml:space="preserve"> NO!  	 id列源备映射错误，源端为int None位	期望更改为text	实际备端为int None位</t>
        </is>
      </c>
      <c r="AM129" s="0" t="inlineStr">
        <is>
          <t>10行 7列，源：None 备：</t>
        </is>
      </c>
      <c r="AP129" s="0" t="inlineStr">
        <is>
          <t>64行 0列，源：168 备：63</t>
        </is>
      </c>
      <c r="AS129" s="0" t="inlineStr">
        <is>
          <t>10行 5列，源：None 备：99999</t>
        </is>
      </c>
      <c r="BE129" s="0" t="inlineStr">
        <is>
          <t>15行 3列，源：9999-12-31 23:59:59.990000 备：0001-01-01 00:00:00.00</t>
        </is>
      </c>
      <c r="BG129" s="0" t="inlineStr">
        <is>
          <t>8行 10列，源：None 备：</t>
        </is>
      </c>
      <c r="BI129" s="0" t="inlineStr">
        <is>
          <t>14行 4列，源：1945-05-11 14:30:45.123000 备：9999-12-31 23:59:59.999</t>
        </is>
      </c>
      <c r="BJ129" s="0" t="inlineStr">
        <is>
          <t>7行 19列，源：True 备：1</t>
        </is>
      </c>
      <c r="BL129" s="0" t="inlineStr">
        <is>
          <t xml:space="preserve">22行 2列，源：12345678901234567890 备：                    </t>
        </is>
      </c>
      <c r="BP129" s="0" t="inlineStr">
        <is>
          <t>32行 0列，源：127 备：80</t>
        </is>
      </c>
      <c r="BX129" s="0" t="inlineStr">
        <is>
          <t>14行 1列，源：1900-01-01 00:00:00 +00:00 备：1971-05-11 00:00:00 +14:00</t>
        </is>
      </c>
      <c r="CB129" s="0" t="inlineStr">
        <is>
          <t>17行 6列，源：2063-05-11 10:30:45.12346 -04:00 备：9999-12-31 23:59:59.99999 +00:00</t>
        </is>
      </c>
      <c r="CM129" s="0" t="inlineStr">
        <is>
          <t>9行 0列，源：10 备：18</t>
        </is>
      </c>
      <c r="DA129" s="0" t="inlineStr">
        <is>
          <t>8行 9列，源：None 备：</t>
        </is>
      </c>
      <c r="DJ129" s="0" t="inlineStr">
        <is>
          <t>15行 0列，源：16 备：9</t>
        </is>
      </c>
      <c r="DL129" s="0" t="inlineStr">
        <is>
          <t>16行 3列，源：None 备：12:30:45.12</t>
        </is>
      </c>
      <c r="DN129" s="0" t="inlineStr">
        <is>
          <t>22行 2列，源：12345678901234567890 备：</t>
        </is>
      </c>
      <c r="DT129" s="0" t="inlineStr">
        <is>
          <t>15行 0列，源：16 备：9</t>
        </is>
      </c>
      <c r="DU129" s="0" t="inlineStr">
        <is>
          <t>32行 0列，源：127 备：80</t>
        </is>
      </c>
      <c r="DX129" s="0" t="inlineStr">
        <is>
          <t>8行 3列，源：123456789.0 备：</t>
        </is>
      </c>
      <c r="EC129" s="0" t="inlineStr">
        <is>
          <t>15行 0列，源：16 备：59</t>
        </is>
      </c>
      <c r="EG129" s="0" t="inlineStr">
        <is>
          <t>15行 4列，源：05:44:11.123000 备：12:30:45.123</t>
        </is>
      </c>
      <c r="EH129" s="0" t="inlineStr">
        <is>
          <t>8行 3列，源：123456789.0 备：</t>
        </is>
      </c>
      <c r="EP129" s="0" t="inlineStr">
        <is>
          <t>8行 3列，源：123456789.0 备：</t>
        </is>
      </c>
      <c r="ES129" s="0" t="inlineStr">
        <is>
          <t>8行 3列，源：123456789.0 备：</t>
        </is>
      </c>
    </row>
    <row r="130">
      <c r="B130" s="0" t="inlineStr">
        <is>
          <t>NULL</t>
        </is>
      </c>
      <c r="C130" s="0" t="inlineStr">
        <is>
          <t>NULL</t>
        </is>
      </c>
      <c r="D130" s="0" t="inlineStr">
        <is>
          <t>NULL</t>
        </is>
      </c>
      <c r="E130" s="0" t="inlineStr">
        <is>
          <t>NULL</t>
        </is>
      </c>
      <c r="F130" s="0" t="inlineStr">
        <is>
          <t>NULL</t>
        </is>
      </c>
      <c r="G130" s="0" t="inlineStr">
        <is>
          <t>NULL</t>
        </is>
      </c>
      <c r="H130" s="0" t="inlineStr">
        <is>
          <t>NULL</t>
        </is>
      </c>
      <c r="I130" s="0" t="inlineStr">
        <is>
          <t>NULL</t>
        </is>
      </c>
      <c r="J130" s="0" t="inlineStr">
        <is>
          <t>NULL</t>
        </is>
      </c>
      <c r="K130" s="0" t="inlineStr">
        <is>
          <t xml:space="preserve"> NO!  	 c_dtoffset_0列源备映射错误，源端为datetimeoffset None位	期望更改为text	实际备端为datetimeoffset None位</t>
        </is>
      </c>
      <c r="AM130" s="0" t="inlineStr">
        <is>
          <t>10行 8列，源：None 备：</t>
        </is>
      </c>
      <c r="AP130" s="0" t="inlineStr">
        <is>
          <t>64行 1列，源：2004-12-24 23:59:59.990000 备：1999-06-06 23:59:59.997</t>
        </is>
      </c>
      <c r="AS130" s="0" t="inlineStr">
        <is>
          <t>10行 6列，源：None 备：</t>
        </is>
      </c>
      <c r="BE130" s="0" t="inlineStr">
        <is>
          <t>15行 4列，源：9999-12-31 23:59:59.999000 备：0001-01-01 00:00:00.000</t>
        </is>
      </c>
      <c r="BG130" s="0" t="inlineStr">
        <is>
          <t>8行 11列，源：None 备：</t>
        </is>
      </c>
      <c r="BI130" s="0" t="inlineStr">
        <is>
          <t>14行 5列，源：1945-05-11 14:30:45.123500 备：9999-12-31 23:59:59.9999</t>
        </is>
      </c>
      <c r="BJ130" s="0" t="inlineStr">
        <is>
          <t>8行 0列，源：10 备：17</t>
        </is>
      </c>
      <c r="BL130" s="0" t="inlineStr">
        <is>
          <t xml:space="preserve">22行 2列，源：12345678901234567890 备：                    </t>
        </is>
      </c>
      <c r="BP130" s="0" t="inlineStr">
        <is>
          <t>32行 1列，源：b'T' 备：2A</t>
        </is>
      </c>
      <c r="BX130" s="0" t="inlineStr">
        <is>
          <t>14行 2列，源：1900-01-01 00:00:00.0 +00:00 备：1971-05-11 00:00:00.0 +14:00</t>
        </is>
      </c>
      <c r="CB130" s="0" t="inlineStr">
        <is>
          <t>17行 7列，源：2063-05-11 10:30:45.123457 -04:00 备：9999-12-31 23:59:59.999999 +00:00</t>
        </is>
      </c>
      <c r="CM130" s="0" t="inlineStr">
        <is>
          <t>9行 1列，源：nan 备：</t>
        </is>
      </c>
      <c r="DA130" s="0" t="inlineStr">
        <is>
          <t>8行 10列，源：None 备：</t>
        </is>
      </c>
      <c r="DJ130" s="0" t="inlineStr">
        <is>
          <t>15行 1列，源：12:00:00 备：12:30:45</t>
        </is>
      </c>
      <c r="DL130" s="0" t="inlineStr">
        <is>
          <t>16行 4列，源：None 备：12:30:45.120</t>
        </is>
      </c>
      <c r="DN130" s="0" t="inlineStr">
        <is>
          <t>22行 2列，源：12345678901234567890 备：</t>
        </is>
      </c>
      <c r="DT130" s="0" t="inlineStr">
        <is>
          <t>15行 1列，源：12:00:00 备：12:30:45</t>
        </is>
      </c>
      <c r="DU130" s="0" t="inlineStr">
        <is>
          <t>32行 1列，源：b'T' 备：2A</t>
        </is>
      </c>
      <c r="DX130" s="0" t="inlineStr">
        <is>
          <t>8行 4列，源：123456789012345.0 备：</t>
        </is>
      </c>
      <c r="EC130" s="0" t="inlineStr">
        <is>
          <t>15行 1列，源：12:00:00 备：12:30:45</t>
        </is>
      </c>
      <c r="EG130" s="0" t="inlineStr">
        <is>
          <t>15行 5列，源：12:00:00.123500 备：12:30:45.1235</t>
        </is>
      </c>
      <c r="EH130" s="0" t="inlineStr">
        <is>
          <t>8行 4列，源：123456789012345.0 备：</t>
        </is>
      </c>
      <c r="EP130" s="0" t="inlineStr">
        <is>
          <t>8行 4列，源：123456789012345.0 备：</t>
        </is>
      </c>
      <c r="ES130" s="0" t="inlineStr">
        <is>
          <t>8行 4列，源：123456789012345.0 备：</t>
        </is>
      </c>
    </row>
    <row r="131">
      <c r="B131" s="0" t="inlineStr">
        <is>
          <t>NULL</t>
        </is>
      </c>
      <c r="C131" s="0" t="inlineStr">
        <is>
          <t>NULL</t>
        </is>
      </c>
      <c r="D131" s="0" t="inlineStr">
        <is>
          <t>NULL</t>
        </is>
      </c>
      <c r="E131" s="0" t="inlineStr">
        <is>
          <t>NULL</t>
        </is>
      </c>
      <c r="F131" s="0" t="inlineStr">
        <is>
          <t>NULL</t>
        </is>
      </c>
      <c r="G131" s="0" t="inlineStr">
        <is>
          <t>NULL</t>
        </is>
      </c>
      <c r="H131" s="0" t="inlineStr">
        <is>
          <t>NULL</t>
        </is>
      </c>
      <c r="I131" s="0" t="inlineStr">
        <is>
          <t>NULL</t>
        </is>
      </c>
      <c r="J131" s="0" t="inlineStr">
        <is>
          <t>NULL</t>
        </is>
      </c>
      <c r="K131" s="0" t="inlineStr">
        <is>
          <t xml:space="preserve"> NO!  	 c_dtoffset_1列源备映射错误，源端为datetimeoffset None位	期望更改为text	实际备端为datetimeoffset None位</t>
        </is>
      </c>
      <c r="AM131" s="0" t="inlineStr">
        <is>
          <t>10行 10列，源：None 备：</t>
        </is>
      </c>
      <c r="AP131" s="0" t="inlineStr">
        <is>
          <t>65行 0列，源：169 备：64</t>
        </is>
      </c>
      <c r="AS131" s="0" t="inlineStr">
        <is>
          <t>10行 7列，源：None 备：</t>
        </is>
      </c>
      <c r="BE131" s="0" t="inlineStr">
        <is>
          <t>15行 5列，源：9999-12-31 23:59:59.999900 备：0001-01-01 00:00:00.0000</t>
        </is>
      </c>
      <c r="BG131" s="0" t="inlineStr">
        <is>
          <t>8行 12列，源：None 备：</t>
        </is>
      </c>
      <c r="BI131" s="0" t="inlineStr">
        <is>
          <t>14行 6列，源：1945-05-11 14:30:45.123460 备：9999-12-31 23:59:59.99999</t>
        </is>
      </c>
      <c r="BJ131" s="0" t="inlineStr">
        <is>
          <t>8行 1列，源：99.0 备：</t>
        </is>
      </c>
      <c r="BL131"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P131" s="0" t="inlineStr">
        <is>
          <t>32行 2列，源：b'HelloWorld\x00\x00\x00\x00\x00\x00\x00\x00\x00\x00' 备：3132333435363738393031323334353637383930</t>
        </is>
      </c>
      <c r="BX131" s="0" t="inlineStr">
        <is>
          <t>14行 3列，源：1900-01-01 00:00:00.00 +00:00 备：1971-05-11 00:00:00.00 +14:00</t>
        </is>
      </c>
      <c r="CB131" s="0" t="inlineStr">
        <is>
          <t>17行 8列，源：2063-05-11 10:30:45.1234567 -04:00 备：9999-12-31 23:59:59.9999999 +00:00</t>
        </is>
      </c>
      <c r="CM131" s="0" t="inlineStr">
        <is>
          <t>9行 2列，源：nan 备：</t>
        </is>
      </c>
      <c r="DA131" s="0" t="inlineStr">
        <is>
          <t>8行 11列，源：None 备：</t>
        </is>
      </c>
      <c r="DJ131" s="0" t="inlineStr">
        <is>
          <t>15行 2列，源：None 备：12:30:45.1</t>
        </is>
      </c>
      <c r="DL131" s="0" t="inlineStr">
        <is>
          <t>16行 5列，源：None 备：12:30:45.1200</t>
        </is>
      </c>
      <c r="DN131"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DT131" s="0" t="inlineStr">
        <is>
          <t>15行 2列，源：None 备：12:30:45.1</t>
        </is>
      </c>
      <c r="DU131" s="0" t="inlineStr">
        <is>
          <t>32行 2列，源：b'HelloWorld' 备：3132333435363738393031323334353637383930</t>
        </is>
      </c>
      <c r="DX131" s="0" t="inlineStr">
        <is>
          <t>8行 5列，源：None 备：</t>
        </is>
      </c>
      <c r="EC131" s="0" t="inlineStr">
        <is>
          <t>15行 2列，源：None 备：12:30:45.1</t>
        </is>
      </c>
      <c r="EG131" s="0" t="inlineStr">
        <is>
          <t>15行 6列，源：05:44:11.123460 备：12:30:45.12345</t>
        </is>
      </c>
      <c r="EH131" s="0" t="inlineStr">
        <is>
          <t>8行 5列，源：None 备：</t>
        </is>
      </c>
      <c r="EP131" s="0" t="inlineStr">
        <is>
          <t>8行 5列，源：None 备：</t>
        </is>
      </c>
      <c r="ES131" s="0" t="inlineStr">
        <is>
          <t>8行 5列，源：None 备：</t>
        </is>
      </c>
    </row>
    <row r="132">
      <c r="B132" s="0" t="inlineStr">
        <is>
          <t>NULL</t>
        </is>
      </c>
      <c r="C132" s="0" t="inlineStr">
        <is>
          <t>NULL</t>
        </is>
      </c>
      <c r="D132" s="0" t="inlineStr">
        <is>
          <t>NULL</t>
        </is>
      </c>
      <c r="E132" s="0" t="inlineStr">
        <is>
          <t>NULL</t>
        </is>
      </c>
      <c r="F132" s="0" t="inlineStr">
        <is>
          <t>NULL</t>
        </is>
      </c>
      <c r="G132" s="0" t="inlineStr">
        <is>
          <t>NULL</t>
        </is>
      </c>
      <c r="H132" s="0" t="inlineStr">
        <is>
          <t>NULL</t>
        </is>
      </c>
      <c r="I132" s="0" t="inlineStr">
        <is>
          <t>NULL</t>
        </is>
      </c>
      <c r="J132" s="0" t="inlineStr">
        <is>
          <t>NULL</t>
        </is>
      </c>
      <c r="K132" s="0" t="inlineStr">
        <is>
          <t xml:space="preserve"> NO!  	 c_dtoffset_2列源备映射错误，源端为datetimeoffset None位	期望更改为text	实际备端为datetimeoffset None位</t>
        </is>
      </c>
      <c r="AM132" s="0" t="inlineStr">
        <is>
          <t>10行 11列，源：None 备：</t>
        </is>
      </c>
      <c r="AP132" s="0" t="inlineStr">
        <is>
          <t>65行 1列，源：1753-01-02 00:00:00 备：2000-05-01 23:59:59.993</t>
        </is>
      </c>
      <c r="AS132" s="0" t="inlineStr">
        <is>
          <t>10行 8列，源：None 备：</t>
        </is>
      </c>
      <c r="BE132" s="0" t="inlineStr">
        <is>
          <t>15行 6列，源：9999-12-31 23:59:59.999990 备：0001-01-01 00:00:00.00000</t>
        </is>
      </c>
      <c r="BG132" s="0" t="inlineStr">
        <is>
          <t>8行 13列，源：None 备：</t>
        </is>
      </c>
      <c r="BI132" s="0" t="inlineStr">
        <is>
          <t>14行 7列，源：1945-05-11 14:30:45.123457 备：9999-12-31 23:59:59.999999</t>
        </is>
      </c>
      <c r="BJ132" s="0" t="inlineStr">
        <is>
          <t>8行 2列，源：0.0 备：</t>
        </is>
      </c>
      <c r="BL132" s="0" t="inlineStr">
        <is>
          <t xml:space="preserve">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                                                                                                                                                                                                                                                                                                                                                                                                                                                                                                                                                                                                                                                                                                                                                                                                                                                                                                                                                                                                                                                                                                                                                                                                                                                                                                                                                                                                                                                                                                                                                                                                                                                                                                                                                                                                                                                                                                                                                                                                                                                                                                                                                                                                                                                                                                                                                                                                                                                                                                                                                                                                                                                                                                                                                                                                                                                                                                                                                                                                                                                                                                                                                                                                                                                                                                                                                                                                                                                                                                                                                                                                                                            </t>
        </is>
      </c>
      <c r="BP132" s="0" t="inlineStr">
        <is>
          <t>32行 3列，源：b'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BX132" s="0" t="inlineStr">
        <is>
          <t>14行 4列，源：1900-01-01 00:00:00.000 +00:00 备：1971-05-11 00:00:00.000 +14:00</t>
        </is>
      </c>
      <c r="CB132" s="0" t="inlineStr">
        <is>
          <t>18行 0列，源：57 备：206</t>
        </is>
      </c>
      <c r="CM132" s="0" t="inlineStr">
        <is>
          <t>9行 3列，源：nan 备：</t>
        </is>
      </c>
      <c r="DA132" s="0" t="inlineStr">
        <is>
          <t>8行 12列，源：None 备：</t>
        </is>
      </c>
      <c r="DJ132" s="0" t="inlineStr">
        <is>
          <t>15行 3列，源：12:00:00.120000 备：12:30:45.12</t>
        </is>
      </c>
      <c r="DL132" s="0" t="inlineStr">
        <is>
          <t>16行 6列，源：None 备：12:30:45.12000</t>
        </is>
      </c>
      <c r="DN132" s="0" t="inlineStr">
        <is>
          <t>22行 3列，源：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备：</t>
        </is>
      </c>
      <c r="DT132" s="0" t="inlineStr">
        <is>
          <t>15行 3列，源：12:00:00.120000 备：12:30:45.12</t>
        </is>
      </c>
      <c r="DU132" s="0" t="inlineStr">
        <is>
          <t>32行 3列，源：b'HelloWorldTestData' 备：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31323334353637383930</t>
        </is>
      </c>
      <c r="DX132" s="0" t="inlineStr">
        <is>
          <t>8行 6列，源：None 备：</t>
        </is>
      </c>
      <c r="EC132" s="0" t="inlineStr">
        <is>
          <t>15行 3列，源：12:00:00.120000 备：12:30:45.12</t>
        </is>
      </c>
      <c r="EG132" s="0" t="inlineStr">
        <is>
          <t>15行 7列，源：12:00:00.123457 备：12:30:45.123450</t>
        </is>
      </c>
      <c r="EH132" s="0" t="inlineStr">
        <is>
          <t>8行 6列，源：None 备：</t>
        </is>
      </c>
      <c r="EP132" s="0" t="inlineStr">
        <is>
          <t>8行 6列，源：None 备：</t>
        </is>
      </c>
      <c r="ES132" s="0" t="inlineStr">
        <is>
          <t>8行 6列，源：None 备：</t>
        </is>
      </c>
    </row>
    <row r="133">
      <c r="B133" s="0" t="inlineStr">
        <is>
          <t>NULL</t>
        </is>
      </c>
      <c r="C133" s="0" t="inlineStr">
        <is>
          <t>NULL</t>
        </is>
      </c>
      <c r="D133" s="0" t="inlineStr">
        <is>
          <t>NULL</t>
        </is>
      </c>
      <c r="E133" s="0" t="inlineStr">
        <is>
          <t>NULL</t>
        </is>
      </c>
      <c r="F133" s="0" t="inlineStr">
        <is>
          <t>NULL</t>
        </is>
      </c>
      <c r="G133" s="0" t="inlineStr">
        <is>
          <t>NULL</t>
        </is>
      </c>
      <c r="H133" s="0" t="inlineStr">
        <is>
          <t>NULL</t>
        </is>
      </c>
      <c r="I133" s="0" t="inlineStr">
        <is>
          <t>NULL</t>
        </is>
      </c>
      <c r="J133" s="0" t="inlineStr">
        <is>
          <t>NULL</t>
        </is>
      </c>
      <c r="K133" s="0" t="inlineStr">
        <is>
          <t xml:space="preserve"> NO!  	 c_dtoffset_3列源备映射错误，源端为datetimeoffset None位	期望更改为text	实际备端为datetimeoffset None位</t>
        </is>
      </c>
      <c r="AM133" s="0" t="inlineStr">
        <is>
          <t>10行 12列，源：None 备：</t>
        </is>
      </c>
      <c r="AP133" s="0" t="inlineStr">
        <is>
          <t>66行 0列，源：171 备：65</t>
        </is>
      </c>
      <c r="AS133" s="0" t="inlineStr">
        <is>
          <t>10行 10列，源：None 备：</t>
        </is>
      </c>
      <c r="BE133" s="0" t="inlineStr">
        <is>
          <t>15行 7列，源：9999-12-31 23:59:59.999999 备：0001-01-01 00:00:00.000000</t>
        </is>
      </c>
      <c r="BG133" s="0" t="inlineStr">
        <is>
          <t>8行 14列，源：None 备：</t>
        </is>
      </c>
      <c r="BI133" s="0" t="inlineStr">
        <is>
          <t>14行 8列，源：1945-05-11 14:30:45.123456 备：9999-12-31 23:59:59.9999999</t>
        </is>
      </c>
      <c r="BJ133" s="0" t="inlineStr">
        <is>
          <t>8行 3列，源：0.0 备：</t>
        </is>
      </c>
      <c r="BL133" s="0" t="inlineStr">
        <is>
          <t>23行 0列，源：75 备：73</t>
        </is>
      </c>
      <c r="BP133" s="0" t="inlineStr">
        <is>
          <t>33行 0列，源：128 备：9</t>
        </is>
      </c>
      <c r="BX133" s="0" t="inlineStr">
        <is>
          <t>14行 5列，源：1900-01-01 00:00:00.0000 +00:00 备：1971-05-11 00:00:00.0000 +14:00</t>
        </is>
      </c>
      <c r="CB133" s="0" t="inlineStr">
        <is>
          <t>18行 1列，源：1933-05-11 15:30:45 +01:00 备：2063-05-11 10:30:45 -04:00</t>
        </is>
      </c>
      <c r="CM133" s="0" t="inlineStr">
        <is>
          <t>9行 4列，源：nan 备：</t>
        </is>
      </c>
      <c r="DA133" s="0" t="inlineStr">
        <is>
          <t>8行 13列，源：None 备：</t>
        </is>
      </c>
      <c r="DJ133" s="0" t="inlineStr">
        <is>
          <t>15行 4列，源：None 备：12:30:45.123</t>
        </is>
      </c>
      <c r="DL133" s="0" t="inlineStr">
        <is>
          <t>16行 7列，源：None 备：12:30:45.120000</t>
        </is>
      </c>
      <c r="DN133" s="0" t="inlineStr">
        <is>
          <t>23行 0列，源：75 备：73</t>
        </is>
      </c>
      <c r="DT133" s="0" t="inlineStr">
        <is>
          <t>15行 4列，源：None 备：12:30:45.123</t>
        </is>
      </c>
      <c r="DU133" s="0" t="inlineStr">
        <is>
          <t>33行 0列，源：128 备：9</t>
        </is>
      </c>
      <c r="DX133" s="0" t="inlineStr">
        <is>
          <t>8行 7列，源：None 备：</t>
        </is>
      </c>
      <c r="EC133" s="0" t="inlineStr">
        <is>
          <t>15行 4列，源：None 备：12:30:45.123</t>
        </is>
      </c>
      <c r="EG133" s="0" t="inlineStr">
        <is>
          <t>15行 8列，源：05:44:11.123456 备：12:30:45.1234500</t>
        </is>
      </c>
      <c r="EH133" s="0" t="inlineStr">
        <is>
          <t>8行 7列，源：None 备：</t>
        </is>
      </c>
      <c r="EP133" s="0" t="inlineStr">
        <is>
          <t>8行 7列，源：None 备：</t>
        </is>
      </c>
      <c r="ES133" s="0" t="inlineStr">
        <is>
          <t>8行 7列，源：None 备：</t>
        </is>
      </c>
    </row>
    <row r="134">
      <c r="B134" s="0" t="inlineStr">
        <is>
          <t>NULL</t>
        </is>
      </c>
      <c r="C134" s="0" t="inlineStr">
        <is>
          <t>NULL</t>
        </is>
      </c>
      <c r="D134" s="0" t="inlineStr">
        <is>
          <t>NULL</t>
        </is>
      </c>
      <c r="E134" s="0" t="inlineStr">
        <is>
          <t>NULL</t>
        </is>
      </c>
      <c r="F134" s="0" t="inlineStr">
        <is>
          <t>NULL</t>
        </is>
      </c>
      <c r="G134" s="0" t="inlineStr">
        <is>
          <t>NULL</t>
        </is>
      </c>
      <c r="H134" s="0" t="inlineStr">
        <is>
          <t>NULL</t>
        </is>
      </c>
      <c r="I134" s="0" t="inlineStr">
        <is>
          <t>NULL</t>
        </is>
      </c>
      <c r="J134" s="0" t="inlineStr">
        <is>
          <t>NULL</t>
        </is>
      </c>
      <c r="K134" s="0" t="inlineStr">
        <is>
          <t xml:space="preserve"> NO!  	 c_dtoffset_4列源备映射错误，源端为datetimeoffset None位	期望更改为text	实际备端为datetimeoffset None位</t>
        </is>
      </c>
      <c r="AM134" s="0" t="inlineStr">
        <is>
          <t>10行 13列，源：None 备：</t>
        </is>
      </c>
      <c r="AP134" s="0" t="inlineStr">
        <is>
          <t>66行 1列，源：2023-05-11 00:00:00.123000 备：2001-04-09 23:59:59.993</t>
        </is>
      </c>
      <c r="AS134" s="0" t="inlineStr">
        <is>
          <t>10行 11列，源：None 备：</t>
        </is>
      </c>
      <c r="BE134" s="0" t="inlineStr">
        <is>
          <t>15行 8列，源：9999-12-31 23:59:59.999999 备：0001-01-01 00:00:00.0000000</t>
        </is>
      </c>
      <c r="BG134" s="0" t="inlineStr">
        <is>
          <t>8行 15列，源：1.23456789e-38 备：340282346600000016151267322115014000640.0000000000000</t>
        </is>
      </c>
      <c r="BI134" s="0" t="inlineStr">
        <is>
          <t>15行 0列，源：107 备：56</t>
        </is>
      </c>
      <c r="BJ134" s="0" t="inlineStr">
        <is>
          <t>8行 4列，源：0.0 备：</t>
        </is>
      </c>
      <c r="BL134" s="0" t="inlineStr">
        <is>
          <t>23行 1列，源：X 备：A</t>
        </is>
      </c>
      <c r="BP134" s="0" t="inlineStr">
        <is>
          <t>33行 1列，源：b'B' 备：2A</t>
        </is>
      </c>
      <c r="BX134" s="0" t="inlineStr">
        <is>
          <t>14行 6列，源：1900-01-01 00:00:00.00000 +00:00 备：1971-05-11 00:00:00.00000 +14:00</t>
        </is>
      </c>
      <c r="CB134" s="0" t="inlineStr">
        <is>
          <t>18行 2列，源：1933-05-11 15:30:45.1 +01:00 备：2063-05-11 10:30:45.1 -04:00</t>
        </is>
      </c>
      <c r="CM134" s="0" t="inlineStr">
        <is>
          <t>9行 5列，源：None 备：</t>
        </is>
      </c>
      <c r="DA134" s="0" t="inlineStr">
        <is>
          <t>8行 14列，源：None 备：</t>
        </is>
      </c>
      <c r="DJ134" s="0" t="inlineStr">
        <is>
          <t>15行 5列，源：12:00:00.123500 备：12:30:45.1235</t>
        </is>
      </c>
      <c r="DL134" s="0" t="inlineStr">
        <is>
          <t>16行 8列，源：None 备：12:30:45.1200000</t>
        </is>
      </c>
      <c r="DN134" s="0" t="inlineStr">
        <is>
          <t>23行 1列，源：X 备：A</t>
        </is>
      </c>
      <c r="DT134" s="0" t="inlineStr">
        <is>
          <t>15行 5列，源：12:00:00.123500 备：12:30:45.1235</t>
        </is>
      </c>
      <c r="DU134" s="0" t="inlineStr">
        <is>
          <t>33行 1列，源：b'B' 备：2A</t>
        </is>
      </c>
      <c r="DX134" s="0" t="inlineStr">
        <is>
          <t>8行 8列，源：None 备：</t>
        </is>
      </c>
      <c r="EC134" s="0" t="inlineStr">
        <is>
          <t>15行 5列，源：12:00:00.123500 备：12:30:45.1235</t>
        </is>
      </c>
      <c r="EH134" s="0" t="inlineStr">
        <is>
          <t>8行 8列，源：None 备：</t>
        </is>
      </c>
      <c r="EP134" s="0" t="inlineStr">
        <is>
          <t>8行 8列，源：None 备：</t>
        </is>
      </c>
      <c r="ES134" s="0" t="inlineStr">
        <is>
          <t>8行 8列，源：None 备：</t>
        </is>
      </c>
    </row>
    <row r="135">
      <c r="B135" s="0" t="inlineStr">
        <is>
          <t>NULL</t>
        </is>
      </c>
      <c r="C135" s="0" t="inlineStr">
        <is>
          <t>NULL</t>
        </is>
      </c>
      <c r="D135" s="0" t="inlineStr">
        <is>
          <t>NULL</t>
        </is>
      </c>
      <c r="E135" s="0" t="inlineStr">
        <is>
          <t>NULL</t>
        </is>
      </c>
      <c r="F135" s="0" t="inlineStr">
        <is>
          <t>NULL</t>
        </is>
      </c>
      <c r="G135" s="0" t="inlineStr">
        <is>
          <t>NULL</t>
        </is>
      </c>
      <c r="H135" s="0" t="inlineStr">
        <is>
          <t>NULL</t>
        </is>
      </c>
      <c r="I135" s="0" t="inlineStr">
        <is>
          <t>NULL</t>
        </is>
      </c>
      <c r="J135" s="0" t="inlineStr">
        <is>
          <t>NULL</t>
        </is>
      </c>
      <c r="K135" s="0" t="inlineStr">
        <is>
          <t xml:space="preserve"> NO!  	 c_dtoffset_5列源备映射错误，源端为datetimeoffset None位	期望更改为text	实际备端为datetimeoffset None位</t>
        </is>
      </c>
      <c r="AM135" s="0" t="inlineStr">
        <is>
          <t>10行 14列，源：None 备：</t>
        </is>
      </c>
      <c r="AP135" s="0" t="inlineStr">
        <is>
          <t>67行 0列，源：172 备：66</t>
        </is>
      </c>
      <c r="AS135" s="0" t="inlineStr">
        <is>
          <t>10行 12列，源：None 备：</t>
        </is>
      </c>
      <c r="BE135" s="0" t="inlineStr">
        <is>
          <t>16行 0列，源：76 备：25</t>
        </is>
      </c>
      <c r="BG135" s="0" t="inlineStr">
        <is>
          <t>8行 16列，源：1.1754939304327482e-38 备：340282306073709652508363335590014353408.000000</t>
        </is>
      </c>
      <c r="BI135" s="0" t="inlineStr">
        <is>
          <t>15行 1列，源：2065-05-11 14:30:45 备：1945-05-11 14:30:45</t>
        </is>
      </c>
      <c r="BJ135" s="0" t="inlineStr">
        <is>
          <t>8行 6列，源：None 备：</t>
        </is>
      </c>
      <c r="BL135" s="0" t="inlineStr">
        <is>
          <t>23行 1列，源：X 备：A</t>
        </is>
      </c>
      <c r="BP135" s="0" t="inlineStr">
        <is>
          <t>33行 2列，源：b'\xc9\xcf\xba\xa3\xd3\xa2\xb7\xbd\xc8\xed\xbc\xfe\xb9\xc9\xb7\xdd\xb9\xab\xcb\xbe' 备：7E21402324255E262A5D00000000000000000000</t>
        </is>
      </c>
      <c r="BX135" s="0" t="inlineStr">
        <is>
          <t>14行 7列，源：1900-01-01 00:00:00.000000 +00:00 备：1971-05-11 00:00:00.000000 +14:00</t>
        </is>
      </c>
      <c r="CB135" s="0" t="inlineStr">
        <is>
          <t>18行 3列，源：1933-05-11 15:30:45.12 +01:00 备：2063-05-11 10:30:45.12 -04:00</t>
        </is>
      </c>
      <c r="CM135" s="0" t="inlineStr">
        <is>
          <t>9行 6列，源：None 备：</t>
        </is>
      </c>
      <c r="DA135" s="0" t="inlineStr">
        <is>
          <t>8行 15列，源：nan 备：</t>
        </is>
      </c>
      <c r="DJ135" s="0" t="inlineStr">
        <is>
          <t>15行 6列，源：None 备：12:30:45.12345</t>
        </is>
      </c>
      <c r="DL135" s="0" t="inlineStr">
        <is>
          <t>17行 0列，源：22 备：27</t>
        </is>
      </c>
      <c r="DN135" s="0" t="inlineStr">
        <is>
          <t>23行 1列，源：X 备：A</t>
        </is>
      </c>
      <c r="DT135" s="0" t="inlineStr">
        <is>
          <t>15行 6列，源：None 备：12:30:45.12345</t>
        </is>
      </c>
      <c r="DU135" s="0" t="inlineStr">
        <is>
          <t>33行 2列，源：b'\xc9\xcf\xba\xa3\xd3\xa2\xb7\xbd\xc8\xed\xbc\xfe\xb9\xc9\xb7\xdd\xb9\xab\xcb\xbe' 备：7E21402324255E262A5D</t>
        </is>
      </c>
      <c r="DX135" s="0" t="inlineStr">
        <is>
          <t>8行 9列，源：None 备：</t>
        </is>
      </c>
      <c r="EC135" s="0" t="inlineStr">
        <is>
          <t>15行 6列，源：None 备：12:30:45.12345</t>
        </is>
      </c>
      <c r="EH135" s="0" t="inlineStr">
        <is>
          <t>8行 9列，源：None 备：</t>
        </is>
      </c>
      <c r="EP135" s="0" t="inlineStr">
        <is>
          <t>8行 9列，源：None 备：</t>
        </is>
      </c>
      <c r="ES135" s="0" t="inlineStr">
        <is>
          <t>8行 9列，源：None 备：</t>
        </is>
      </c>
    </row>
    <row r="136">
      <c r="B136" s="0" t="inlineStr">
        <is>
          <t>NULL</t>
        </is>
      </c>
      <c r="C136" s="0" t="inlineStr">
        <is>
          <t>NULL</t>
        </is>
      </c>
      <c r="D136" s="0" t="inlineStr">
        <is>
          <t>NULL</t>
        </is>
      </c>
      <c r="E136" s="0" t="inlineStr">
        <is>
          <t>NULL</t>
        </is>
      </c>
      <c r="F136" s="0" t="inlineStr">
        <is>
          <t>NULL</t>
        </is>
      </c>
      <c r="G136" s="0" t="inlineStr">
        <is>
          <t>NULL</t>
        </is>
      </c>
      <c r="H136" s="0" t="inlineStr">
        <is>
          <t>NULL</t>
        </is>
      </c>
      <c r="I136" s="0" t="inlineStr">
        <is>
          <t>NULL</t>
        </is>
      </c>
      <c r="J136" s="0" t="inlineStr">
        <is>
          <t>NULL</t>
        </is>
      </c>
      <c r="K136" s="0" t="inlineStr">
        <is>
          <t xml:space="preserve"> NO!  	 c_dtoffset_6列源备映射错误，源端为datetimeoffset None位	期望更改为text	实际备端为datetimeoffset None位</t>
        </is>
      </c>
      <c r="AM136" s="0" t="inlineStr">
        <is>
          <t>10行 15列，源：1.23456789012345e-30 备：0.0000000000000</t>
        </is>
      </c>
      <c r="AP136" s="0" t="inlineStr">
        <is>
          <t>67行 1列，源：2024-05-11 12:00:00.567000 备：2002-06-11 23:59:59.993</t>
        </is>
      </c>
      <c r="AS136" s="0" t="inlineStr">
        <is>
          <t>10行 13列，源：None 备：</t>
        </is>
      </c>
      <c r="BE136" s="0" t="inlineStr">
        <is>
          <t>16行 1列，源：1945-05-11 14:30:45 备：9999-12-31 23:59:59</t>
        </is>
      </c>
      <c r="BG136" s="0" t="inlineStr">
        <is>
          <t>8行 19列，源：True 备：1</t>
        </is>
      </c>
      <c r="BI136" s="0" t="inlineStr">
        <is>
          <t>15行 2列，源：2065-05-11 14:30:45.100000 备：1945-05-11 14:30:45.1</t>
        </is>
      </c>
      <c r="BJ136" s="0" t="inlineStr">
        <is>
          <t>8行 7列，源：None 备：</t>
        </is>
      </c>
      <c r="BL136" s="0" t="inlineStr">
        <is>
          <t>23行 2列，源：This is a nchar stri 备：THIS IS A TESTCASEYF</t>
        </is>
      </c>
      <c r="BP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BX136" s="0" t="inlineStr">
        <is>
          <t>14行 8列，源：1900-01-01 00:00:00.0000000 +00:00 备：1971-05-11 00:00:00.0000001 +14:00</t>
        </is>
      </c>
      <c r="CB136" s="0" t="inlineStr">
        <is>
          <t>18行 4列，源：1933-05-11 15:30:45.123 +01:00 备：2063-05-11 10:30:45.123 -04:00</t>
        </is>
      </c>
      <c r="CM136" s="0" t="inlineStr">
        <is>
          <t>9行 7列，源：None 备：</t>
        </is>
      </c>
      <c r="DA136" s="0" t="inlineStr">
        <is>
          <t>8行 16列，源：nan 备：</t>
        </is>
      </c>
      <c r="DJ136" s="0" t="inlineStr">
        <is>
          <t>15行 7列，源：12:00:00.123457 备：12:30:45.123450</t>
        </is>
      </c>
      <c r="DL136" s="0" t="inlineStr">
        <is>
          <t>17行 1列，源：00:00:00 备：12:30:45</t>
        </is>
      </c>
      <c r="DN136" s="0" t="inlineStr">
        <is>
          <t>23行 2列，源：This is a nchar stri 备：THIS IS A TESTCASEYF</t>
        </is>
      </c>
      <c r="DT136" s="0" t="inlineStr">
        <is>
          <t>15行 7列，源：12:00:00.123457 备：12:30:45.123450</t>
        </is>
      </c>
      <c r="DU136" s="0" t="inlineStr">
        <is>
          <t>33行 3列，源：b'\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xc9\xcf\xba\xa3\xd3\xa2\xb7\xbd\xc8\xed\xbc\xfe\xb9\xc9\xb7\xdd\xb9\xab\xcb\xbe' 备：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t>
        </is>
      </c>
      <c r="DX136" s="0" t="inlineStr">
        <is>
          <t>8行 10列，源：None 备：</t>
        </is>
      </c>
      <c r="EC136" s="0" t="inlineStr">
        <is>
          <t>15行 7列，源：12:00:00.123457 备：12:30:45.123450</t>
        </is>
      </c>
      <c r="EH136" s="0" t="inlineStr">
        <is>
          <t>8行 10列，源：None 备：</t>
        </is>
      </c>
      <c r="EP136" s="0" t="inlineStr">
        <is>
          <t>8行 10列，源：None 备：</t>
        </is>
      </c>
      <c r="ES136" s="0" t="inlineStr">
        <is>
          <t>8行 10列，源：None 备：</t>
        </is>
      </c>
    </row>
    <row r="137">
      <c r="B137" s="0" t="inlineStr">
        <is>
          <t>NULL</t>
        </is>
      </c>
      <c r="C137" s="0" t="inlineStr">
        <is>
          <t>NULL</t>
        </is>
      </c>
      <c r="D137" s="0" t="inlineStr">
        <is>
          <t>NULL</t>
        </is>
      </c>
      <c r="E137" s="0" t="inlineStr">
        <is>
          <t>NULL</t>
        </is>
      </c>
      <c r="F137" s="0" t="inlineStr">
        <is>
          <t>NULL</t>
        </is>
      </c>
      <c r="G137" s="0" t="inlineStr">
        <is>
          <t>NULL</t>
        </is>
      </c>
      <c r="H137" s="0" t="inlineStr">
        <is>
          <t>NULL</t>
        </is>
      </c>
      <c r="I137" s="0" t="inlineStr">
        <is>
          <t>NULL</t>
        </is>
      </c>
      <c r="J137" s="0" t="inlineStr">
        <is>
          <t>NULL</t>
        </is>
      </c>
      <c r="K137" s="0" t="inlineStr">
        <is>
          <t xml:space="preserve"> NO!  	 c_dtoffset列源备映射错误，源端为datetimeoffset None位	期望更改为text	实际备端为datetimeoffset None位</t>
        </is>
      </c>
      <c r="AM137" s="0" t="inlineStr">
        <is>
          <t>10行 16列，源：1.2345669834560371e-20 备：0.000000</t>
        </is>
      </c>
      <c r="AP137" s="0" t="inlineStr">
        <is>
          <t>68行 0列，源：173 备：67</t>
        </is>
      </c>
      <c r="AS137" s="0" t="inlineStr">
        <is>
          <t>10行 14列，源：None 备：</t>
        </is>
      </c>
      <c r="BE137" s="0" t="inlineStr">
        <is>
          <t>16行 2列，源：1945-05-11 14:30:45.100000 备：9999-12-31 23:59:59.9</t>
        </is>
      </c>
      <c r="BG137" s="0" t="inlineStr">
        <is>
          <t>9行 0列，源：19 备：20</t>
        </is>
      </c>
      <c r="BI137" s="0" t="inlineStr">
        <is>
          <t>15行 3列，源：2065-05-11 14:30:45.120000 备：1945-05-11 14:30:45.12</t>
        </is>
      </c>
      <c r="BJ137" s="0" t="inlineStr">
        <is>
          <t>8行 8列，源：None 备：</t>
        </is>
      </c>
      <c r="BL137" s="0" t="inlineStr">
        <is>
          <t>23行 2列，源：This is a nchar stri 备：THIS IS A TESTCASEYF</t>
        </is>
      </c>
      <c r="BX137" s="0" t="inlineStr">
        <is>
          <t>15行 0列，源：23 备：172</t>
        </is>
      </c>
      <c r="CB137" s="0" t="inlineStr">
        <is>
          <t>18行 5列，源：1933-05-11 15:30:45.1235 +01:00 备：2063-05-11 10:30:45.1235 -04:00</t>
        </is>
      </c>
      <c r="CM137" s="0" t="inlineStr">
        <is>
          <t>9行 8列，源：None 备：</t>
        </is>
      </c>
      <c r="DA137" s="0" t="inlineStr">
        <is>
          <t>8行 19列，源：None 备：</t>
        </is>
      </c>
      <c r="DJ137" s="0" t="inlineStr">
        <is>
          <t>15行 8列，源：None 备：12:30:45.1234500</t>
        </is>
      </c>
      <c r="DL137" s="0" t="inlineStr">
        <is>
          <t>17行 2列，源：00:00:00 备：12:30:45.1</t>
        </is>
      </c>
      <c r="DN137" s="0" t="inlineStr">
        <is>
          <t>23行 2列，源：This is a nchar stri 备：THIS IS A TESTCASEYF</t>
        </is>
      </c>
      <c r="DT137" s="0" t="inlineStr">
        <is>
          <t>15行 8列，源：None 备：12:30:45.1234500</t>
        </is>
      </c>
      <c r="DX137" s="0" t="inlineStr">
        <is>
          <t>8行 11列，源：None 备：</t>
        </is>
      </c>
      <c r="EC137" s="0" t="inlineStr">
        <is>
          <t>15行 8列，源：None 备：12:30:45.1234500</t>
        </is>
      </c>
      <c r="EH137" s="0" t="inlineStr">
        <is>
          <t>8行 11列，源：None 备：</t>
        </is>
      </c>
      <c r="EP137" s="0" t="inlineStr">
        <is>
          <t>8行 11列，源：None 备：</t>
        </is>
      </c>
      <c r="ES137" s="0" t="inlineStr">
        <is>
          <t>8行 11列，源：None 备：</t>
        </is>
      </c>
    </row>
    <row r="138">
      <c r="A138" s="0" t="inlineStr">
        <is>
          <t>info_text_dml_single_pk_drp</t>
        </is>
      </c>
      <c r="K138" s="0" t="inlineStr">
        <is>
          <t>[0;34m info_text_dml_single_pk_drp [0m源备字段数相同，源端字段：3 	备端字段3</t>
        </is>
      </c>
      <c r="W138" s="0" t="inlineStr">
        <is>
          <t>YES 源备无差异</t>
        </is>
      </c>
      <c r="X138" s="0">
        <f>A138</f>
        <v/>
      </c>
      <c r="AM138" s="0" t="inlineStr">
        <is>
          <t>10行 18列，源：None 备：214748.3647</t>
        </is>
      </c>
      <c r="AP138" s="0" t="inlineStr">
        <is>
          <t>68行 1列，源：2025-01-01 00:00:00.233000 备：2003-11-04 23:59:59.990</t>
        </is>
      </c>
      <c r="AS138" s="0" t="inlineStr">
        <is>
          <t>10行 15列，源：1.23456789012345e-30 备：123.4567890000000</t>
        </is>
      </c>
      <c r="BE138" s="0" t="inlineStr">
        <is>
          <t>16行 3列，源：1945-05-11 14:30:45.120000 备：9999-12-31 23:59:59.99</t>
        </is>
      </c>
      <c r="BG138" s="0" t="inlineStr">
        <is>
          <t>9行 1列，源：nan 备：</t>
        </is>
      </c>
      <c r="BI138" s="0" t="inlineStr">
        <is>
          <t>15行 4列，源：2065-05-11 14:30:45.123000 备：1945-05-11 14:30:45.123</t>
        </is>
      </c>
      <c r="BJ138" s="0" t="inlineStr">
        <is>
          <t>8行 10列，源：None 备：</t>
        </is>
      </c>
      <c r="BL138"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X138" s="0" t="inlineStr">
        <is>
          <t>15行 1列，源：2026-04-17 17:18:23 +08:00 备：1900-01-01 00:00:00 +00:00</t>
        </is>
      </c>
      <c r="CB138" s="0" t="inlineStr">
        <is>
          <t>18行 6列，源：1933-05-11 15:30:45.12346 +01:00 备：2063-05-11 10:30:45.12346 -04:00</t>
        </is>
      </c>
      <c r="CM138" s="0" t="inlineStr">
        <is>
          <t>9行 10列，源：None 备：</t>
        </is>
      </c>
      <c r="DA138" s="0" t="inlineStr">
        <is>
          <t>9行 0列，源：14 备：19</t>
        </is>
      </c>
      <c r="DL138" s="0" t="inlineStr">
        <is>
          <t>17行 3列，源：00:00:00 备：12:30:45.12</t>
        </is>
      </c>
      <c r="DN138"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X138" s="0" t="inlineStr">
        <is>
          <t>8行 12列，源：None 备：</t>
        </is>
      </c>
      <c r="EC138" s="0" t="inlineStr">
        <is>
          <t>16行 0列，源：57 备：6</t>
        </is>
      </c>
      <c r="EH138" s="0" t="inlineStr">
        <is>
          <t>8行 12列，源：None 备：</t>
        </is>
      </c>
      <c r="EP138" s="0" t="inlineStr">
        <is>
          <t>8行 12列，源：None 备：</t>
        </is>
      </c>
      <c r="ES138" s="0" t="inlineStr">
        <is>
          <t>8行 12列，源：None 备：</t>
        </is>
      </c>
    </row>
    <row r="139">
      <c r="B139" s="0" t="inlineStr">
        <is>
          <t>YES</t>
        </is>
      </c>
      <c r="C139" s="0" t="inlineStr">
        <is>
          <t>NULL</t>
        </is>
      </c>
      <c r="D139" s="0" t="inlineStr">
        <is>
          <t>NULL</t>
        </is>
      </c>
      <c r="E139" s="0" t="inlineStr">
        <is>
          <t>NULL</t>
        </is>
      </c>
      <c r="F139" s="0" t="inlineStr">
        <is>
          <t>NULL</t>
        </is>
      </c>
      <c r="G139" s="0" t="inlineStr">
        <is>
          <t>NULL</t>
        </is>
      </c>
      <c r="H139" s="0" t="inlineStr">
        <is>
          <t>NULL</t>
        </is>
      </c>
      <c r="I139" s="0" t="inlineStr">
        <is>
          <t>YES!PK__info_tex__3213E83FE3762927</t>
        </is>
      </c>
      <c r="J139" s="0" t="inlineStr">
        <is>
          <t>YES! 主键相关索引</t>
        </is>
      </c>
      <c r="K139" s="0" t="inlineStr">
        <is>
          <t xml:space="preserve"> NO!  	 id列源备映射错误，源端为int None位	期望更改为text	实际备端为int None位</t>
        </is>
      </c>
      <c r="AM139" s="0" t="inlineStr">
        <is>
          <t>10行 19列，源：False 备：0</t>
        </is>
      </c>
      <c r="AP139" s="0" t="inlineStr">
        <is>
          <t>69行 0列，源：356 备：68</t>
        </is>
      </c>
      <c r="AS139" s="0" t="inlineStr">
        <is>
          <t>10行 16列，源：1.2345669834560371e-20 备：0.000000</t>
        </is>
      </c>
      <c r="BE139" s="0" t="inlineStr">
        <is>
          <t>16行 4列，源：1945-05-11 14:30:45.123000 备：9999-12-31 23:59:59.999</t>
        </is>
      </c>
      <c r="BG139" s="0" t="inlineStr">
        <is>
          <t>9行 2列，源：nan 备：</t>
        </is>
      </c>
      <c r="BI139" s="0" t="inlineStr">
        <is>
          <t>15行 5列，源：2065-05-11 14:30:45.123500 备：1945-05-11 14:30:45.1235</t>
        </is>
      </c>
      <c r="BJ139" s="0" t="inlineStr">
        <is>
          <t>8行 11列，源：None 备：</t>
        </is>
      </c>
      <c r="BL139" s="0" t="inlineStr">
        <is>
          <t xml:space="preserve">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                                                                                                                                                                                                                                                                                                                                                                                                                                                                                                                                                                                                                                                                                                                                                                                                                                                                                                                                                                                                                                                                                                                                                                                                                                                                                                                                                                                                                                                                                                                                                            </t>
        </is>
      </c>
      <c r="BX139" s="0" t="inlineStr">
        <is>
          <t>15行 2列，源：2026-04-17 17:18:22.8 +08:00 备：1900-01-01 00:00:00.0 +00:00</t>
        </is>
      </c>
      <c r="CB139" s="0" t="inlineStr">
        <is>
          <t>18行 7列，源：1933-05-11 15:30:45.123457 +01:00 备：2063-05-11 10:30:45.123457 -04:00</t>
        </is>
      </c>
      <c r="CM139" s="0" t="inlineStr">
        <is>
          <t>9行 11列，源：None 备：</t>
        </is>
      </c>
      <c r="DA139" s="0" t="inlineStr">
        <is>
          <t>9行 1列，源：nan 备：</t>
        </is>
      </c>
      <c r="DL139" s="0" t="inlineStr">
        <is>
          <t>17行 4列，源：00:00:00 备：12:30:45.123</t>
        </is>
      </c>
      <c r="DN139" s="0" t="inlineStr">
        <is>
          <t>23行 3列，源：This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备：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t>
        </is>
      </c>
      <c r="DX139" s="0" t="inlineStr">
        <is>
          <t>8行 13列，源：None 备：</t>
        </is>
      </c>
      <c r="EC139" s="0" t="inlineStr">
        <is>
          <t>17行 0列，源：58 备：60</t>
        </is>
      </c>
      <c r="EH139" s="0" t="inlineStr">
        <is>
          <t>8行 13列，源：None 备：</t>
        </is>
      </c>
      <c r="EP139" s="0" t="inlineStr">
        <is>
          <t>8行 13列，源：None 备：</t>
        </is>
      </c>
      <c r="ES139" s="0" t="inlineStr">
        <is>
          <t>8行 13列，源：None 备：</t>
        </is>
      </c>
    </row>
    <row r="140">
      <c r="B140" s="0" t="inlineStr">
        <is>
          <t>NULL</t>
        </is>
      </c>
      <c r="C140" s="0" t="inlineStr">
        <is>
          <t>NULL</t>
        </is>
      </c>
      <c r="D140" s="0" t="inlineStr">
        <is>
          <t>NULL</t>
        </is>
      </c>
      <c r="E140" s="0" t="inlineStr">
        <is>
          <t>NULL</t>
        </is>
      </c>
      <c r="F140" s="0" t="inlineStr">
        <is>
          <t>NULL</t>
        </is>
      </c>
      <c r="G140" s="0" t="inlineStr">
        <is>
          <t>NULL</t>
        </is>
      </c>
      <c r="H140" s="0" t="inlineStr">
        <is>
          <t>NULL</t>
        </is>
      </c>
      <c r="I140" s="0" t="inlineStr">
        <is>
          <t>NULL</t>
        </is>
      </c>
      <c r="J140" s="0" t="inlineStr">
        <is>
          <t>NULL</t>
        </is>
      </c>
      <c r="K140" s="0" t="inlineStr">
        <is>
          <t>YES! 	 c_text列源备映射正确，源端为text 2147483647位	期望更改为text	实际备端为text 2147483647位</t>
        </is>
      </c>
      <c r="AM140" s="0" t="inlineStr">
        <is>
          <t>11行 0列，源：12 备：2</t>
        </is>
      </c>
      <c r="AP140" s="0" t="inlineStr">
        <is>
          <t>69行 1列，源：2020-02-29 19:27:31.123000 备：2004-12-24 23:59:59.990</t>
        </is>
      </c>
      <c r="AS140" s="0" t="inlineStr">
        <is>
          <t>10行 18列，源：None 备：214748.3647</t>
        </is>
      </c>
      <c r="BE140" s="0" t="inlineStr">
        <is>
          <t>16行 5列，源：1945-05-11 14:30:45.123500 备：9999-12-31 23:59:59.9999</t>
        </is>
      </c>
      <c r="BG140" s="0" t="inlineStr">
        <is>
          <t>9行 3列，源：nan 备：</t>
        </is>
      </c>
      <c r="BI140" s="0" t="inlineStr">
        <is>
          <t>15行 6列，源：2065-05-11 14:30:45.123460 备：1945-05-11 14:30:45.12346</t>
        </is>
      </c>
      <c r="BJ140" s="0" t="inlineStr">
        <is>
          <t>8行 12列，源：None 备：</t>
        </is>
      </c>
      <c r="BL140" s="0" t="inlineStr">
        <is>
          <t>24行 0列，源：76 备：74</t>
        </is>
      </c>
      <c r="BX140" s="0" t="inlineStr">
        <is>
          <t>15行 3列，源：2026-04-17 17:18:22.75 +08:00 备：1900-01-01 00:00:00.00 +00:00</t>
        </is>
      </c>
      <c r="CB140" s="0" t="inlineStr">
        <is>
          <t>18行 8列，源：1933-05-11 15:30:45.1234567 +01:00 备：2063-05-11 10:30:45.1234567 -04:00</t>
        </is>
      </c>
      <c r="CM140" s="0" t="inlineStr">
        <is>
          <t>9行 12列，源：None 备：</t>
        </is>
      </c>
      <c r="DA140" s="0" t="inlineStr">
        <is>
          <t>9行 2列，源：nan 备：</t>
        </is>
      </c>
      <c r="DL140" s="0" t="inlineStr">
        <is>
          <t>17行 5列，源：00:00:00 备：12:30:45.1230</t>
        </is>
      </c>
      <c r="DN140" s="0" t="inlineStr">
        <is>
          <t>24行 0列，源：76 备：74</t>
        </is>
      </c>
      <c r="DX140" s="0" t="inlineStr">
        <is>
          <t>8行 14列，源：None 备：</t>
        </is>
      </c>
      <c r="EC140" s="0" t="inlineStr">
        <is>
          <t>18行 0列，源：59 备：61</t>
        </is>
      </c>
      <c r="EH140" s="0" t="inlineStr">
        <is>
          <t>8行 14列，源：None 备：</t>
        </is>
      </c>
      <c r="EP140" s="0" t="inlineStr">
        <is>
          <t>8行 14列，源：None 备：</t>
        </is>
      </c>
      <c r="ES140" s="0" t="inlineStr">
        <is>
          <t>8行 14列，源：None 备：</t>
        </is>
      </c>
    </row>
    <row r="141">
      <c r="B141" s="0" t="inlineStr">
        <is>
          <t>NULL</t>
        </is>
      </c>
      <c r="C141" s="0" t="inlineStr">
        <is>
          <t>NULL</t>
        </is>
      </c>
      <c r="D141" s="0" t="inlineStr">
        <is>
          <t>NULL</t>
        </is>
      </c>
      <c r="E141" s="0" t="inlineStr">
        <is>
          <t>NULL</t>
        </is>
      </c>
      <c r="F141" s="0" t="inlineStr">
        <is>
          <t>NULL</t>
        </is>
      </c>
      <c r="G141" s="0" t="inlineStr">
        <is>
          <t>NULL</t>
        </is>
      </c>
      <c r="H141" s="0" t="inlineStr">
        <is>
          <t>NULL</t>
        </is>
      </c>
      <c r="I141" s="0" t="inlineStr">
        <is>
          <t>NULL</t>
        </is>
      </c>
      <c r="J141" s="0" t="inlineStr">
        <is>
          <t>NULL</t>
        </is>
      </c>
      <c r="K141" s="0" t="inlineStr">
        <is>
          <t xml:space="preserve"> NO!  	 c_ntext列源备映射错误，源端为ntext 2147483646位	期望更改为text	实际备端为ntext 2147483646位</t>
        </is>
      </c>
      <c r="AM141" s="0" t="inlineStr">
        <is>
          <t>11行 2列，源：nan 备：32767</t>
        </is>
      </c>
      <c r="AP141" s="0" t="inlineStr">
        <is>
          <t>70行 0列，源：357 备：69</t>
        </is>
      </c>
      <c r="AS141" s="0" t="inlineStr">
        <is>
          <t>10行 19列，源：False 备：1</t>
        </is>
      </c>
      <c r="BE141" s="0" t="inlineStr">
        <is>
          <t>16行 6列，源：1945-05-11 14:30:45.123460 备：9999-12-31 23:59:59.99999</t>
        </is>
      </c>
      <c r="BG141" s="0" t="inlineStr">
        <is>
          <t>9行 4列，源：nan 备：</t>
        </is>
      </c>
      <c r="BI141" s="0" t="inlineStr">
        <is>
          <t>15行 7列，源：2065-05-11 14:30:45.123457 备：1945-05-11 14:30:45.123457</t>
        </is>
      </c>
      <c r="BJ141" s="0" t="inlineStr">
        <is>
          <t>8行 13列，源：None 备：</t>
        </is>
      </c>
      <c r="BL141" s="0" t="inlineStr">
        <is>
          <t>24行 1列，源：Y 备：6</t>
        </is>
      </c>
      <c r="BX141" s="0" t="inlineStr">
        <is>
          <t>15行 4列，源：2026-04-17 17:18:22.755 +08:00 备：1900-01-01 00:00:00.000 +00:00</t>
        </is>
      </c>
      <c r="CB141" s="0" t="inlineStr">
        <is>
          <t>19行 0列，源：58 备：3</t>
        </is>
      </c>
      <c r="CM141" s="0" t="inlineStr">
        <is>
          <t>9行 13列，源：None 备：</t>
        </is>
      </c>
      <c r="DA141" s="0" t="inlineStr">
        <is>
          <t>9行 3列，源：nan 备：</t>
        </is>
      </c>
      <c r="DL141" s="0" t="inlineStr">
        <is>
          <t>17行 6列，源：00:00:00 备：12:30:45.12300</t>
        </is>
      </c>
      <c r="DN141" s="0" t="inlineStr">
        <is>
          <t>24行 1列，源：Y 备：6</t>
        </is>
      </c>
      <c r="DX141" s="0" t="inlineStr">
        <is>
          <t>8行 15列，源：nan 备：-123456789000000002003480098325095514112.0000000000000</t>
        </is>
      </c>
      <c r="EC141" s="0" t="inlineStr">
        <is>
          <t>19行 0列，源：60 备：62</t>
        </is>
      </c>
      <c r="EH141" s="0" t="inlineStr">
        <is>
          <t>8行 15列，源：nan 备：</t>
        </is>
      </c>
      <c r="EP141" s="0" t="inlineStr">
        <is>
          <t>8行 15列，源：nan 备：-123456789000000002003480098325095514112.0000000000000</t>
        </is>
      </c>
      <c r="ES141" s="0" t="inlineStr">
        <is>
          <t>8行 15列，源：nan 备：</t>
        </is>
      </c>
    </row>
    <row r="142">
      <c r="A142" s="0" t="inlineStr">
        <is>
          <t>info_nvarchar_dml_batch1_pk_drp1</t>
        </is>
      </c>
      <c r="K142" s="0" t="inlineStr">
        <is>
          <t>[0;34m info_nvarchar_dml_batch1_pk_drp1 [0m源备字段数相同，源端字段：4 	备端字段4</t>
        </is>
      </c>
      <c r="W142" s="0" t="inlineStr">
        <is>
          <t>YES 源备无差异</t>
        </is>
      </c>
      <c r="X142" s="0">
        <f>A142</f>
        <v/>
      </c>
      <c r="AM142" s="0" t="inlineStr">
        <is>
          <t>11行 5列，源：None 备：</t>
        </is>
      </c>
      <c r="AP142" s="0" t="inlineStr">
        <is>
          <t>70行 1列，源：2000-05-11 14:30:29 备：1753-01-02 00:00:00.000</t>
        </is>
      </c>
      <c r="AS142" s="0" t="inlineStr">
        <is>
          <t>11行 0列，源：12 备：2</t>
        </is>
      </c>
      <c r="BE142" s="0" t="inlineStr">
        <is>
          <t>16行 7列，源：1945-05-11 14:30:45.123457 备：9999-12-31 23:59:59.999999</t>
        </is>
      </c>
      <c r="BG142" s="0" t="inlineStr">
        <is>
          <t>9行 5列，源：None 备：</t>
        </is>
      </c>
      <c r="BI142" s="0" t="inlineStr">
        <is>
          <t>15行 8列，源：2065-05-11 14:30:45.123456 备：1945-05-11 14:30:45.1234567</t>
        </is>
      </c>
      <c r="BJ142" s="0" t="inlineStr">
        <is>
          <t>8行 14列，源：None 备：</t>
        </is>
      </c>
      <c r="BL142" s="0" t="inlineStr">
        <is>
          <t>24行 1列，源：Y 备：6</t>
        </is>
      </c>
      <c r="BX142" s="0" t="inlineStr">
        <is>
          <t>15行 5列，源：2026-04-17 17:18:22.7550 +08:00 备：1900-01-01 00:00:00.0000 +00:00</t>
        </is>
      </c>
      <c r="CB142" s="0" t="inlineStr">
        <is>
          <t>19行 1列，源：2000-05-11 00:30:45 +09:00 备：2026-04-17 17:18:32 +08:00</t>
        </is>
      </c>
      <c r="CM142" s="0" t="inlineStr">
        <is>
          <t>9行 14列，源：None 备：</t>
        </is>
      </c>
      <c r="DA142" s="0" t="inlineStr">
        <is>
          <t>9行 4列，源：nan 备：</t>
        </is>
      </c>
      <c r="DL142" s="0" t="inlineStr">
        <is>
          <t>17行 7列，源：00:00:00 备：12:30:45.123000</t>
        </is>
      </c>
      <c r="DN142" s="0" t="inlineStr">
        <is>
          <t>24行 1列，源：Y 备：6</t>
        </is>
      </c>
      <c r="DX142" s="0" t="inlineStr">
        <is>
          <t>8行 16列，源：nan 备：-340282306073709652508363335590014353408.000000</t>
        </is>
      </c>
      <c r="EC142" s="0" t="inlineStr">
        <is>
          <t>19行 1列，源：12:30:45 备：23:59:59</t>
        </is>
      </c>
      <c r="EH142" s="0" t="inlineStr">
        <is>
          <t>8行 16列，源：nan 备：</t>
        </is>
      </c>
      <c r="EP142" s="0" t="inlineStr">
        <is>
          <t>8行 16列，源：nan 备：-340282306073709652508363335590014353408.000000</t>
        </is>
      </c>
      <c r="ES142" s="0" t="inlineStr">
        <is>
          <t>8行 16列，源：nan 备：</t>
        </is>
      </c>
    </row>
    <row r="143">
      <c r="B143" s="0" t="inlineStr">
        <is>
          <t>YES</t>
        </is>
      </c>
      <c r="C143" s="0" t="inlineStr">
        <is>
          <t>NULL</t>
        </is>
      </c>
      <c r="D143" s="0" t="inlineStr">
        <is>
          <t>NULL</t>
        </is>
      </c>
      <c r="E143" s="0" t="inlineStr">
        <is>
          <t>NULL</t>
        </is>
      </c>
      <c r="F143" s="0" t="inlineStr">
        <is>
          <t>NULL</t>
        </is>
      </c>
      <c r="G143" s="0" t="inlineStr">
        <is>
          <t>NULL</t>
        </is>
      </c>
      <c r="H143" s="0" t="inlineStr">
        <is>
          <t>NULL</t>
        </is>
      </c>
      <c r="I143" s="0" t="inlineStr">
        <is>
          <t>YES!PK__info_nva__3213E83FC3C29C6D</t>
        </is>
      </c>
      <c r="J143" s="0" t="inlineStr">
        <is>
          <t>YES! 主键相关索引</t>
        </is>
      </c>
      <c r="K143" s="0" t="inlineStr">
        <is>
          <t xml:space="preserve"> NO!  	 id列源备映射错误，源端为int None位	期望更改为text	实际备端为int None位</t>
        </is>
      </c>
      <c r="AM143" s="0" t="inlineStr">
        <is>
          <t>11行 15列，源：1.23456789012345e-30 备：0.0000000000000</t>
        </is>
      </c>
      <c r="AP143" s="0" t="inlineStr">
        <is>
          <t>71行 0列，源：364 备：7</t>
        </is>
      </c>
      <c r="AS143" s="0" t="inlineStr">
        <is>
          <t>11行 2列，源：nan 备：32767</t>
        </is>
      </c>
      <c r="BE143" s="0" t="inlineStr">
        <is>
          <t>16行 8列，源：1945-05-11 14:30:45.123456 备：9999-12-31 23:59:59.9999999</t>
        </is>
      </c>
      <c r="BG143" s="0" t="inlineStr">
        <is>
          <t>9行 6列，源：None 备：</t>
        </is>
      </c>
      <c r="BI143" s="0" t="inlineStr">
        <is>
          <t>16行 0列，源：203 备：57</t>
        </is>
      </c>
      <c r="BJ143" s="0" t="inlineStr">
        <is>
          <t>8行 15列，源：123.456789 备：-123456789000000002003480098325095514112.0000000000000</t>
        </is>
      </c>
      <c r="BL143" s="0" t="inlineStr">
        <is>
          <t>24行 2列，源：€¶I€¶                备：12345678901234567890</t>
        </is>
      </c>
      <c r="BX143" s="0" t="inlineStr">
        <is>
          <t>15行 6列，源：2026-04-17 17:18:22.75495 +08:00 备：1900-01-01 00:00:00.00000 +00:00</t>
        </is>
      </c>
      <c r="CB143" s="0" t="inlineStr">
        <is>
          <t>19行 2列，源：2000-05-11 00:30:45.1 +09:00 备：2026-04-17 17:18:31.5 +08:00</t>
        </is>
      </c>
      <c r="CM143" s="0" t="inlineStr">
        <is>
          <t>9行 15列，源：nan 备：</t>
        </is>
      </c>
      <c r="DA143" s="0" t="inlineStr">
        <is>
          <t>9行 5列，源：None 备：</t>
        </is>
      </c>
      <c r="DL143" s="0" t="inlineStr">
        <is>
          <t>17行 8列，源：00:00:00 备：12:30:45.1230000</t>
        </is>
      </c>
      <c r="DN143" s="0" t="inlineStr">
        <is>
          <t>24行 2列，源：€¶I€¶ 备：12345678901234567890</t>
        </is>
      </c>
      <c r="DX143" s="0" t="inlineStr">
        <is>
          <t>8行 17列，源：None 备：-123456.7890</t>
        </is>
      </c>
      <c r="EC143" s="0" t="inlineStr">
        <is>
          <t>19行 2列，源：12:30:45.100000 备：23:59:59.1</t>
        </is>
      </c>
      <c r="EH143" s="0" t="inlineStr">
        <is>
          <t>8行 17列，源：None 备：</t>
        </is>
      </c>
      <c r="EP143" s="0" t="inlineStr">
        <is>
          <t>8行 17列，源：None 备：-123456.7890</t>
        </is>
      </c>
      <c r="ES143" s="0" t="inlineStr">
        <is>
          <t>8行 17列，源：None 备：</t>
        </is>
      </c>
    </row>
    <row r="144">
      <c r="B144" s="0" t="inlineStr">
        <is>
          <t>NULL</t>
        </is>
      </c>
      <c r="C144" s="0" t="inlineStr">
        <is>
          <t>NULL</t>
        </is>
      </c>
      <c r="D144" s="0" t="inlineStr">
        <is>
          <t>NULL</t>
        </is>
      </c>
      <c r="E144" s="0" t="inlineStr">
        <is>
          <t>NULL</t>
        </is>
      </c>
      <c r="F144" s="0" t="inlineStr">
        <is>
          <t>NULL</t>
        </is>
      </c>
      <c r="G144" s="0" t="inlineStr">
        <is>
          <t>NULL</t>
        </is>
      </c>
      <c r="H144" s="0" t="inlineStr">
        <is>
          <t>NULL</t>
        </is>
      </c>
      <c r="I144" s="0" t="inlineStr">
        <is>
          <t>NULL</t>
        </is>
      </c>
      <c r="J144" s="0" t="inlineStr">
        <is>
          <t>NULL</t>
        </is>
      </c>
      <c r="K144" s="0" t="inlineStr">
        <is>
          <t xml:space="preserve"> NO!  	 c_nvarchar列源备映射错误，源端为nvarchar 2位	期望更改为text	实际备端为nvarchar 2位</t>
        </is>
      </c>
      <c r="AM144" s="0" t="inlineStr">
        <is>
          <t>11行 16列，源：1.2345669834560371e-20 备：0.000000</t>
        </is>
      </c>
      <c r="AP144" s="0" t="inlineStr">
        <is>
          <t>71行 1列，源：2000-05-01 23:59:59.993000 备：2000-05-11 14:30:29.000</t>
        </is>
      </c>
      <c r="AS144" s="0" t="inlineStr">
        <is>
          <t>11行 5列，源：None 备：99999</t>
        </is>
      </c>
      <c r="BE144" s="0" t="inlineStr">
        <is>
          <t>17行 0列，源：77 备：26</t>
        </is>
      </c>
      <c r="BG144" s="0" t="inlineStr">
        <is>
          <t>9行 7列，源：None 备：</t>
        </is>
      </c>
      <c r="BI144" s="0" t="inlineStr">
        <is>
          <t>16行 1列，源：2026-04-17 17:17:33 备：2065-05-11 14:30:45</t>
        </is>
      </c>
      <c r="BJ144" s="0" t="inlineStr">
        <is>
          <t>8行 16列，源：nan 备：-340282306073709652508363335590014353408.000000</t>
        </is>
      </c>
      <c r="BL144" s="0" t="inlineStr">
        <is>
          <t>24行 2列，源：€¶I€¶                备：12345678901234567890</t>
        </is>
      </c>
      <c r="BX144" s="0" t="inlineStr">
        <is>
          <t>15行 7列，源：2026-04-17 17:18:22.754952 +08:00 备：1900-01-01 00:00:00.000000 +00:00</t>
        </is>
      </c>
      <c r="CB144" s="0" t="inlineStr">
        <is>
          <t>19行 3列，源：2000-05-11 00:30:45.12 +09:00 备：2026-04-17 17:18:31.54 +08:00</t>
        </is>
      </c>
      <c r="CM144" s="0" t="inlineStr">
        <is>
          <t>9行 16列，源：nan 备：</t>
        </is>
      </c>
      <c r="DA144" s="0" t="inlineStr">
        <is>
          <t>9行 6列，源：None 备：</t>
        </is>
      </c>
      <c r="DL144" s="0" t="inlineStr">
        <is>
          <t>18行 0列，源：23 备：28</t>
        </is>
      </c>
      <c r="DN144" s="0" t="inlineStr">
        <is>
          <t>24行 2列，源：€¶I€¶ 备：12345678901234567890</t>
        </is>
      </c>
      <c r="DX144" s="0" t="inlineStr">
        <is>
          <t>8行 18列，源：None 备：-1234.5678</t>
        </is>
      </c>
      <c r="EC144" s="0" t="inlineStr">
        <is>
          <t>19行 3列，源：12:30:45.120000 备：23:59:59.12</t>
        </is>
      </c>
      <c r="EH144" s="0" t="inlineStr">
        <is>
          <t>8行 18列，源：None 备：</t>
        </is>
      </c>
      <c r="EP144" s="0" t="inlineStr">
        <is>
          <t>8行 18列，源：None 备：-1234.5678</t>
        </is>
      </c>
      <c r="ES144" s="0" t="inlineStr">
        <is>
          <t>8行 18列，源：None 备：</t>
        </is>
      </c>
    </row>
    <row r="145">
      <c r="B145" s="0" t="inlineStr">
        <is>
          <t>NULL</t>
        </is>
      </c>
      <c r="C145" s="0" t="inlineStr">
        <is>
          <t>NULL</t>
        </is>
      </c>
      <c r="D145" s="0" t="inlineStr">
        <is>
          <t>NULL</t>
        </is>
      </c>
      <c r="E145" s="0" t="inlineStr">
        <is>
          <t>NULL</t>
        </is>
      </c>
      <c r="F145" s="0" t="inlineStr">
        <is>
          <t>NULL</t>
        </is>
      </c>
      <c r="G145" s="0" t="inlineStr">
        <is>
          <t>NULL</t>
        </is>
      </c>
      <c r="H145" s="0" t="inlineStr">
        <is>
          <t>NULL</t>
        </is>
      </c>
      <c r="I145" s="0" t="inlineStr">
        <is>
          <t>NULL</t>
        </is>
      </c>
      <c r="J145" s="0" t="inlineStr">
        <is>
          <t>NULL</t>
        </is>
      </c>
      <c r="K145" s="0" t="inlineStr">
        <is>
          <t xml:space="preserve"> NO!  	 c_nvarchar20列源备映射错误，源端为nvarchar 40位	期望更改为text	实际备端为nvarchar 40位</t>
        </is>
      </c>
      <c r="AM145" s="0" t="inlineStr">
        <is>
          <t>11行 18列，源：None 备：214748.3647</t>
        </is>
      </c>
      <c r="AP145" s="0" t="inlineStr">
        <is>
          <t>72行 0列，源：365 备：70</t>
        </is>
      </c>
      <c r="AS145" s="0" t="inlineStr">
        <is>
          <t>11行 15列，源：1.23456789012345e-30 备：123.4567890000000</t>
        </is>
      </c>
      <c r="BE145" s="0" t="inlineStr">
        <is>
          <t>17行 1列，源：2065-05-11 14:30:45 备：1945-05-11 14:30:45</t>
        </is>
      </c>
      <c r="BG145" s="0" t="inlineStr">
        <is>
          <t>9行 8列，源：None 备：</t>
        </is>
      </c>
      <c r="BI145" s="0" t="inlineStr">
        <is>
          <t>16行 2列，源：2026-04-17 17:17:33.400000 备：2065-05-11 14:30:45.1</t>
        </is>
      </c>
      <c r="BJ145" s="0" t="inlineStr">
        <is>
          <t>8行 17列，源：None 备：-123456.7890</t>
        </is>
      </c>
      <c r="BL145"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X145" s="0" t="inlineStr">
        <is>
          <t>15行 8列，源：2026-04-17 17:18:22.7549521 +08:00 备：1900-01-01 00:00:00.0000000 +00:00</t>
        </is>
      </c>
      <c r="CB145" s="0" t="inlineStr">
        <is>
          <t>19行 4列，源：2000-05-11 00:30:45.123 +09:00 备：2026-04-17 17:18:31.537 +08:00</t>
        </is>
      </c>
      <c r="CM145" s="0" t="inlineStr">
        <is>
          <t>9行 17列，源：None 备：-150.7500</t>
        </is>
      </c>
      <c r="DA145" s="0" t="inlineStr">
        <is>
          <t>9行 7列，源：None 备：</t>
        </is>
      </c>
      <c r="DL145" s="0" t="inlineStr">
        <is>
          <t>18行 1列，源：23:59:59 备：12:30:45</t>
        </is>
      </c>
      <c r="DN145"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X145" s="0" t="inlineStr">
        <is>
          <t>8行 19列，源：None 备：0</t>
        </is>
      </c>
      <c r="EC145" s="0" t="inlineStr">
        <is>
          <t>19行 4列，源：12:30:45.123000 备：23:59:59.123</t>
        </is>
      </c>
      <c r="EH145" s="0" t="inlineStr">
        <is>
          <t>8行 19列，源：None 备：</t>
        </is>
      </c>
      <c r="EP145" s="0" t="inlineStr">
        <is>
          <t>8行 19列，源：None 备：0</t>
        </is>
      </c>
      <c r="ES145" s="0" t="inlineStr">
        <is>
          <t>8行 19列，源：None 备：</t>
        </is>
      </c>
    </row>
    <row r="146">
      <c r="B146" s="0" t="inlineStr">
        <is>
          <t>NULL</t>
        </is>
      </c>
      <c r="C146" s="0" t="inlineStr">
        <is>
          <t>NULL</t>
        </is>
      </c>
      <c r="D146" s="0" t="inlineStr">
        <is>
          <t>NULL</t>
        </is>
      </c>
      <c r="E146" s="0" t="inlineStr">
        <is>
          <t>NULL</t>
        </is>
      </c>
      <c r="F146" s="0" t="inlineStr">
        <is>
          <t>NULL</t>
        </is>
      </c>
      <c r="G146" s="0" t="inlineStr">
        <is>
          <t>NULL</t>
        </is>
      </c>
      <c r="H146" s="0" t="inlineStr">
        <is>
          <t>NULL</t>
        </is>
      </c>
      <c r="I146" s="0" t="inlineStr">
        <is>
          <t>NULL</t>
        </is>
      </c>
      <c r="J146" s="0" t="inlineStr">
        <is>
          <t>NULL</t>
        </is>
      </c>
      <c r="K146" s="0" t="inlineStr">
        <is>
          <t xml:space="preserve"> NO!  	 c_nvarchar3500列源备映射错误，源端为nvarchar 7000位	期望更改为text	实际备端为nvarchar 7000位</t>
        </is>
      </c>
      <c r="AM146" s="0" t="inlineStr">
        <is>
          <t>11行 19列，源：False 备：0</t>
        </is>
      </c>
      <c r="AP146" s="0" t="inlineStr">
        <is>
          <t>72行 1列，源：2001-04-09 23:59:59.993000 备：9999-12-30 23:59:59.997</t>
        </is>
      </c>
      <c r="AS146" s="0" t="inlineStr">
        <is>
          <t>11行 16列，源：1.2345669834560371e-20 备：0.000000</t>
        </is>
      </c>
      <c r="BE146" s="0" t="inlineStr">
        <is>
          <t>17行 2列，源：2065-05-11 14:30:45.100000 备：1945-05-11 14:30:45.1</t>
        </is>
      </c>
      <c r="BG146" s="0" t="inlineStr">
        <is>
          <t>9行 9列，源：None 备：</t>
        </is>
      </c>
      <c r="BI146" s="0" t="inlineStr">
        <is>
          <t>16行 3列，源：2026-04-17 17:17:33.410000 备：2065-05-11 14:30:45.12</t>
        </is>
      </c>
      <c r="BJ146" s="0" t="inlineStr">
        <is>
          <t>8行 18列，源：None 备：-1234.5678</t>
        </is>
      </c>
      <c r="BL146" s="0" t="inlineStr">
        <is>
          <t xml:space="preserve">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                                                                                                                                                                                                                                                                                                                                                                                                                                                                                                                                                                                                                                                                                                                                                                                                                                                                                                                                                                                                                                                                                                                                                                                                                                                                                                                                                                                                                                                                                                                                                                                                                                                                                                                                                                                                                                                                                                                                                                                                                                                                                                                                                                                    </t>
        </is>
      </c>
      <c r="BX146" s="0" t="inlineStr">
        <is>
          <t>16行 0列，源：24 备：173</t>
        </is>
      </c>
      <c r="CB146" s="0" t="inlineStr">
        <is>
          <t>19行 5列，源：2000-05-11 00:30:45.1235 +09:00 备：2026-04-17 17:18:31.5370 +08:00</t>
        </is>
      </c>
      <c r="CM146" s="0" t="inlineStr">
        <is>
          <t>9行 18列，源：None 备：-49.9500</t>
        </is>
      </c>
      <c r="DA146" s="0" t="inlineStr">
        <is>
          <t>9行 8列，源：None 备：</t>
        </is>
      </c>
      <c r="DL146" s="0" t="inlineStr">
        <is>
          <t>18行 2列，源：23:59:59.900000 备：12:30:45.1</t>
        </is>
      </c>
      <c r="DN146" s="0" t="inlineStr">
        <is>
          <t>24行 3列，源：€¶I€¶€¶I€¶€¶I€¶€¶I€¶€¶I€¶€¶I€¶€¶I€¶€¶I€¶€¶I€¶€¶I€¶€¶I€¶€¶I€¶€¶I€¶€¶I€¶€¶I€¶€¶I€¶€¶I€¶€¶I€¶€¶I€¶€¶I€¶€¶I€¶€¶I€¶€¶I€¶€¶I€¶€¶I€¶€¶I€¶€¶I€¶€¶I€¶€¶I€¶€¶I€¶€¶I€¶€¶I€¶€¶I€¶€¶I€¶€¶I€¶€¶I€¶€¶I€¶€¶I€¶€¶I€¶€¶I€¶€¶I€¶€¶I€¶€¶I€¶€¶I€¶€¶I€¶€¶I€¶€¶I€¶€¶I€¶€¶I€¶€¶I€¶€¶I€¶€¶I€¶€¶I€¶€¶I€¶€¶I€¶€¶I€¶€¶I€¶€¶I€¶€¶I€¶€¶I€¶€¶I€¶€¶I€¶€¶I€¶€¶I€¶€¶I€¶€¶I€¶€¶I€¶€¶I€¶€¶I€¶€¶I€¶€¶I€¶€¶I€¶€¶I€¶€¶I€¶€¶I€¶€¶I€¶€¶I€¶€¶I€¶€¶I€¶€¶I€¶€¶I€¶€¶I€¶€¶I€¶€¶I€¶€¶I€¶€¶I€¶€¶I€¶€¶I€¶€¶I€¶€¶I€¶€¶I€¶€¶I€¶€¶I€¶€¶I€¶€¶I€¶€¶I€¶€¶I€¶€¶I€¶€¶I€¶€¶I€¶€¶I€¶€¶I€¶€¶I€¶€¶I€¶€¶I€¶€¶I€¶€¶I€¶€¶I€¶€¶I€¶€¶I€¶€¶I€¶€¶I€¶€¶I€¶€¶I€¶€¶I€¶€¶I€¶€¶I€¶€¶I€¶€¶I€¶€¶I€¶€¶I€¶€¶I€¶€¶I€¶€¶I€¶€¶I€¶€¶I€¶€¶I€¶€¶I€¶€¶I€¶€¶I€¶€¶I€¶€¶I€¶€¶I€¶€¶I€¶€¶I€¶€¶I€¶€¶I€¶€¶I€¶€¶I€¶€¶I€¶€¶I€¶€¶I€¶€¶I€¶€¶I€¶€¶I€¶€¶I€¶€¶I€¶€¶I€¶€¶I€¶€¶I€¶€¶I€¶€¶I€¶€¶I€¶€¶I€¶€¶I€¶€¶I€¶€¶I€¶€¶I€¶€¶I€¶€¶I€¶€¶I€¶€¶I€¶€¶I€¶€¶I€¶€¶I€¶€¶I€¶€¶I€¶€¶I€¶€¶I€¶€¶I€¶€¶I€¶€¶I€¶€¶I€¶€¶I€¶€¶I€¶€¶I€¶€¶I€¶€¶I€¶€¶I€¶€¶I€¶€¶I€¶€¶I€¶€¶I€¶€¶I€¶€¶I€¶€¶I€¶€¶I€¶€¶I€¶€¶I€¶€¶I€¶€¶I€¶€¶I€¶€¶I€¶€¶I€¶€¶I€¶€¶I€¶€¶I€¶€¶I€¶€¶I€¶€¶I€¶ 备：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1234567</t>
        </is>
      </c>
      <c r="DX146" s="0" t="inlineStr">
        <is>
          <t>9行 0列，源：10 备：18</t>
        </is>
      </c>
      <c r="EC146" s="0" t="inlineStr">
        <is>
          <t>19行 5列，源：12:30:45.123500 备：23:59:59.1235</t>
        </is>
      </c>
      <c r="EH146" s="0" t="inlineStr">
        <is>
          <t>9行 0列，源：10 备：108</t>
        </is>
      </c>
      <c r="EP146" s="0" t="inlineStr">
        <is>
          <t>9行 0列，源：10 备：18</t>
        </is>
      </c>
      <c r="ES146" s="0" t="inlineStr">
        <is>
          <t>9行 0列，源：10 备：108</t>
        </is>
      </c>
    </row>
    <row r="147">
      <c r="K147" s="0" t="inlineStr">
        <is>
          <t>~ 空表</t>
        </is>
      </c>
      <c r="AM147" s="0" t="inlineStr">
        <is>
          <t>12行 0列，源：13 备：20</t>
        </is>
      </c>
      <c r="AP147" s="0" t="inlineStr">
        <is>
          <t>73行 0列，源：366 备：71</t>
        </is>
      </c>
      <c r="AS147" s="0" t="inlineStr">
        <is>
          <t>11行 18列，源：None 备：214748.3647</t>
        </is>
      </c>
      <c r="BE147" s="0" t="inlineStr">
        <is>
          <t>17行 3列，源：2065-05-11 14:30:45.120000 备：1945-05-11 14:30:45.12</t>
        </is>
      </c>
      <c r="BG147" s="0" t="inlineStr">
        <is>
          <t>9行 10列，源：None 备：</t>
        </is>
      </c>
      <c r="BI147" s="0" t="inlineStr">
        <is>
          <t>16行 4列，源：2026-04-17 17:17:33.413000 备：2065-05-11 14:30:45.123</t>
        </is>
      </c>
      <c r="BJ147" s="0" t="inlineStr">
        <is>
          <t>8行 19列，源：True 备：0</t>
        </is>
      </c>
      <c r="BL147" s="0" t="inlineStr">
        <is>
          <t>25行 0列，源：77 备：75</t>
        </is>
      </c>
      <c r="BX147" s="0" t="inlineStr">
        <is>
          <t>16行 1列，源：0001-01-01 00:00:00 +00:00 备：2026-04-17 17:18:23 +08:00</t>
        </is>
      </c>
      <c r="CB147" s="0" t="inlineStr">
        <is>
          <t>19行 6列，源：2000-05-11 00:30:45.12346 +09:00 备：2026-04-17 17:18:31.53698 +08:00</t>
        </is>
      </c>
      <c r="CM147" s="0" t="inlineStr">
        <is>
          <t>9行 19列，源：None 备：</t>
        </is>
      </c>
      <c r="DA147" s="0" t="inlineStr">
        <is>
          <t>9行 9列，源：None 备：</t>
        </is>
      </c>
      <c r="DL147" s="0" t="inlineStr">
        <is>
          <t>18行 3列，源：23:59:59.990000 备：12:30:45.12</t>
        </is>
      </c>
      <c r="DN147" s="0" t="inlineStr">
        <is>
          <t>25行 0列，源：77 备：75</t>
        </is>
      </c>
      <c r="DX147" s="0" t="inlineStr">
        <is>
          <t>9行 1列，源：99.0 备：</t>
        </is>
      </c>
      <c r="EC147" s="0" t="inlineStr">
        <is>
          <t>19行 6列，源：12:30:45.123460 备：23:59:59.12346</t>
        </is>
      </c>
      <c r="EH147" s="0" t="inlineStr">
        <is>
          <t>9行 1列，源：99.0 备：</t>
        </is>
      </c>
      <c r="EP147" s="0" t="inlineStr">
        <is>
          <t>9行 1列，源：99.0 备：</t>
        </is>
      </c>
      <c r="ES147" s="0" t="inlineStr">
        <is>
          <t>9行 1列，源：99.0 备：</t>
        </is>
      </c>
    </row>
    <row r="148">
      <c r="A148" s="0" t="inlineStr">
        <is>
          <t>info_text_dml_single_pk</t>
        </is>
      </c>
      <c r="K148" s="0" t="inlineStr">
        <is>
          <t>[0;34m info_text_dml_single_pk [0m源备字段数相同，源端字段：3 	备端字段3</t>
        </is>
      </c>
      <c r="W148" s="0" t="inlineStr">
        <is>
          <t>YES 源备无差异</t>
        </is>
      </c>
      <c r="X148" s="0">
        <f>A148</f>
        <v/>
      </c>
      <c r="AM148" s="0" t="inlineStr">
        <is>
          <t>12行 2列，源：nan 备：</t>
        </is>
      </c>
      <c r="AP148" s="0" t="inlineStr">
        <is>
          <t>73行 1列，源：2002-06-11 23:59:59.993000 备：2023-05-11 00:00:00.123</t>
        </is>
      </c>
      <c r="AS148" s="0" t="inlineStr">
        <is>
          <t>11行 19列，源：False 备：1</t>
        </is>
      </c>
      <c r="BE148" s="0" t="inlineStr">
        <is>
          <t>17行 4列，源：2065-05-11 14:30:45.123000 备：1945-05-11 14:30:45.123</t>
        </is>
      </c>
      <c r="BG148" s="0" t="inlineStr">
        <is>
          <t>9行 11列，源：None 备：</t>
        </is>
      </c>
      <c r="BI148" s="0" t="inlineStr">
        <is>
          <t>16行 5列，源：2026-04-17 17:17:33.413300 备：2065-05-11 14:30:45.1235</t>
        </is>
      </c>
      <c r="BJ148" s="0" t="inlineStr">
        <is>
          <t>9行 0列，源：11 备：18</t>
        </is>
      </c>
      <c r="BL148" s="0" t="inlineStr">
        <is>
          <t>25行 1列，源：测 备：X</t>
        </is>
      </c>
      <c r="BX148" s="0" t="inlineStr">
        <is>
          <t>16行 2列，源：0001-01-01 00:00:00.0 +00:00 备：2026-04-17 17:18:22.8 +08:00</t>
        </is>
      </c>
      <c r="CB148" s="0" t="inlineStr">
        <is>
          <t>19行 7列，源：2000-05-11 00:30:45.123457 +09:00 备：2026-04-17 17:18:31.536981 +08:00</t>
        </is>
      </c>
      <c r="CM148" s="0" t="inlineStr">
        <is>
          <t>10行 0列，源：11 备：19</t>
        </is>
      </c>
      <c r="DA148" s="0" t="inlineStr">
        <is>
          <t>9行 10列，源：None 备：</t>
        </is>
      </c>
      <c r="DL148" s="0" t="inlineStr">
        <is>
          <t>18行 4列，源：23:59:59.999000 备：12:30:45.123</t>
        </is>
      </c>
      <c r="DN148" s="0" t="inlineStr">
        <is>
          <t>25行 1列，源：测 备：X</t>
        </is>
      </c>
      <c r="DX148" s="0" t="inlineStr">
        <is>
          <t>9行 2列，源：-12345.0 备：</t>
        </is>
      </c>
      <c r="EC148" s="0" t="inlineStr">
        <is>
          <t>19行 7列，源：12:30:45.123456 备：23:59:59.123457</t>
        </is>
      </c>
      <c r="EH148" s="0" t="inlineStr">
        <is>
          <t>9行 2列，源：-12345.0 备：</t>
        </is>
      </c>
      <c r="EP148" s="0" t="inlineStr">
        <is>
          <t>9行 2列，源：-12345.0 备：</t>
        </is>
      </c>
      <c r="ES148" s="0" t="inlineStr">
        <is>
          <t>9行 2列，源：-12345.0 备：</t>
        </is>
      </c>
    </row>
    <row r="149">
      <c r="B149" s="0" t="inlineStr">
        <is>
          <t>YES</t>
        </is>
      </c>
      <c r="C149" s="0" t="inlineStr">
        <is>
          <t>NULL</t>
        </is>
      </c>
      <c r="D149" s="0" t="inlineStr">
        <is>
          <t>NULL</t>
        </is>
      </c>
      <c r="E149" s="0" t="inlineStr">
        <is>
          <t>NULL</t>
        </is>
      </c>
      <c r="F149" s="0" t="inlineStr">
        <is>
          <t>NULL</t>
        </is>
      </c>
      <c r="G149" s="0" t="inlineStr">
        <is>
          <t>NULL</t>
        </is>
      </c>
      <c r="H149" s="0" t="inlineStr">
        <is>
          <t>NULL</t>
        </is>
      </c>
      <c r="I149" s="0" t="inlineStr">
        <is>
          <t>YES!PK__info_tex__3213E83FCAFD6128</t>
        </is>
      </c>
      <c r="J149" s="0" t="inlineStr">
        <is>
          <t>YES! 主键相关索引</t>
        </is>
      </c>
      <c r="K149" s="0" t="inlineStr">
        <is>
          <t xml:space="preserve"> NO!  	 id列源备映射错误，源端为int None位	期望更改为text	实际备端为int None位</t>
        </is>
      </c>
      <c r="AM149" s="0" t="inlineStr">
        <is>
          <t>12行 5列，源：None 备：</t>
        </is>
      </c>
      <c r="AP149" s="0" t="inlineStr">
        <is>
          <t>74行 0列，源：367 备：72</t>
        </is>
      </c>
      <c r="AS149" s="0" t="inlineStr">
        <is>
          <t>12行 0列，源：13 备：20</t>
        </is>
      </c>
      <c r="BE149" s="0" t="inlineStr">
        <is>
          <t>17行 5列，源：2065-05-11 14:30:45.123500 备：1945-05-11 14:30:45.1235</t>
        </is>
      </c>
      <c r="BG149" s="0" t="inlineStr">
        <is>
          <t>9行 12列，源：None 备：</t>
        </is>
      </c>
      <c r="BI149" s="0" t="inlineStr">
        <is>
          <t>16行 6列，源：2026-04-17 17:17:33.413300 备：2065-05-11 14:30:45.12346</t>
        </is>
      </c>
      <c r="BJ149" s="0" t="inlineStr">
        <is>
          <t>9行 1列，源：200.0 备：</t>
        </is>
      </c>
      <c r="BL149" s="0" t="inlineStr">
        <is>
          <t>25行 1列，源：测 备：X</t>
        </is>
      </c>
      <c r="BX149" s="0" t="inlineStr">
        <is>
          <t>16行 3列，源：0001-01-01 00:00:00.00 +00:00 备：2026-04-17 17:18:22.75 +08:00</t>
        </is>
      </c>
      <c r="CB149" s="0" t="inlineStr">
        <is>
          <t>19行 8列，源：2000-05-11 00:30:45.1234567 +09:00 备：2026-04-17 17:18:31.5369809 +08:00</t>
        </is>
      </c>
      <c r="CM149" s="0" t="inlineStr">
        <is>
          <t>10行 1列，源：nan 备：</t>
        </is>
      </c>
      <c r="DA149" s="0" t="inlineStr">
        <is>
          <t>9行 11列，源：None 备：</t>
        </is>
      </c>
      <c r="DL149" s="0" t="inlineStr">
        <is>
          <t>18行 5列，源：23:59:59.999900 备：12:30:45.1234</t>
        </is>
      </c>
      <c r="DN149" s="0" t="inlineStr">
        <is>
          <t>25行 1列，源：测 备：X</t>
        </is>
      </c>
      <c r="DX149" s="0" t="inlineStr">
        <is>
          <t>9行 3列，源：-123456789.0 备：</t>
        </is>
      </c>
      <c r="EC149" s="0" t="inlineStr">
        <is>
          <t>19行 8列，源：12:30:45.123456 备：23:59:59.1234567</t>
        </is>
      </c>
      <c r="EH149" s="0" t="inlineStr">
        <is>
          <t>9行 3列，源：-123456789.0 备：</t>
        </is>
      </c>
      <c r="EP149" s="0" t="inlineStr">
        <is>
          <t>9行 3列，源：-123456789.0 备：</t>
        </is>
      </c>
      <c r="ES149" s="0" t="inlineStr">
        <is>
          <t>9行 3列，源：-123456789.0 备：</t>
        </is>
      </c>
    </row>
    <row r="150">
      <c r="B150" s="0" t="inlineStr">
        <is>
          <t>NULL</t>
        </is>
      </c>
      <c r="C150" s="0" t="inlineStr">
        <is>
          <t>NULL</t>
        </is>
      </c>
      <c r="D150" s="0" t="inlineStr">
        <is>
          <t>NULL</t>
        </is>
      </c>
      <c r="E150" s="0" t="inlineStr">
        <is>
          <t>NULL</t>
        </is>
      </c>
      <c r="F150" s="0" t="inlineStr">
        <is>
          <t>NULL</t>
        </is>
      </c>
      <c r="G150" s="0" t="inlineStr">
        <is>
          <t>NULL</t>
        </is>
      </c>
      <c r="H150" s="0" t="inlineStr">
        <is>
          <t>NULL</t>
        </is>
      </c>
      <c r="I150" s="0" t="inlineStr">
        <is>
          <t>NULL</t>
        </is>
      </c>
      <c r="J150" s="0" t="inlineStr">
        <is>
          <t>NULL</t>
        </is>
      </c>
      <c r="K150" s="0" t="inlineStr">
        <is>
          <t>YES! 	 c_text列源备映射正确，源端为text 2147483647位	期望更改为text	实际备端为text 2147483647位</t>
        </is>
      </c>
      <c r="AM150" s="0" t="inlineStr">
        <is>
          <t>12行 15列，源：1.23456789012345e-30 备：0.0000000000000</t>
        </is>
      </c>
      <c r="AP150" s="0" t="inlineStr">
        <is>
          <t>74行 1列，源：2003-11-04 23:59:59.990000 备：2024-05-11 12:00:00.567</t>
        </is>
      </c>
      <c r="AS150" s="0" t="inlineStr">
        <is>
          <t>12行 2列，源：nan 备：0</t>
        </is>
      </c>
      <c r="BE150" s="0" t="inlineStr">
        <is>
          <t>17行 6列，源：2065-05-11 14:30:45.123460 备：1945-05-11 14:30:45.12346</t>
        </is>
      </c>
      <c r="BG150" s="0" t="inlineStr">
        <is>
          <t>9行 13列，源：None 备：</t>
        </is>
      </c>
      <c r="BI150" s="0" t="inlineStr">
        <is>
          <t>16行 7列，源：2026-04-17 17:17:33.413301 备：2065-05-11 14:30:45.123457</t>
        </is>
      </c>
      <c r="BJ150" s="0" t="inlineStr">
        <is>
          <t>9行 2列，源：0.0 备：</t>
        </is>
      </c>
      <c r="BL150" s="0" t="inlineStr">
        <is>
          <t>25行 2列，源：这是一个长字符串             备：This is a nchar stri</t>
        </is>
      </c>
      <c r="BX150" s="0" t="inlineStr">
        <is>
          <t>16行 4列，源：0001-01-01 00:00:00.000 +00:00 备：2026-04-17 17:18:22.755 +08:00</t>
        </is>
      </c>
      <c r="CB150" s="0" t="inlineStr">
        <is>
          <t>20行 0列，源：59 备：4</t>
        </is>
      </c>
      <c r="CM150" s="0" t="inlineStr">
        <is>
          <t>10行 2列，源：nan 备：</t>
        </is>
      </c>
      <c r="DA150" s="0" t="inlineStr">
        <is>
          <t>9行 12列，源：None 备：</t>
        </is>
      </c>
      <c r="DL150" s="0" t="inlineStr">
        <is>
          <t>18行 6列，源：23:59:59.999990 备：12:30:45.12340</t>
        </is>
      </c>
      <c r="DN150" s="0" t="inlineStr">
        <is>
          <t>25行 2列，源：这是一个长字符串 备：This is a nchar stri</t>
        </is>
      </c>
      <c r="DX150" s="0" t="inlineStr">
        <is>
          <t>9行 4列，源：-123456789012345.0 备：</t>
        </is>
      </c>
      <c r="EC150" s="0" t="inlineStr">
        <is>
          <t>20行 0列，源：61 备：63</t>
        </is>
      </c>
      <c r="EH150" s="0" t="inlineStr">
        <is>
          <t>9行 4列，源：-123456789012345.0 备：</t>
        </is>
      </c>
      <c r="EP150" s="0" t="inlineStr">
        <is>
          <t>9行 4列，源：-123456789012345.0 备：</t>
        </is>
      </c>
      <c r="ES150" s="0" t="inlineStr">
        <is>
          <t>9行 4列，源：-123456789012345.0 备：</t>
        </is>
      </c>
    </row>
    <row r="151">
      <c r="B151" s="0" t="inlineStr">
        <is>
          <t>NULL</t>
        </is>
      </c>
      <c r="C151" s="0" t="inlineStr">
        <is>
          <t>NULL</t>
        </is>
      </c>
      <c r="D151" s="0" t="inlineStr">
        <is>
          <t>NULL</t>
        </is>
      </c>
      <c r="E151" s="0" t="inlineStr">
        <is>
          <t>NULL</t>
        </is>
      </c>
      <c r="F151" s="0" t="inlineStr">
        <is>
          <t>NULL</t>
        </is>
      </c>
      <c r="G151" s="0" t="inlineStr">
        <is>
          <t>NULL</t>
        </is>
      </c>
      <c r="H151" s="0" t="inlineStr">
        <is>
          <t>NULL</t>
        </is>
      </c>
      <c r="I151" s="0" t="inlineStr">
        <is>
          <t>NULL</t>
        </is>
      </c>
      <c r="J151" s="0" t="inlineStr">
        <is>
          <t>NULL</t>
        </is>
      </c>
      <c r="K151" s="0" t="inlineStr">
        <is>
          <t xml:space="preserve"> NO!  	 c_ntext列源备映射错误，源端为ntext 2147483646位	期望更改为text	实际备端为ntext 2147483646位</t>
        </is>
      </c>
      <c r="AM151" s="0" t="inlineStr">
        <is>
          <t>12行 16列，源：1.2345669834560371e-20 备：0.000000</t>
        </is>
      </c>
      <c r="AP151" s="0" t="inlineStr">
        <is>
          <t>75行 0列，源：368 备：73</t>
        </is>
      </c>
      <c r="AS151" s="0" t="inlineStr">
        <is>
          <t>12行 3列，源：123456 备：0</t>
        </is>
      </c>
      <c r="BE151" s="0" t="inlineStr">
        <is>
          <t>17行 7列，源：2065-05-11 14:30:45.123457 备：1945-05-11 14:30:45.123457</t>
        </is>
      </c>
      <c r="BG151" s="0" t="inlineStr">
        <is>
          <t>9行 14列，源：None 备：</t>
        </is>
      </c>
      <c r="BI151" s="0" t="inlineStr">
        <is>
          <t>16行 8列，源：2026-04-17 17:17:33.413300 备：2065-05-11 14:30:45.1234567</t>
        </is>
      </c>
      <c r="BJ151" s="0" t="inlineStr">
        <is>
          <t>9行 3列，源：0.0 备：</t>
        </is>
      </c>
      <c r="BL151" s="0" t="inlineStr">
        <is>
          <t>25行 2列，源：这是一个长字符串             备：This is a nchar stri</t>
        </is>
      </c>
      <c r="BX151" s="0" t="inlineStr">
        <is>
          <t>16行 5列，源：0001-01-01 00:00:00.0000 +00:00 备：2026-04-17 17:18:22.7550 +08:00</t>
        </is>
      </c>
      <c r="CB151" s="0" t="inlineStr">
        <is>
          <t>20行 1列，源：1999-05-16 01:30:45 +10:15 备：0001-01-01 00:00:00 +00:00</t>
        </is>
      </c>
      <c r="CM151" s="0" t="inlineStr">
        <is>
          <t>10行 3列，源：nan 备：</t>
        </is>
      </c>
      <c r="DA151" s="0" t="inlineStr">
        <is>
          <t>9行 13列，源：None 备：</t>
        </is>
      </c>
      <c r="DL151" s="0" t="inlineStr">
        <is>
          <t>18行 7列，源：23:59:59.999999 备：12:30:45.123400</t>
        </is>
      </c>
      <c r="DN151" s="0" t="inlineStr">
        <is>
          <t>25行 2列，源：这是一个长字符串 备：This is a nchar stri</t>
        </is>
      </c>
      <c r="DX151" s="0" t="inlineStr">
        <is>
          <t>9行 5列，源：None 备：</t>
        </is>
      </c>
      <c r="EC151" s="0" t="inlineStr">
        <is>
          <t>20行 1列，源：12:30:45 备：</t>
        </is>
      </c>
      <c r="EH151" s="0" t="inlineStr">
        <is>
          <t>9行 5列，源：None 备：</t>
        </is>
      </c>
      <c r="EP151" s="0" t="inlineStr">
        <is>
          <t>9行 5列，源：None 备：</t>
        </is>
      </c>
      <c r="ES151" s="0" t="inlineStr">
        <is>
          <t>9行 5列，源：None 备：</t>
        </is>
      </c>
    </row>
    <row r="152">
      <c r="K152" s="0" t="inlineStr">
        <is>
          <t>~ 空表</t>
        </is>
      </c>
      <c r="AM152" s="0" t="inlineStr">
        <is>
          <t>12行 18列，源：None 备：-214748.3648</t>
        </is>
      </c>
      <c r="AP152" s="0" t="inlineStr">
        <is>
          <t>75行 1列，源：2004-12-24 23:59:59.990000 备：2025-01-01 00:00:00.233</t>
        </is>
      </c>
      <c r="AS152" s="0" t="inlineStr">
        <is>
          <t>12行 4列，源：1000000 备：0</t>
        </is>
      </c>
      <c r="BE152" s="0" t="inlineStr">
        <is>
          <t>17行 8列，源：2065-05-11 14:30:45.123456 备：1945-05-11 14:30:45.1234567</t>
        </is>
      </c>
      <c r="BG152" s="0" t="inlineStr">
        <is>
          <t>9行 15列，源：3.402823466e+38 备：-340282346600000016151267322115014000640.0000000000000</t>
        </is>
      </c>
      <c r="BI152" s="0" t="inlineStr">
        <is>
          <t>17行 0列，源：205 备：6</t>
        </is>
      </c>
      <c r="BJ152" s="0" t="inlineStr">
        <is>
          <t>9行 4列，源：0.0 备：</t>
        </is>
      </c>
      <c r="BL152"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X152" s="0" t="inlineStr">
        <is>
          <t>16行 6列，源：0001-01-01 00:00:00.00000 +00:00 备：2026-04-17 17:18:22.75495 +08:00</t>
        </is>
      </c>
      <c r="CB152" s="0" t="inlineStr">
        <is>
          <t>20行 2列，源：1999-05-16 01:30:45.1 +10:15 备：0001-01-01 00:00:00.0 +00:00</t>
        </is>
      </c>
      <c r="CM152" s="0" t="inlineStr">
        <is>
          <t>10行 4列，源：nan 备：</t>
        </is>
      </c>
      <c r="DA152" s="0" t="inlineStr">
        <is>
          <t>9行 14列，源：None 备：</t>
        </is>
      </c>
      <c r="DL152" s="0" t="inlineStr">
        <is>
          <t>18行 8列，源：23:59:59.999999 备：12:30:45.1234000</t>
        </is>
      </c>
      <c r="DN152"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X152" s="0" t="inlineStr">
        <is>
          <t>9行 6列，源：None 备：</t>
        </is>
      </c>
      <c r="EC152" s="0" t="inlineStr">
        <is>
          <t>20行 2列，源：12:30:45.100000 备：00:00:01.1</t>
        </is>
      </c>
      <c r="EH152" s="0" t="inlineStr">
        <is>
          <t>9行 6列，源：None 备：</t>
        </is>
      </c>
      <c r="EP152" s="0" t="inlineStr">
        <is>
          <t>9行 6列，源：None 备：</t>
        </is>
      </c>
      <c r="ES152" s="0" t="inlineStr">
        <is>
          <t>9行 6列，源：None 备：</t>
        </is>
      </c>
    </row>
    <row r="153">
      <c r="A153" s="0" t="inlineStr">
        <is>
          <t>info_int_dml_batch1_pk_urp2</t>
        </is>
      </c>
      <c r="K153" s="0" t="inlineStr">
        <is>
          <t>[0;34m info_int_dml_batch1_pk_urp2 [0m源备字段数相同，源端字段：20 	备端字段20</t>
        </is>
      </c>
      <c r="W153" s="2">
        <f>HYPERLINK("#2026041905hbase4!AS2","NO 源备存在差异，共240个")</f>
        <v/>
      </c>
      <c r="X153" s="0">
        <f>A153</f>
        <v/>
      </c>
      <c r="AM153" s="0" t="inlineStr">
        <is>
          <t>12行 19列，源：False 备：0</t>
        </is>
      </c>
      <c r="AP153" s="0" t="inlineStr">
        <is>
          <t>76行 0列，源：371 备：74</t>
        </is>
      </c>
      <c r="AS153" s="0" t="inlineStr">
        <is>
          <t>12行 5列，源：None 备：</t>
        </is>
      </c>
      <c r="BE153" s="0" t="inlineStr">
        <is>
          <t>18行 0列，源：123 备：27</t>
        </is>
      </c>
      <c r="BG153" s="0" t="inlineStr">
        <is>
          <t>9行 16列，源：3.4028230607370965e+38 备：-340282306073709652508363335590014353408.000000</t>
        </is>
      </c>
      <c r="BI153" s="0" t="inlineStr">
        <is>
          <t>17行 1列，源：9999-12-31 23:59:59 备：1945-05-11 14:30:45</t>
        </is>
      </c>
      <c r="BJ153" s="0" t="inlineStr">
        <is>
          <t>9行 6列，源：None 备：</t>
        </is>
      </c>
      <c r="BL153" s="0" t="inlineStr">
        <is>
          <t xml:space="preserve">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                                                                                                                                                                                                                                                                                                                                                                                                                                                                                                                                                                                                                                                                                                                                                                                                                                                                                                                                                                                                                                                                                                                                                                                                                                                                                                                                                                                                                                                                                                                                                                                                                                                                                                                                                                                                                                                                                                                                                                            </t>
        </is>
      </c>
      <c r="BX153" s="0" t="inlineStr">
        <is>
          <t>16行 7列，源：0001-01-01 00:00:00.000000 +00:00 备：2026-04-17 17:18:22.754952 +08:00</t>
        </is>
      </c>
      <c r="CB153" s="0" t="inlineStr">
        <is>
          <t>20行 3列，源：1999-05-16 01:30:45.12 +10:15 备：0001-01-01 00:00:00.00 +00:00</t>
        </is>
      </c>
      <c r="CM153" s="0" t="inlineStr">
        <is>
          <t>10行 5列，源：None 备：</t>
        </is>
      </c>
      <c r="DA153" s="0" t="inlineStr">
        <is>
          <t>9行 15列，源：nan 备：</t>
        </is>
      </c>
      <c r="DL153" s="0" t="inlineStr">
        <is>
          <t>19行 0列，源：24 备：29</t>
        </is>
      </c>
      <c r="DN153" s="0" t="inlineStr">
        <is>
          <t>25行 3列，源：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备：This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striThis is a nchar stri</t>
        </is>
      </c>
      <c r="DX153" s="0" t="inlineStr">
        <is>
          <t>9行 7列，源：None 备：</t>
        </is>
      </c>
      <c r="EC153" s="0" t="inlineStr">
        <is>
          <t>20行 3列，源：12:30:45.120000 备：</t>
        </is>
      </c>
      <c r="EH153" s="0" t="inlineStr">
        <is>
          <t>9行 7列，源：None 备：</t>
        </is>
      </c>
      <c r="EP153" s="0" t="inlineStr">
        <is>
          <t>9行 7列，源：None 备：</t>
        </is>
      </c>
      <c r="ES153" s="0" t="inlineStr">
        <is>
          <t>9行 7列，源：None 备：</t>
        </is>
      </c>
    </row>
    <row r="154">
      <c r="B154" s="0" t="inlineStr">
        <is>
          <t>YES</t>
        </is>
      </c>
      <c r="C154" s="0" t="inlineStr">
        <is>
          <t>NULL</t>
        </is>
      </c>
      <c r="D154" s="0" t="inlineStr">
        <is>
          <t>NULL</t>
        </is>
      </c>
      <c r="E154" s="0" t="inlineStr">
        <is>
          <t>NULL</t>
        </is>
      </c>
      <c r="F154" s="0" t="inlineStr">
        <is>
          <t>NULL</t>
        </is>
      </c>
      <c r="G154" s="0" t="inlineStr">
        <is>
          <t>NULL</t>
        </is>
      </c>
      <c r="H154" s="0" t="inlineStr">
        <is>
          <t>NULL</t>
        </is>
      </c>
      <c r="I154" s="0" t="inlineStr">
        <is>
          <t>YES!PK__info_int__3213E83FF3E976FE</t>
        </is>
      </c>
      <c r="J154" s="0" t="inlineStr">
        <is>
          <t>YES! 主键相关索引</t>
        </is>
      </c>
      <c r="K154" s="0" t="inlineStr">
        <is>
          <t xml:space="preserve"> NO!  	 id列源备映射错误，源端为int None位	期望更改为text	实际备端为int None位</t>
        </is>
      </c>
      <c r="AM154" s="0" t="inlineStr">
        <is>
          <t>13行 0列，源：14 备：3</t>
        </is>
      </c>
      <c r="AP154" s="0" t="inlineStr">
        <is>
          <t>76行 1列，源：2023-05-11 00:00:00.123000 备：2040-12-25 23:59:59.997</t>
        </is>
      </c>
      <c r="AS154" s="0" t="inlineStr">
        <is>
          <t>12行 15列，源：1.23456789012345e-30 备：0.0000000000000</t>
        </is>
      </c>
      <c r="BE154" s="0" t="inlineStr">
        <is>
          <t>18行 1列，源：2026-04-17 17:17:25 备：2065-05-11 14:30:45</t>
        </is>
      </c>
      <c r="BG154" s="0" t="inlineStr">
        <is>
          <t>9行 19列，源：True 备：0</t>
        </is>
      </c>
      <c r="BI154" s="0" t="inlineStr">
        <is>
          <t>17行 2列，源：9999-12-31 23:59:59.900000 备：1945-05-11 14:30:45.1</t>
        </is>
      </c>
      <c r="BJ154" s="0" t="inlineStr">
        <is>
          <t>9行 7列，源：None 备：</t>
        </is>
      </c>
      <c r="BL154" s="0" t="inlineStr">
        <is>
          <t>26行 0列，源：78 备：76</t>
        </is>
      </c>
      <c r="BX154" s="0" t="inlineStr">
        <is>
          <t>16行 8列，源：0001-01-01 00:00:00.0000000 +00:00 备：2026-04-17 17:18:22.7549521 +08:00</t>
        </is>
      </c>
      <c r="CB154" s="0" t="inlineStr">
        <is>
          <t>20行 4列，源：1999-05-16 01:30:45.123 +10:15 备：0001-01-01 00:00:00.000 +00:00</t>
        </is>
      </c>
      <c r="CM154" s="0" t="inlineStr">
        <is>
          <t>10行 6列，源：None 备：</t>
        </is>
      </c>
      <c r="DA154" s="0" t="inlineStr">
        <is>
          <t>9行 16列，源：nan 备：</t>
        </is>
      </c>
      <c r="DL154" s="0" t="inlineStr">
        <is>
          <t>20行 0列，源：25 备：3</t>
        </is>
      </c>
      <c r="DN154" s="0" t="inlineStr">
        <is>
          <t>26行 0列，源：78 备：76</t>
        </is>
      </c>
      <c r="DX154" s="0" t="inlineStr">
        <is>
          <t>9行 8列，源：None 备：</t>
        </is>
      </c>
      <c r="EC154" s="0" t="inlineStr">
        <is>
          <t>20行 4列，源：12:30:45.123000 备：00:00:01.123</t>
        </is>
      </c>
      <c r="EH154" s="0" t="inlineStr">
        <is>
          <t>9行 8列，源：None 备：</t>
        </is>
      </c>
      <c r="EP154" s="0" t="inlineStr">
        <is>
          <t>9行 8列，源：None 备：</t>
        </is>
      </c>
      <c r="ES154" s="0" t="inlineStr">
        <is>
          <t>9行 8列，源：None 备：</t>
        </is>
      </c>
    </row>
    <row r="155">
      <c r="B155" s="0" t="inlineStr">
        <is>
          <t>NULL</t>
        </is>
      </c>
      <c r="C155" s="0" t="inlineStr">
        <is>
          <t>NULL</t>
        </is>
      </c>
      <c r="D155" s="0" t="inlineStr">
        <is>
          <t>NULL</t>
        </is>
      </c>
      <c r="E155" s="0" t="inlineStr">
        <is>
          <t>NULL</t>
        </is>
      </c>
      <c r="F155" s="0" t="inlineStr">
        <is>
          <t>NULL</t>
        </is>
      </c>
      <c r="G155" s="0" t="inlineStr">
        <is>
          <t>NULL</t>
        </is>
      </c>
      <c r="H155" s="0" t="inlineStr">
        <is>
          <t>NULL</t>
        </is>
      </c>
      <c r="I155" s="0" t="inlineStr">
        <is>
          <t>NULL</t>
        </is>
      </c>
      <c r="J155" s="0" t="inlineStr">
        <is>
          <t>NULL</t>
        </is>
      </c>
      <c r="K155" s="0" t="inlineStr">
        <is>
          <t xml:space="preserve"> NO!  	 c_tinyint列源备映射错误，源端为tinyint None位	期望更改为text	实际备端为tinyint None位</t>
        </is>
      </c>
      <c r="AM155" s="0" t="inlineStr">
        <is>
          <t>13行 2列，源：nan 备：</t>
        </is>
      </c>
      <c r="AP155" s="0" t="inlineStr">
        <is>
          <t>77行 0列，源：372 备：8</t>
        </is>
      </c>
      <c r="AS155" s="0" t="inlineStr">
        <is>
          <t>12行 16列，源：1.2345669834560371e-20 备：0.000000</t>
        </is>
      </c>
      <c r="BE155" s="0" t="inlineStr">
        <is>
          <t>18行 2列，源：2026-04-17 17:17:24.600000 备：2065-05-11 14:30:45.1</t>
        </is>
      </c>
      <c r="BG155" s="0" t="inlineStr">
        <is>
          <t>10行 0列，源：20 备：3</t>
        </is>
      </c>
      <c r="BI155" s="0" t="inlineStr">
        <is>
          <t>17行 3列，源：9999-12-31 23:59:59.990000 备：1945-05-11 14:30:45.12</t>
        </is>
      </c>
      <c r="BJ155" s="0" t="inlineStr">
        <is>
          <t>9行 8列，源：None 备：</t>
        </is>
      </c>
      <c r="BL155" s="0" t="inlineStr">
        <is>
          <t>26行 1列，源：试 备：Y</t>
        </is>
      </c>
      <c r="BX155" s="0" t="inlineStr">
        <is>
          <t>17行 0列，源：25 备：174</t>
        </is>
      </c>
      <c r="CB155" s="0" t="inlineStr">
        <is>
          <t>20行 5列，源：1999-05-16 01:30:45.1235 +10:15 备：0001-01-01 00:00:00.0000 +00:00</t>
        </is>
      </c>
      <c r="CM155" s="0" t="inlineStr">
        <is>
          <t>10行 7列，源：None 备：</t>
        </is>
      </c>
      <c r="DA155" s="0" t="inlineStr">
        <is>
          <t>9行 19列，源：None 备：</t>
        </is>
      </c>
      <c r="DL155" s="0" t="inlineStr">
        <is>
          <t>20行 1列，源：12:30:45 备：23:59:59</t>
        </is>
      </c>
      <c r="DN155" s="0" t="inlineStr">
        <is>
          <t>26行 1列，源：试 备：Y</t>
        </is>
      </c>
      <c r="DX155" s="0" t="inlineStr">
        <is>
          <t>9行 9列，源：None 备：</t>
        </is>
      </c>
      <c r="EC155" s="0" t="inlineStr">
        <is>
          <t>20行 5列，源：12:30:45.123500 备：</t>
        </is>
      </c>
      <c r="EH155" s="0" t="inlineStr">
        <is>
          <t>9行 9列，源：None 备：</t>
        </is>
      </c>
      <c r="EP155" s="0" t="inlineStr">
        <is>
          <t>9行 9列，源：None 备：</t>
        </is>
      </c>
      <c r="ES155" s="0" t="inlineStr">
        <is>
          <t>9行 9列，源：None 备：</t>
        </is>
      </c>
    </row>
    <row r="156">
      <c r="B156" s="0" t="inlineStr">
        <is>
          <t>NULL</t>
        </is>
      </c>
      <c r="C156" s="0" t="inlineStr">
        <is>
          <t>NULL</t>
        </is>
      </c>
      <c r="D156" s="0" t="inlineStr">
        <is>
          <t>NULL</t>
        </is>
      </c>
      <c r="E156" s="0" t="inlineStr">
        <is>
          <t>NULL</t>
        </is>
      </c>
      <c r="F156" s="0" t="inlineStr">
        <is>
          <t>NULL</t>
        </is>
      </c>
      <c r="G156" s="0" t="inlineStr">
        <is>
          <t>NULL</t>
        </is>
      </c>
      <c r="H156" s="0" t="inlineStr">
        <is>
          <t>NULL</t>
        </is>
      </c>
      <c r="I156" s="0" t="inlineStr">
        <is>
          <t>NULL</t>
        </is>
      </c>
      <c r="J156" s="0" t="inlineStr">
        <is>
          <t>NULL</t>
        </is>
      </c>
      <c r="K156" s="0" t="inlineStr">
        <is>
          <t xml:space="preserve"> NO!  	 c_smallint列源备映射错误，源端为smallint None位	期望更改为text	实际备端为smallint None位</t>
        </is>
      </c>
      <c r="AM156" s="0" t="inlineStr">
        <is>
          <t>13行 5列，源：None 备：</t>
        </is>
      </c>
      <c r="AP156" s="0" t="inlineStr">
        <is>
          <t>77行 1列，源：2024-05-11 12:00:00.567000 备：2068-05-11 14:30:30.000</t>
        </is>
      </c>
      <c r="AS156" s="0" t="inlineStr">
        <is>
          <t>12行 18列，源：None 备：-214748.3648</t>
        </is>
      </c>
      <c r="BE156" s="0" t="inlineStr">
        <is>
          <t>18行 3列，源：2026-04-17 17:17:24.630000 备：2065-05-11 14:30:45.12</t>
        </is>
      </c>
      <c r="BG156" s="0" t="inlineStr">
        <is>
          <t>10行 1列，源：nan 备：</t>
        </is>
      </c>
      <c r="BI156" s="0" t="inlineStr">
        <is>
          <t>17行 4列，源：9999-12-31 23:59:59.999000 备：1945-05-11 14:30:45.123</t>
        </is>
      </c>
      <c r="BJ156" s="0" t="inlineStr">
        <is>
          <t>9行 10列，源：None 备：</t>
        </is>
      </c>
      <c r="BL156" s="0" t="inlineStr">
        <is>
          <t>26行 1列，源：试 备：Y</t>
        </is>
      </c>
      <c r="BX156" s="0" t="inlineStr">
        <is>
          <t>17行 1列，源：9999-12-31 23:59:59 +00:00 备：0001-01-01 00:00:00 +00:00</t>
        </is>
      </c>
      <c r="CB156" s="0" t="inlineStr">
        <is>
          <t>20行 6列，源：1999-05-16 01:30:45.12346 +10:15 备：0001-01-01 00:00:00.00000 +00:00</t>
        </is>
      </c>
      <c r="CM156" s="0" t="inlineStr">
        <is>
          <t>10行 8列，源：None 备：</t>
        </is>
      </c>
      <c r="DA156" s="0" t="inlineStr">
        <is>
          <t>10行 0列，源：15 备：2</t>
        </is>
      </c>
      <c r="DL156" s="0" t="inlineStr">
        <is>
          <t>20行 2列，源：12:30:45.100000 备：23:59:59.9</t>
        </is>
      </c>
      <c r="DN156" s="0" t="inlineStr">
        <is>
          <t>26行 1列，源：试 备：Y</t>
        </is>
      </c>
      <c r="DX156" s="0" t="inlineStr">
        <is>
          <t>9行 10列，源：None 备：</t>
        </is>
      </c>
      <c r="EC156" s="0" t="inlineStr">
        <is>
          <t>20行 6列，源：12:30:45.123460 备：00:00:01.12346</t>
        </is>
      </c>
      <c r="EH156" s="0" t="inlineStr">
        <is>
          <t>9行 10列，源：None 备：</t>
        </is>
      </c>
      <c r="EP156" s="0" t="inlineStr">
        <is>
          <t>9行 10列，源：None 备：</t>
        </is>
      </c>
      <c r="ES156" s="0" t="inlineStr">
        <is>
          <t>9行 10列，源：None 备：</t>
        </is>
      </c>
    </row>
    <row r="157">
      <c r="B157" s="0" t="inlineStr">
        <is>
          <t>NULL</t>
        </is>
      </c>
      <c r="C157" s="0" t="inlineStr">
        <is>
          <t>NULL</t>
        </is>
      </c>
      <c r="D157" s="0" t="inlineStr">
        <is>
          <t>NULL</t>
        </is>
      </c>
      <c r="E157" s="0" t="inlineStr">
        <is>
          <t>NULL</t>
        </is>
      </c>
      <c r="F157" s="0" t="inlineStr">
        <is>
          <t>NULL</t>
        </is>
      </c>
      <c r="G157" s="0" t="inlineStr">
        <is>
          <t>NULL</t>
        </is>
      </c>
      <c r="H157" s="0" t="inlineStr">
        <is>
          <t>NULL</t>
        </is>
      </c>
      <c r="I157" s="0" t="inlineStr">
        <is>
          <t>NULL</t>
        </is>
      </c>
      <c r="J157" s="0" t="inlineStr">
        <is>
          <t>NULL</t>
        </is>
      </c>
      <c r="K157" s="0" t="inlineStr">
        <is>
          <t xml:space="preserve"> NO!  	 c_int列源备映射错误，源端为int None位	期望更改为text	实际备端为int None位</t>
        </is>
      </c>
      <c r="AM157" s="0" t="inlineStr">
        <is>
          <t>13行 15列，源：1.23456789012345e-30 备：0.0000000000000</t>
        </is>
      </c>
      <c r="AP157" s="0" t="inlineStr">
        <is>
          <t>78行 0列，源：373 备：9</t>
        </is>
      </c>
      <c r="AS157" s="0" t="inlineStr">
        <is>
          <t>12行 19列，源：False 备：0</t>
        </is>
      </c>
      <c r="BE157" s="0" t="inlineStr">
        <is>
          <t>18行 4列，源：2026-04-17 17:17:24.631000 备：2065-05-11 14:30:45.123</t>
        </is>
      </c>
      <c r="BG157" s="0" t="inlineStr">
        <is>
          <t>10行 2列，源：nan 备：</t>
        </is>
      </c>
      <c r="BI157" s="0" t="inlineStr">
        <is>
          <t>17行 5列，源：9999-12-31 23:59:59.999900 备：1945-05-11 14:30:45.1235</t>
        </is>
      </c>
      <c r="BJ157" s="0" t="inlineStr">
        <is>
          <t>9行 11列，源：None 备：</t>
        </is>
      </c>
      <c r="BL157" s="0" t="inlineStr">
        <is>
          <t xml:space="preserve">26行 2列，源：更新生僻字                备：€¶I€¶               </t>
        </is>
      </c>
      <c r="BX157" s="0" t="inlineStr">
        <is>
          <t>17行 2列，源：9999-12-31 23:59:59.9 +00:00 备：0001-01-01 00:00:00.0 +00:00</t>
        </is>
      </c>
      <c r="CB157" s="0" t="inlineStr">
        <is>
          <t>20行 7列，源：1999-05-16 01:30:45.123457 +10:15 备：0001-01-01 00:00:00.000000 +00:00</t>
        </is>
      </c>
      <c r="CM157" s="0" t="inlineStr">
        <is>
          <t>10行 9列，源：None 备：</t>
        </is>
      </c>
      <c r="DA157" s="0" t="inlineStr">
        <is>
          <t>10行 1列，源：nan 备：255</t>
        </is>
      </c>
      <c r="DL157" s="0" t="inlineStr">
        <is>
          <t>20行 3列，源：12:30:45.100000 备：23:59:59.99</t>
        </is>
      </c>
      <c r="DN157" s="0" t="inlineStr">
        <is>
          <t>26行 2列，源：更新生僻字 备：€¶I€¶</t>
        </is>
      </c>
      <c r="DX157" s="0" t="inlineStr">
        <is>
          <t>9行 11列，源：None 备：</t>
        </is>
      </c>
      <c r="EC157" s="0" t="inlineStr">
        <is>
          <t>20行 7列，源：12:30:45.123457 备：</t>
        </is>
      </c>
      <c r="EH157" s="0" t="inlineStr">
        <is>
          <t>9行 11列，源：None 备：</t>
        </is>
      </c>
      <c r="EP157" s="0" t="inlineStr">
        <is>
          <t>9行 11列，源：None 备：</t>
        </is>
      </c>
      <c r="ES157" s="0" t="inlineStr">
        <is>
          <t>9行 11列，源：None 备：</t>
        </is>
      </c>
    </row>
    <row r="158">
      <c r="B158" s="0" t="inlineStr">
        <is>
          <t>NULL</t>
        </is>
      </c>
      <c r="C158" s="0" t="inlineStr">
        <is>
          <t>NULL</t>
        </is>
      </c>
      <c r="D158" s="0" t="inlineStr">
        <is>
          <t>NULL</t>
        </is>
      </c>
      <c r="E158" s="0" t="inlineStr">
        <is>
          <t>NULL</t>
        </is>
      </c>
      <c r="F158" s="0" t="inlineStr">
        <is>
          <t>NULL</t>
        </is>
      </c>
      <c r="G158" s="0" t="inlineStr">
        <is>
          <t>NULL</t>
        </is>
      </c>
      <c r="H158" s="0" t="inlineStr">
        <is>
          <t>NULL</t>
        </is>
      </c>
      <c r="I158" s="0" t="inlineStr">
        <is>
          <t>NULL</t>
        </is>
      </c>
      <c r="J158" s="0" t="inlineStr">
        <is>
          <t>NULL</t>
        </is>
      </c>
      <c r="K158" s="0" t="inlineStr">
        <is>
          <t xml:space="preserve"> NO!  	 c_bigint列源备映射错误，源端为bigint None位	期望更改为text	实际备端为bigint None位</t>
        </is>
      </c>
      <c r="AM158" s="0" t="inlineStr">
        <is>
          <t>13行 16列，源：1.2345669834560371e-20 备：0.000000</t>
        </is>
      </c>
      <c r="AP158" s="0" t="inlineStr">
        <is>
          <t>78行 1列，源：2025-01-01 00:00:00.233000 备：1981-05-11 14:30:59.000</t>
        </is>
      </c>
      <c r="AS158" s="0" t="inlineStr">
        <is>
          <t>13行 0列，源：14 备：3</t>
        </is>
      </c>
      <c r="BE158" s="0" t="inlineStr">
        <is>
          <t>18行 5列，源：2026-04-17 17:17:24.630600 备：2065-05-11 14:30:45.1235</t>
        </is>
      </c>
      <c r="BG158" s="0" t="inlineStr">
        <is>
          <t>10行 3列，源：nan 备：</t>
        </is>
      </c>
      <c r="BI158" s="0" t="inlineStr">
        <is>
          <t>17行 6列，源：9999-12-31 23:59:59.999990 备：1945-05-11 14:30:45.12346</t>
        </is>
      </c>
      <c r="BJ158" s="0" t="inlineStr">
        <is>
          <t>9行 12列，源：None 备：</t>
        </is>
      </c>
      <c r="BL158" s="0" t="inlineStr">
        <is>
          <t xml:space="preserve">26行 2列，源：更新生僻字                备：€¶I€¶               </t>
        </is>
      </c>
      <c r="BX158" s="0" t="inlineStr">
        <is>
          <t>17行 3列，源：9999-12-31 23:59:59.99 +00:00 备：0001-01-01 00:00:00.00 +00:00</t>
        </is>
      </c>
      <c r="CB158" s="0" t="inlineStr">
        <is>
          <t>20行 8列，源：1999-05-16 01:30:45.1234567 +10:15 备：0001-01-01 00:00:00.0000000 +00:00</t>
        </is>
      </c>
      <c r="CM158" s="0" t="inlineStr">
        <is>
          <t>10行 10列，源：None 备：</t>
        </is>
      </c>
      <c r="DA158" s="0" t="inlineStr">
        <is>
          <t>10行 2列，源：nan 备：32767</t>
        </is>
      </c>
      <c r="DL158" s="0" t="inlineStr">
        <is>
          <t>20行 4列，源：12:30:45.100000 备：23:59:59.999</t>
        </is>
      </c>
      <c r="DN158" s="0" t="inlineStr">
        <is>
          <t>26行 2列，源：更新生僻字 备：€¶I€¶</t>
        </is>
      </c>
      <c r="DX158" s="0" t="inlineStr">
        <is>
          <t>9行 12列，源：None 备：</t>
        </is>
      </c>
      <c r="EC158" s="0" t="inlineStr">
        <is>
          <t>20行 8列，源：12:30:45.123456 备：00:00:01.1234567</t>
        </is>
      </c>
      <c r="EH158" s="0" t="inlineStr">
        <is>
          <t>9行 12列，源：None 备：</t>
        </is>
      </c>
      <c r="EP158" s="0" t="inlineStr">
        <is>
          <t>9行 12列，源：None 备：</t>
        </is>
      </c>
      <c r="ES158" s="0" t="inlineStr">
        <is>
          <t>9行 12列，源：None 备：</t>
        </is>
      </c>
    </row>
    <row r="159">
      <c r="B159" s="0" t="inlineStr">
        <is>
          <t>NULL</t>
        </is>
      </c>
      <c r="C159" s="0" t="inlineStr">
        <is>
          <t>NULL</t>
        </is>
      </c>
      <c r="D159" s="0" t="inlineStr">
        <is>
          <t>NULL</t>
        </is>
      </c>
      <c r="E159" s="0" t="inlineStr">
        <is>
          <t>NULL</t>
        </is>
      </c>
      <c r="F159" s="0" t="inlineStr">
        <is>
          <t>NULL</t>
        </is>
      </c>
      <c r="G159" s="0" t="inlineStr">
        <is>
          <t>NULL</t>
        </is>
      </c>
      <c r="H159" s="0" t="inlineStr">
        <is>
          <t>NULL</t>
        </is>
      </c>
      <c r="I159" s="0" t="inlineStr">
        <is>
          <t>NULL</t>
        </is>
      </c>
      <c r="J159" s="0" t="inlineStr">
        <is>
          <t>NULL</t>
        </is>
      </c>
      <c r="K159" s="0" t="inlineStr">
        <is>
          <t xml:space="preserve"> NO!  	 c_decimal列源备映射错误，源端为decimal None位	期望更改为text	实际备端为decimal None位</t>
        </is>
      </c>
      <c r="AM159" s="0" t="inlineStr">
        <is>
          <t>13行 18列，源：None 备：</t>
        </is>
      </c>
      <c r="AS159" s="0" t="inlineStr">
        <is>
          <t>13行 2列，源：nan 备：0</t>
        </is>
      </c>
      <c r="BE159" s="0" t="inlineStr">
        <is>
          <t>18行 6列，源：2026-04-17 17:17:24.630650 备：2065-05-11 14:30:45.12346</t>
        </is>
      </c>
      <c r="BG159" s="0" t="inlineStr">
        <is>
          <t>10行 4列，源：nan 备：</t>
        </is>
      </c>
      <c r="BI159" s="0" t="inlineStr">
        <is>
          <t>17行 7列，源：9999-12-31 23:59:59.999999 备：1945-05-11 14:30:45.123457</t>
        </is>
      </c>
      <c r="BJ159" s="0" t="inlineStr">
        <is>
          <t>9行 13列，源：None 备：</t>
        </is>
      </c>
      <c r="BL159"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BX159" s="0" t="inlineStr">
        <is>
          <t>17行 4列，源：9999-12-31 23:59:59.999 +00:00 备：0001-01-01 00:00:00.000 +00:00</t>
        </is>
      </c>
      <c r="CB159" s="0" t="inlineStr">
        <is>
          <t>21行 0列，源：60 备：5</t>
        </is>
      </c>
      <c r="CM159" s="0" t="inlineStr">
        <is>
          <t>10行 11列，源：None 备：</t>
        </is>
      </c>
      <c r="DA159" s="0" t="inlineStr">
        <is>
          <t>10行 3列，源：nan 备：2147483647</t>
        </is>
      </c>
      <c r="DL159" s="0" t="inlineStr">
        <is>
          <t>20行 5列，源：12:30:45.100000 备：23:59:59.9999</t>
        </is>
      </c>
      <c r="DN159"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DX159" s="0" t="inlineStr">
        <is>
          <t>9行 13列，源：None 备：</t>
        </is>
      </c>
      <c r="EC159" s="0" t="inlineStr">
        <is>
          <t>21行 0列，源：62 备：64</t>
        </is>
      </c>
      <c r="EH159" s="0" t="inlineStr">
        <is>
          <t>9行 13列，源：None 备：</t>
        </is>
      </c>
      <c r="EP159" s="0" t="inlineStr">
        <is>
          <t>9行 13列，源：None 备：</t>
        </is>
      </c>
      <c r="ES159" s="0" t="inlineStr">
        <is>
          <t>9行 13列，源：None 备：</t>
        </is>
      </c>
    </row>
    <row r="160">
      <c r="B160" s="0" t="inlineStr">
        <is>
          <t>NULL</t>
        </is>
      </c>
      <c r="C160" s="0" t="inlineStr">
        <is>
          <t>NULL</t>
        </is>
      </c>
      <c r="D160" s="0" t="inlineStr">
        <is>
          <t>NULL</t>
        </is>
      </c>
      <c r="E160" s="0" t="inlineStr">
        <is>
          <t>NULL</t>
        </is>
      </c>
      <c r="F160" s="0" t="inlineStr">
        <is>
          <t>NULL</t>
        </is>
      </c>
      <c r="G160" s="0" t="inlineStr">
        <is>
          <t>NULL</t>
        </is>
      </c>
      <c r="H160" s="0" t="inlineStr">
        <is>
          <t>NULL</t>
        </is>
      </c>
      <c r="I160" s="0" t="inlineStr">
        <is>
          <t>NULL</t>
        </is>
      </c>
      <c r="J160" s="0" t="inlineStr">
        <is>
          <t>NULL</t>
        </is>
      </c>
      <c r="K160" s="0" t="inlineStr">
        <is>
          <t xml:space="preserve"> NO!  	 c_decimal38列源备映射错误，源端为decimal None位	期望更改为text	实际备端为decimal None位</t>
        </is>
      </c>
      <c r="AM160" s="0" t="inlineStr">
        <is>
          <t>13行 19列，源：False 备：0</t>
        </is>
      </c>
      <c r="AS160" s="0" t="inlineStr">
        <is>
          <t>13行 3列，源：123456 备：0</t>
        </is>
      </c>
      <c r="BE160" s="0" t="inlineStr">
        <is>
          <t>18行 7列，源：2026-04-17 17:17:24.630647 备：2065-05-11 14:30:45.123457</t>
        </is>
      </c>
      <c r="BG160" s="0" t="inlineStr">
        <is>
          <t>10行 5列，源：None 备：</t>
        </is>
      </c>
      <c r="BI160" s="0" t="inlineStr">
        <is>
          <t>17行 8列，源：9999-12-31 23:59:59.999999 备：1945-05-11 14:30:45.1234567</t>
        </is>
      </c>
      <c r="BJ160" s="0" t="inlineStr">
        <is>
          <t>9行 14列，源：None 备：</t>
        </is>
      </c>
      <c r="BL160" s="0" t="inlineStr">
        <is>
          <t xml:space="preserve">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                                                                                                                                                                                                                                                                                                                                                                                                                                                                                                                                                                                                                                                                                                                                                                                                                                                                                                                                                                                                                                                                                                                                                                                                                                                                                                                                                                                                                                                                                                                                                                                                                                                                                                                                                                                                                                                                                                                                                                                                                                                                                                                                                                                                                                                                                                                                                                                                                                                                                                                                                                                                    </t>
        </is>
      </c>
      <c r="BX160" s="0" t="inlineStr">
        <is>
          <t>17行 5列，源：9999-12-31 23:59:59.9999 +00:00 备：0001-01-01 00:00:00.0000 +00:00</t>
        </is>
      </c>
      <c r="CB160" s="0" t="inlineStr">
        <is>
          <t>21行 1列，源：2013-03-12 02:00:00 -04:25 备：9999-12-31 23:59:59 +00:00</t>
        </is>
      </c>
      <c r="CM160" s="0" t="inlineStr">
        <is>
          <t>10行 12列，源：None 备：</t>
        </is>
      </c>
      <c r="DA160" s="0" t="inlineStr">
        <is>
          <t>10行 4列，源：nan 备：9223372036854775807</t>
        </is>
      </c>
      <c r="DL160" s="0" t="inlineStr">
        <is>
          <t>20行 6列，源：12:30:45.100000 备：23:59:59.99999</t>
        </is>
      </c>
      <c r="DN160" s="0" t="inlineStr">
        <is>
          <t>26行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I€¶€¶I€¶€¶I€¶€¶I€¶€¶I€¶€¶I€¶€¶I€¶€¶I€¶€¶I€¶€¶I€¶€¶I€¶€¶I€¶€¶I€¶€¶I€¶€¶I€¶€¶I€¶€¶I€¶€¶I€¶€¶I€¶€¶I€¶€¶I€¶€¶I€¶€¶I€¶€¶I€¶€¶I€¶€¶I€¶€¶I€¶€¶I€¶€¶I€¶€¶I€¶€¶I€¶€¶I€¶€¶I€¶€¶I€¶€¶I€¶€¶I€¶€¶I€¶€¶I€¶€¶I€¶€¶I€¶€¶I€¶€¶I€¶€¶I€¶€¶I€¶€¶I€¶€¶I€¶€¶I€¶€¶I€¶€¶I€¶€¶I€¶€¶I€¶€¶I€¶€¶I€¶€¶I€¶€¶I€¶€¶I€¶€¶I€¶€¶I€¶€¶I€¶€¶I€¶€¶I€¶€¶I€¶€¶I€¶€¶I€¶€¶I€¶€¶I€¶€¶I€¶€¶I€¶€¶I€¶€¶I€¶€¶I€¶€¶I€¶€¶I€¶€¶I€¶€¶I€¶€¶I€¶€¶I€¶€¶I€¶€¶I€¶€¶I€¶€¶I€¶€¶I€¶€¶I€¶€¶I€¶€¶I€¶€¶I€¶€¶I€¶€¶I€¶€¶I€¶€¶I€¶€¶I€¶€¶I€¶€¶I€¶€¶I€¶€¶I€¶€¶I€¶€¶I€¶€¶I€¶€¶I€¶€¶I€¶€¶I€¶€¶I€¶€¶I€¶€¶I€¶€¶I€¶€¶I€¶€¶I€¶€¶I€¶€¶I€¶€¶I€¶€¶I€¶€¶I€¶€¶I€¶€¶I€¶€¶I€¶€¶I€¶€¶I€¶€¶I€¶€¶I€¶€¶I€¶€¶I€¶€¶I€¶€¶I€¶€¶I€¶€¶I€¶€¶I€¶€¶I€¶€¶I€¶€¶I€¶€¶I€¶€¶I€¶€¶I€¶€¶I€¶€¶I€¶€¶I€¶€¶I€¶€¶I€¶€¶I€¶€¶I€¶€¶I€¶€¶I€¶€¶I€¶€¶I€¶€¶I€¶€¶I€¶€¶I€¶€¶I€¶€¶I€¶€¶I€¶€¶I€¶€¶I€¶€¶I€¶€¶I€¶€¶I€¶€¶I€¶€¶I€¶€¶I€¶€¶I€¶€¶I€¶€¶I€¶€¶I€¶€¶I€¶€¶I€¶€¶I€¶€¶I€¶€¶I€¶€¶I€¶€¶I€¶€¶I€¶€¶I€¶€¶I€¶€¶I€¶€¶I€¶€¶I€¶€¶I€¶€¶I€¶€¶I€¶€¶I€¶€¶I€¶€¶I€¶€¶I€¶€¶I€¶€¶I€¶€¶I€¶€¶I€¶€¶I€¶€¶I€¶€¶I€¶€¶I€¶€¶I€¶€¶I€¶€¶I€¶€¶I€¶€¶I€¶€¶I€¶€¶I€¶€¶I€¶€¶I€¶€¶I€¶€¶I€¶</t>
        </is>
      </c>
      <c r="DX160" s="0" t="inlineStr">
        <is>
          <t>9行 14列，源：None 备：</t>
        </is>
      </c>
      <c r="EC160" s="0" t="inlineStr">
        <is>
          <t>21行 1列，源：23:59:59 备：</t>
        </is>
      </c>
      <c r="EH160" s="0" t="inlineStr">
        <is>
          <t>9行 14列，源：None 备：</t>
        </is>
      </c>
      <c r="EP160" s="0" t="inlineStr">
        <is>
          <t>9行 14列，源：None 备：</t>
        </is>
      </c>
      <c r="ES160" s="0" t="inlineStr">
        <is>
          <t>9行 14列，源：None 备：</t>
        </is>
      </c>
    </row>
    <row r="161">
      <c r="B161" s="0" t="inlineStr">
        <is>
          <t>NULL</t>
        </is>
      </c>
      <c r="C161" s="0" t="inlineStr">
        <is>
          <t>NULL</t>
        </is>
      </c>
      <c r="D161" s="0" t="inlineStr">
        <is>
          <t>NULL</t>
        </is>
      </c>
      <c r="E161" s="0" t="inlineStr">
        <is>
          <t>NULL</t>
        </is>
      </c>
      <c r="F161" s="0" t="inlineStr">
        <is>
          <t>NULL</t>
        </is>
      </c>
      <c r="G161" s="0" t="inlineStr">
        <is>
          <t>NULL</t>
        </is>
      </c>
      <c r="H161" s="0" t="inlineStr">
        <is>
          <t>NULL</t>
        </is>
      </c>
      <c r="I161" s="0" t="inlineStr">
        <is>
          <t>NULL</t>
        </is>
      </c>
      <c r="J161" s="0" t="inlineStr">
        <is>
          <t>NULL</t>
        </is>
      </c>
      <c r="K161" s="0" t="inlineStr">
        <is>
          <t xml:space="preserve"> NO!  	 c_decimal38_38列源备映射错误，源端为decimal None位	期望更改为text	实际备端为decimal None位</t>
        </is>
      </c>
      <c r="AM161" s="0" t="inlineStr">
        <is>
          <t>14行 0列，源：15 备：4</t>
        </is>
      </c>
      <c r="AS161" s="0" t="inlineStr">
        <is>
          <t>13行 4列，源：1000000 备：0</t>
        </is>
      </c>
      <c r="BE161" s="0" t="inlineStr">
        <is>
          <t>18行 8列，源：2026-04-17 17:17:24.630646 备：2065-05-11 14:30:45.1234567</t>
        </is>
      </c>
      <c r="BG161" s="0" t="inlineStr">
        <is>
          <t>10行 6列，源：None 备：</t>
        </is>
      </c>
      <c r="BI161" s="0" t="inlineStr">
        <is>
          <t>18行 0列，源：207 备：7</t>
        </is>
      </c>
      <c r="BJ161" s="0" t="inlineStr">
        <is>
          <t>9行 15列，源：123.456789 备：0.0000000000000</t>
        </is>
      </c>
      <c r="BL161" s="0" t="inlineStr">
        <is>
          <t>27行 0列，源：128 备：77</t>
        </is>
      </c>
      <c r="BX161" s="0" t="inlineStr">
        <is>
          <t>17行 6列，源：9999-12-31 23:59:59.99999 +00:00 备：0001-01-01 00:00:00.00000 +00:00</t>
        </is>
      </c>
      <c r="CB161" s="0" t="inlineStr">
        <is>
          <t>21行 2列，源：2013-03-12 02:00:00.0 -04:25 备：9999-12-31 23:59:59.9 +00:00</t>
        </is>
      </c>
      <c r="CM161" s="0" t="inlineStr">
        <is>
          <t>10行 13列，源：None 备：</t>
        </is>
      </c>
      <c r="DA161" s="0" t="inlineStr">
        <is>
          <t>10行 5列，源：None 备：999999999999999999</t>
        </is>
      </c>
      <c r="DL161" s="0" t="inlineStr">
        <is>
          <t>20行 7列，源：12:30:45.100000 备：23:59:59.999999</t>
        </is>
      </c>
      <c r="DN161" s="0" t="inlineStr">
        <is>
          <t>27行 0列，源：128 备：77</t>
        </is>
      </c>
      <c r="DX161" s="0" t="inlineStr">
        <is>
          <t>9行 15列，源：nan 备：0.0000000000000</t>
        </is>
      </c>
      <c r="EC161" s="0" t="inlineStr">
        <is>
          <t>21行 2列，源：23:59:59.100000 备：12:00:00.1</t>
        </is>
      </c>
      <c r="EH161" s="0" t="inlineStr">
        <is>
          <t>9行 15列，源：nan 备：</t>
        </is>
      </c>
      <c r="EP161" s="0" t="inlineStr">
        <is>
          <t>9行 15列，源：nan 备：0.0000000000000</t>
        </is>
      </c>
      <c r="ES161" s="0" t="inlineStr">
        <is>
          <t>9行 15列，源：nan 备：</t>
        </is>
      </c>
    </row>
    <row r="162">
      <c r="B162" s="0" t="inlineStr">
        <is>
          <t>NULL</t>
        </is>
      </c>
      <c r="C162" s="0" t="inlineStr">
        <is>
          <t>NULL</t>
        </is>
      </c>
      <c r="D162" s="0" t="inlineStr">
        <is>
          <t>NULL</t>
        </is>
      </c>
      <c r="E162" s="0" t="inlineStr">
        <is>
          <t>NULL</t>
        </is>
      </c>
      <c r="F162" s="0" t="inlineStr">
        <is>
          <t>NULL</t>
        </is>
      </c>
      <c r="G162" s="0" t="inlineStr">
        <is>
          <t>NULL</t>
        </is>
      </c>
      <c r="H162" s="0" t="inlineStr">
        <is>
          <t>NULL</t>
        </is>
      </c>
      <c r="I162" s="0" t="inlineStr">
        <is>
          <t>NULL</t>
        </is>
      </c>
      <c r="J162" s="0" t="inlineStr">
        <is>
          <t>NULL</t>
        </is>
      </c>
      <c r="K162" s="0" t="inlineStr">
        <is>
          <t xml:space="preserve"> NO!  	 c_decimal38_10列源备映射错误，源端为decimal None位	期望更改为text	实际备端为decimal None位</t>
        </is>
      </c>
      <c r="AM162" s="0" t="inlineStr">
        <is>
          <t>14行 2列，源：nan 备：12345</t>
        </is>
      </c>
      <c r="AS162" s="0" t="inlineStr">
        <is>
          <t>13行 5列，源：None 备：99999</t>
        </is>
      </c>
      <c r="BE162" s="0" t="inlineStr">
        <is>
          <t>19行 0列，源：125 备：275</t>
        </is>
      </c>
      <c r="BG162" s="0" t="inlineStr">
        <is>
          <t>10行 7列，源：None 备：</t>
        </is>
      </c>
      <c r="BI162" s="0" t="inlineStr">
        <is>
          <t>18行 2列，源：2065-05-11 14:30:45.100000 备：2065-05-11 14:30:45.1</t>
        </is>
      </c>
      <c r="BJ162" s="0" t="inlineStr">
        <is>
          <t>9行 16列，源：nan 备：0.000000</t>
        </is>
      </c>
      <c r="BL162" s="0" t="inlineStr">
        <is>
          <t>27行 1列，源：试 备：测</t>
        </is>
      </c>
      <c r="BX162" s="0" t="inlineStr">
        <is>
          <t>17行 7列，源：9999-12-31 23:59:59.999999 +00:00 备：0001-01-01 00:00:00.000000 +00:00</t>
        </is>
      </c>
      <c r="CB162" s="0" t="inlineStr">
        <is>
          <t>21行 3列，源：2013-03-12 02:00:00.00 -04:25 备：9999-12-31 23:59:59.99 +00:00</t>
        </is>
      </c>
      <c r="CM162" s="0" t="inlineStr">
        <is>
          <t>10行 14列，源：None 备：</t>
        </is>
      </c>
      <c r="DA162" s="0" t="inlineStr">
        <is>
          <t>10行 6列，源：None 备：99999999999999999999999999999999999999</t>
        </is>
      </c>
      <c r="DL162" s="0" t="inlineStr">
        <is>
          <t>20行 8列，源：12:30:45.100000 备：23:59:59.9999999</t>
        </is>
      </c>
      <c r="DN162" s="0" t="inlineStr">
        <is>
          <t>27行 1列，源：试 备：测</t>
        </is>
      </c>
      <c r="DX162" s="0" t="inlineStr">
        <is>
          <t>9行 16列，源：nan 备：0.000000</t>
        </is>
      </c>
      <c r="EC162" s="0" t="inlineStr">
        <is>
          <t>21行 3列，源：23:59:59.120000 备：</t>
        </is>
      </c>
      <c r="EH162" s="0" t="inlineStr">
        <is>
          <t>9行 16列，源：nan 备：</t>
        </is>
      </c>
      <c r="EP162" s="0" t="inlineStr">
        <is>
          <t>9行 16列，源：nan 备：0.000000</t>
        </is>
      </c>
      <c r="ES162" s="0" t="inlineStr">
        <is>
          <t>9行 16列，源：nan 备：</t>
        </is>
      </c>
    </row>
    <row r="163">
      <c r="B163" s="0" t="inlineStr">
        <is>
          <t>NULL</t>
        </is>
      </c>
      <c r="C163" s="0" t="inlineStr">
        <is>
          <t>NULL</t>
        </is>
      </c>
      <c r="D163" s="0" t="inlineStr">
        <is>
          <t>NULL</t>
        </is>
      </c>
      <c r="E163" s="0" t="inlineStr">
        <is>
          <t>NULL</t>
        </is>
      </c>
      <c r="F163" s="0" t="inlineStr">
        <is>
          <t>NULL</t>
        </is>
      </c>
      <c r="G163" s="0" t="inlineStr">
        <is>
          <t>NULL</t>
        </is>
      </c>
      <c r="H163" s="0" t="inlineStr">
        <is>
          <t>NULL</t>
        </is>
      </c>
      <c r="I163" s="0" t="inlineStr">
        <is>
          <t>NULL</t>
        </is>
      </c>
      <c r="J163" s="0" t="inlineStr">
        <is>
          <t>NULL</t>
        </is>
      </c>
      <c r="K163" s="0" t="inlineStr">
        <is>
          <t xml:space="preserve"> NO!  	 c_decimal19_4列源备映射错误，源端为decimal None位	期望更改为text	实际备端为decimal None位</t>
        </is>
      </c>
      <c r="AM163" s="0" t="inlineStr">
        <is>
          <t>14行 5列，源：None 备：</t>
        </is>
      </c>
      <c r="AS163" s="0" t="inlineStr">
        <is>
          <t>13行 15列，源：1.23456789012345e-30 备：123.4567890000000</t>
        </is>
      </c>
      <c r="BE163" s="0" t="inlineStr">
        <is>
          <t>19行 2列，源：9999-12-31 23:59:59.900000 备：9999-12-31 23:59:59.9</t>
        </is>
      </c>
      <c r="BG163" s="0" t="inlineStr">
        <is>
          <t>10行 8列，源：None 备：</t>
        </is>
      </c>
      <c r="BI163" s="0" t="inlineStr">
        <is>
          <t>18行 3列，源：2065-05-11 14:30:45.120000 备：2065-05-11 14:30:45.12</t>
        </is>
      </c>
      <c r="BJ163" s="0" t="inlineStr">
        <is>
          <t>9行 17列，源：None 备：0.0001</t>
        </is>
      </c>
      <c r="BL163" s="0" t="inlineStr">
        <is>
          <t>27行 1列，源：试 备：测</t>
        </is>
      </c>
      <c r="BX163" s="0" t="inlineStr">
        <is>
          <t>17行 8列，源：9999-12-31 23:59:59.9999999 +00:00 备：0001-01-01 00:00:00.0000000 +00:00</t>
        </is>
      </c>
      <c r="CB163" s="0" t="inlineStr">
        <is>
          <t>21行 4列，源：2013-03-12 02:00:00.000 -04:25 备：9999-12-31 23:59:59.999 +00:00</t>
        </is>
      </c>
      <c r="CM163" s="0" t="inlineStr">
        <is>
          <t>10行 15列，源：2.23e-308 备：</t>
        </is>
      </c>
      <c r="DA163" s="0" t="inlineStr">
        <is>
          <t>10行 7列，源：None 备：0.99999999999999999999999999999999999999</t>
        </is>
      </c>
      <c r="DL163" s="0" t="inlineStr">
        <is>
          <t>21行 0列，源：26 备：30</t>
        </is>
      </c>
      <c r="DN163" s="0" t="inlineStr">
        <is>
          <t>27行 1列，源：试 备：测</t>
        </is>
      </c>
      <c r="DX163" s="0" t="inlineStr">
        <is>
          <t>9行 17列，源：None 备：0.0001</t>
        </is>
      </c>
      <c r="EC163" s="0" t="inlineStr">
        <is>
          <t>21行 4列，源：23:59:59.123000 备：12:00:00.123</t>
        </is>
      </c>
      <c r="EH163" s="0" t="inlineStr">
        <is>
          <t>9行 17列，源：None 备：</t>
        </is>
      </c>
      <c r="EP163" s="0" t="inlineStr">
        <is>
          <t>9行 17列，源：None 备：0.0001</t>
        </is>
      </c>
      <c r="ES163" s="0" t="inlineStr">
        <is>
          <t>9行 17列，源：None 备：</t>
        </is>
      </c>
    </row>
    <row r="164">
      <c r="B164" s="0" t="inlineStr">
        <is>
          <t>NULL</t>
        </is>
      </c>
      <c r="C164" s="0" t="inlineStr">
        <is>
          <t>NULL</t>
        </is>
      </c>
      <c r="D164" s="0" t="inlineStr">
        <is>
          <t>NULL</t>
        </is>
      </c>
      <c r="E164" s="0" t="inlineStr">
        <is>
          <t>NULL</t>
        </is>
      </c>
      <c r="F164" s="0" t="inlineStr">
        <is>
          <t>NULL</t>
        </is>
      </c>
      <c r="G164" s="0" t="inlineStr">
        <is>
          <t>NULL</t>
        </is>
      </c>
      <c r="H164" s="0" t="inlineStr">
        <is>
          <t>NULL</t>
        </is>
      </c>
      <c r="I164" s="0" t="inlineStr">
        <is>
          <t>NULL</t>
        </is>
      </c>
      <c r="J164" s="0" t="inlineStr">
        <is>
          <t>NULL</t>
        </is>
      </c>
      <c r="K164" s="0" t="inlineStr">
        <is>
          <t xml:space="preserve"> NO!  	 c_numeric列源备映射错误，源端为numeric None位	期望更改为text	实际备端为numeric None位</t>
        </is>
      </c>
      <c r="AM164" s="0" t="inlineStr">
        <is>
          <t>14行 15列，源：1.23456789012345e-30 备：0.0000000000000</t>
        </is>
      </c>
      <c r="AS164" s="0" t="inlineStr">
        <is>
          <t>13行 16列，源：1.2345669834560371e-20 备：0.000000</t>
        </is>
      </c>
      <c r="BE164" s="0" t="inlineStr">
        <is>
          <t>19行 3列，源：9999-12-31 23:59:59.990000 备：9999-12-31 23:59:59.99</t>
        </is>
      </c>
      <c r="BG164" s="0" t="inlineStr">
        <is>
          <t>10行 9列，源：None 备：</t>
        </is>
      </c>
      <c r="BI164" s="0" t="inlineStr">
        <is>
          <t>18行 4列，源：2065-05-11 14:30:45.123000 备：2065-05-11 14:30:45.123</t>
        </is>
      </c>
      <c r="BJ164" s="0" t="inlineStr">
        <is>
          <t>9行 18列，源：None 备：0.0001</t>
        </is>
      </c>
      <c r="BL164" s="0" t="inlineStr">
        <is>
          <t xml:space="preserve">27行 2列，源：更新生僻字                备：这是一个长字符串            </t>
        </is>
      </c>
      <c r="BX164" s="0" t="inlineStr">
        <is>
          <t>18行 0列，源：26 备：177</t>
        </is>
      </c>
      <c r="CB164" s="0" t="inlineStr">
        <is>
          <t>21行 5列，源：2013-03-12 02:00:00.0000 -04:25 备：9999-12-31 23:59:59.9999 +00:00</t>
        </is>
      </c>
      <c r="CM164" s="0" t="inlineStr">
        <is>
          <t>10行 16列，源：1.179999945774631e-38 备：</t>
        </is>
      </c>
      <c r="DA164" s="0" t="inlineStr">
        <is>
          <t>10行 8列，源：None 备：9999999999999999999999999999.9999999999</t>
        </is>
      </c>
      <c r="DL164" s="0" t="inlineStr">
        <is>
          <t>22行 0列，源：27 备：31</t>
        </is>
      </c>
      <c r="DN164" s="0" t="inlineStr">
        <is>
          <t>27行 2列，源：更新生僻字 备：这是一个长字符串</t>
        </is>
      </c>
      <c r="DX164" s="0" t="inlineStr">
        <is>
          <t>9行 18列，源：None 备：0.0001</t>
        </is>
      </c>
      <c r="EC164" s="0" t="inlineStr">
        <is>
          <t>21行 5列，源：23:59:59.123500 备：</t>
        </is>
      </c>
      <c r="EH164" s="0" t="inlineStr">
        <is>
          <t>9行 18列，源：None 备：</t>
        </is>
      </c>
      <c r="EP164" s="0" t="inlineStr">
        <is>
          <t>9行 18列，源：None 备：0.0001</t>
        </is>
      </c>
      <c r="ES164" s="0" t="inlineStr">
        <is>
          <t>9行 18列，源：None 备：</t>
        </is>
      </c>
    </row>
    <row r="165">
      <c r="B165" s="0" t="inlineStr">
        <is>
          <t>NULL</t>
        </is>
      </c>
      <c r="C165" s="0" t="inlineStr">
        <is>
          <t>NULL</t>
        </is>
      </c>
      <c r="D165" s="0" t="inlineStr">
        <is>
          <t>NULL</t>
        </is>
      </c>
      <c r="E165" s="0" t="inlineStr">
        <is>
          <t>NULL</t>
        </is>
      </c>
      <c r="F165" s="0" t="inlineStr">
        <is>
          <t>NULL</t>
        </is>
      </c>
      <c r="G165" s="0" t="inlineStr">
        <is>
          <t>NULL</t>
        </is>
      </c>
      <c r="H165" s="0" t="inlineStr">
        <is>
          <t>NULL</t>
        </is>
      </c>
      <c r="I165" s="0" t="inlineStr">
        <is>
          <t>NULL</t>
        </is>
      </c>
      <c r="J165" s="0" t="inlineStr">
        <is>
          <t>NULL</t>
        </is>
      </c>
      <c r="K165" s="0" t="inlineStr">
        <is>
          <t xml:space="preserve"> NO!  	 c_numeric38列源备映射错误，源端为numeric None位	期望更改为text	实际备端为numeric None位</t>
        </is>
      </c>
      <c r="AM165" s="0" t="inlineStr">
        <is>
          <t>14行 16列，源：1.2345669834560371e-20 备：0.000000</t>
        </is>
      </c>
      <c r="AS165" s="0" t="inlineStr">
        <is>
          <t>13行 18列，源：None 备：</t>
        </is>
      </c>
      <c r="BE165" s="0" t="inlineStr">
        <is>
          <t>19行 4列，源：9999-12-31 23:59:59.999000 备：9999-12-31 23:59:59.999</t>
        </is>
      </c>
      <c r="BG165" s="0" t="inlineStr">
        <is>
          <t>10行 10列，源：None 备：</t>
        </is>
      </c>
      <c r="BI165" s="0" t="inlineStr">
        <is>
          <t>18行 5列，源：2065-05-11 14:30:45.123500 备：2065-05-11 14:30:45.1235</t>
        </is>
      </c>
      <c r="BJ165" s="0" t="inlineStr">
        <is>
          <t>9行 19列，源：True 备：1</t>
        </is>
      </c>
      <c r="BL165" s="0" t="inlineStr">
        <is>
          <t xml:space="preserve">27行 2列，源：更新生僻字                备：这是一个长字符串            </t>
        </is>
      </c>
      <c r="BX165" s="0" t="inlineStr">
        <is>
          <t>18行 1列，源：2063-05-11 10:30:45 -04:00 备：1933-05-11 15:30:45 +01:00</t>
        </is>
      </c>
      <c r="CB165" s="0" t="inlineStr">
        <is>
          <t>21行 6列，源：2013-03-12 02:00:00.00000 -04:25 备：9999-12-31 23:59:59.99999 +00:00</t>
        </is>
      </c>
      <c r="CM165" s="0" t="inlineStr">
        <is>
          <t>10行 17列，源：None 备：-500000.0000</t>
        </is>
      </c>
      <c r="DA165" s="0" t="inlineStr">
        <is>
          <t>10行 9列，源：None 备：999999999999999.9999</t>
        </is>
      </c>
      <c r="DL165" s="0" t="inlineStr">
        <is>
          <t>23行 0列，源：28 备：32</t>
        </is>
      </c>
      <c r="DN165" s="0" t="inlineStr">
        <is>
          <t>27行 2列，源：更新生僻字 备：这是一个长字符串</t>
        </is>
      </c>
      <c r="DX165" s="0" t="inlineStr">
        <is>
          <t>9行 19列，源：None 备：1</t>
        </is>
      </c>
      <c r="EC165" s="0" t="inlineStr">
        <is>
          <t>21行 6列，源：23:59:59.123460 备：12:00:00.12346</t>
        </is>
      </c>
      <c r="EH165" s="0" t="inlineStr">
        <is>
          <t>9行 19列，源：None 备：</t>
        </is>
      </c>
      <c r="EP165" s="0" t="inlineStr">
        <is>
          <t>9行 19列，源：None 备：1</t>
        </is>
      </c>
      <c r="ES165" s="0" t="inlineStr">
        <is>
          <t>9行 19列，源：None 备：</t>
        </is>
      </c>
    </row>
    <row r="166">
      <c r="B166" s="0" t="inlineStr">
        <is>
          <t>NULL</t>
        </is>
      </c>
      <c r="C166" s="0" t="inlineStr">
        <is>
          <t>NULL</t>
        </is>
      </c>
      <c r="D166" s="0" t="inlineStr">
        <is>
          <t>NULL</t>
        </is>
      </c>
      <c r="E166" s="0" t="inlineStr">
        <is>
          <t>NULL</t>
        </is>
      </c>
      <c r="F166" s="0" t="inlineStr">
        <is>
          <t>NULL</t>
        </is>
      </c>
      <c r="G166" s="0" t="inlineStr">
        <is>
          <t>NULL</t>
        </is>
      </c>
      <c r="H166" s="0" t="inlineStr">
        <is>
          <t>NULL</t>
        </is>
      </c>
      <c r="I166" s="0" t="inlineStr">
        <is>
          <t>NULL</t>
        </is>
      </c>
      <c r="J166" s="0" t="inlineStr">
        <is>
          <t>NULL</t>
        </is>
      </c>
      <c r="K166" s="0" t="inlineStr">
        <is>
          <t xml:space="preserve"> NO!  	 c_numeric38_38列源备映射错误，源端为numeric None位	期望更改为text	实际备端为numeric None位</t>
        </is>
      </c>
      <c r="AM166" s="0" t="inlineStr">
        <is>
          <t>14行 18列，源：None 备：1234.5678</t>
        </is>
      </c>
      <c r="AS166" s="0" t="inlineStr">
        <is>
          <t>13行 19列，源：False 备：1</t>
        </is>
      </c>
      <c r="BE166" s="0" t="inlineStr">
        <is>
          <t>19行 5列，源：9999-12-31 23:59:59.999900 备：9999-12-31 23:59:59.9999</t>
        </is>
      </c>
      <c r="BG166" s="0" t="inlineStr">
        <is>
          <t>10行 11列，源：None 备：</t>
        </is>
      </c>
      <c r="BI166" s="0" t="inlineStr">
        <is>
          <t>18行 6列，源：2065-05-11 14:30:45.123460 备：2065-05-11 14:30:45.12346</t>
        </is>
      </c>
      <c r="BJ166" s="0" t="inlineStr">
        <is>
          <t>10行 0列，源：12 备：19</t>
        </is>
      </c>
      <c r="BL166"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66" s="0" t="inlineStr">
        <is>
          <t>18行 2列，源：2063-05-11 10:30:45.1 -04:00 备：1933-05-11 15:30:45.1 +01:00</t>
        </is>
      </c>
      <c r="CB166" s="0" t="inlineStr">
        <is>
          <t>21行 7列，源：2013-03-12 02:00:00.000000 -04:25 备：9999-12-31 23:59:59.999999 +00:00</t>
        </is>
      </c>
      <c r="CM166" s="0" t="inlineStr">
        <is>
          <t>10行 18列，源：None 备：-20000.0000</t>
        </is>
      </c>
      <c r="DA166" s="0" t="inlineStr">
        <is>
          <t>10行 10列，源：None 备：999999999999999999</t>
        </is>
      </c>
      <c r="DL166" s="0" t="inlineStr">
        <is>
          <t>23行 1列，源：12:30:45 备：23:59:59</t>
        </is>
      </c>
      <c r="DN166"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X166" s="0" t="inlineStr">
        <is>
          <t>10行 0列，源：11 备：19</t>
        </is>
      </c>
      <c r="EC166" s="0" t="inlineStr">
        <is>
          <t>21行 7列，源：23:59:59.123457 备：</t>
        </is>
      </c>
      <c r="EH166" s="0" t="inlineStr">
        <is>
          <t>10行 0列，源：11 备：109</t>
        </is>
      </c>
      <c r="EP166" s="0" t="inlineStr">
        <is>
          <t>10行 0列，源：11 备：19</t>
        </is>
      </c>
      <c r="ES166" s="0" t="inlineStr">
        <is>
          <t>10行 0列，源：11 备：109</t>
        </is>
      </c>
    </row>
    <row r="167">
      <c r="B167" s="0" t="inlineStr">
        <is>
          <t>NULL</t>
        </is>
      </c>
      <c r="C167" s="0" t="inlineStr">
        <is>
          <t>NULL</t>
        </is>
      </c>
      <c r="D167" s="0" t="inlineStr">
        <is>
          <t>NULL</t>
        </is>
      </c>
      <c r="E167" s="0" t="inlineStr">
        <is>
          <t>NULL</t>
        </is>
      </c>
      <c r="F167" s="0" t="inlineStr">
        <is>
          <t>NULL</t>
        </is>
      </c>
      <c r="G167" s="0" t="inlineStr">
        <is>
          <t>NULL</t>
        </is>
      </c>
      <c r="H167" s="0" t="inlineStr">
        <is>
          <t>NULL</t>
        </is>
      </c>
      <c r="I167" s="0" t="inlineStr">
        <is>
          <t>NULL</t>
        </is>
      </c>
      <c r="J167" s="0" t="inlineStr">
        <is>
          <t>NULL</t>
        </is>
      </c>
      <c r="K167" s="0" t="inlineStr">
        <is>
          <t xml:space="preserve"> NO!  	 c_numeric38_10列源备映射错误，源端为numeric None位	期望更改为text	实际备端为numeric None位</t>
        </is>
      </c>
      <c r="AM167" s="0" t="inlineStr">
        <is>
          <t>14行 19列，源：False 备：0</t>
        </is>
      </c>
      <c r="AS167" s="0" t="inlineStr">
        <is>
          <t>14行 0列，源：15 备：4</t>
        </is>
      </c>
      <c r="BE167" s="0" t="inlineStr">
        <is>
          <t>19行 6列，源：9999-12-31 23:59:59.999990 备：9999-12-31 23:59:59.99999</t>
        </is>
      </c>
      <c r="BG167" s="0" t="inlineStr">
        <is>
          <t>10行 12列，源：None 备：</t>
        </is>
      </c>
      <c r="BJ167" s="0" t="inlineStr">
        <is>
          <t>10行 1列，源：nan 备：</t>
        </is>
      </c>
      <c r="BL167" s="0" t="inlineStr">
        <is>
          <t xml:space="preserve">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                                                                                                                                                                                                                                                                                                                                                                                                                                                                                                                                                                                                                                                                                                                                                                                                                                                                                                                                                                                                                                                                                                                                                                                                                                                                                                                                                                                                                                                                                                                                                                                                                                                                                                                                                                                                                                                                                                                                                                                                                                                                                                                                                                                                                                                                                                                                                                                                                                                                                                                                                                                                                                                                                                                                                                                                                                                                                                                </t>
        </is>
      </c>
      <c r="BX167" s="0" t="inlineStr">
        <is>
          <t>18行 3列，源：2063-05-11 10:30:45.12 -04:00 备：1933-05-11 15:30:45.12 +01:00</t>
        </is>
      </c>
      <c r="CB167" s="0" t="inlineStr">
        <is>
          <t>21行 8列，源：2013-03-12 02:00:00.0000000 -04:25 备：9999-12-31 23:59:59.9999999 +00:00</t>
        </is>
      </c>
      <c r="CM167" s="0" t="inlineStr">
        <is>
          <t>10行 19列，源：None 备：</t>
        </is>
      </c>
      <c r="DA167" s="0" t="inlineStr">
        <is>
          <t>10行 11列，源：None 备：99999999999999999999999999999999999999</t>
        </is>
      </c>
      <c r="DL167" s="0" t="inlineStr">
        <is>
          <t>23行 2列，源：12:30:45.100000 备：23:59:59.1</t>
        </is>
      </c>
      <c r="DN167" s="0" t="inlineStr">
        <is>
          <t>27行 3列，源：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 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t>
        </is>
      </c>
      <c r="DX167" s="0" t="inlineStr">
        <is>
          <t>10行 1列，源：200.0 备：</t>
        </is>
      </c>
      <c r="EC167" s="0" t="inlineStr">
        <is>
          <t>21行 8列，源：23:59:59.123456 备：12:00:00.1234567</t>
        </is>
      </c>
      <c r="EH167" s="0" t="inlineStr">
        <is>
          <t>10行 1列，源：200.0 备：</t>
        </is>
      </c>
      <c r="EP167" s="0" t="inlineStr">
        <is>
          <t>10行 1列，源：200.0 备：</t>
        </is>
      </c>
      <c r="ES167" s="0" t="inlineStr">
        <is>
          <t>10行 1列，源：200.0 备：</t>
        </is>
      </c>
    </row>
    <row r="168">
      <c r="B168" s="0" t="inlineStr">
        <is>
          <t>NULL</t>
        </is>
      </c>
      <c r="C168" s="0" t="inlineStr">
        <is>
          <t>NULL</t>
        </is>
      </c>
      <c r="D168" s="0" t="inlineStr">
        <is>
          <t>NULL</t>
        </is>
      </c>
      <c r="E168" s="0" t="inlineStr">
        <is>
          <t>NULL</t>
        </is>
      </c>
      <c r="F168" s="0" t="inlineStr">
        <is>
          <t>NULL</t>
        </is>
      </c>
      <c r="G168" s="0" t="inlineStr">
        <is>
          <t>NULL</t>
        </is>
      </c>
      <c r="H168" s="0" t="inlineStr">
        <is>
          <t>NULL</t>
        </is>
      </c>
      <c r="I168" s="0" t="inlineStr">
        <is>
          <t>NULL</t>
        </is>
      </c>
      <c r="J168" s="0" t="inlineStr">
        <is>
          <t>NULL</t>
        </is>
      </c>
      <c r="K168" s="0" t="inlineStr">
        <is>
          <t xml:space="preserve"> NO!  	 c_numeric18_2列源备映射错误，源端为numeric None位	期望更改为text	实际备端为numeric None位</t>
        </is>
      </c>
      <c r="AM168" s="0" t="inlineStr">
        <is>
          <t>15行 0列，源：16 备：5</t>
        </is>
      </c>
      <c r="AS168" s="0" t="inlineStr">
        <is>
          <t>14行 2列，源：nan 备：12345</t>
        </is>
      </c>
      <c r="BE168" s="0" t="inlineStr">
        <is>
          <t>20行 0列，源：126 备：277</t>
        </is>
      </c>
      <c r="BG168" s="0" t="inlineStr">
        <is>
          <t>10行 13列，源：None 备：</t>
        </is>
      </c>
      <c r="BJ168" s="0" t="inlineStr">
        <is>
          <t>10行 2列，源：nan 备：</t>
        </is>
      </c>
      <c r="BL168" s="0" t="inlineStr">
        <is>
          <t>28行 0列，源：158 备：78</t>
        </is>
      </c>
      <c r="BX168" s="0" t="inlineStr">
        <is>
          <t>18行 4列，源：2063-05-11 10:30:45.123 -04:00 备：1933-05-11 15:30:45.123 +01:00</t>
        </is>
      </c>
      <c r="CB168" s="0" t="inlineStr">
        <is>
          <t>22行 0列，源：61 备：52</t>
        </is>
      </c>
      <c r="CM168" s="0" t="inlineStr">
        <is>
          <t>11行 0列，源：12 备：2</t>
        </is>
      </c>
      <c r="DA168" s="0" t="inlineStr">
        <is>
          <t>10行 12列，源：None 备：0.99999999999999999999999999999999999999</t>
        </is>
      </c>
      <c r="DL168" s="0" t="inlineStr">
        <is>
          <t>23行 3列，源：12:30:45.120000 备：23:59:59.12</t>
        </is>
      </c>
      <c r="DN168" s="0" t="inlineStr">
        <is>
          <t>28行 0列，源：158 备：78</t>
        </is>
      </c>
      <c r="DX168" s="0" t="inlineStr">
        <is>
          <t>10行 2列，源：20000.0 备：</t>
        </is>
      </c>
      <c r="EC168" s="0" t="inlineStr">
        <is>
          <t>22行 0列，源：63 备：65</t>
        </is>
      </c>
      <c r="EH168" s="0" t="inlineStr">
        <is>
          <t>10行 2列，源：20000.0 备：</t>
        </is>
      </c>
      <c r="EP168" s="0" t="inlineStr">
        <is>
          <t>10行 2列，源：20000.0 备：</t>
        </is>
      </c>
      <c r="ES168" s="0" t="inlineStr">
        <is>
          <t>10行 2列，源：20000.0 备：</t>
        </is>
      </c>
    </row>
    <row r="169">
      <c r="B169" s="0" t="inlineStr">
        <is>
          <t>NULL</t>
        </is>
      </c>
      <c r="C169" s="0" t="inlineStr">
        <is>
          <t>NULL</t>
        </is>
      </c>
      <c r="D169" s="0" t="inlineStr">
        <is>
          <t>NULL</t>
        </is>
      </c>
      <c r="E169" s="0" t="inlineStr">
        <is>
          <t>NULL</t>
        </is>
      </c>
      <c r="F169" s="0" t="inlineStr">
        <is>
          <t>NULL</t>
        </is>
      </c>
      <c r="G169" s="0" t="inlineStr">
        <is>
          <t>NULL</t>
        </is>
      </c>
      <c r="H169" s="0" t="inlineStr">
        <is>
          <t>NULL</t>
        </is>
      </c>
      <c r="I169" s="0" t="inlineStr">
        <is>
          <t>NULL</t>
        </is>
      </c>
      <c r="J169" s="0" t="inlineStr">
        <is>
          <t>NULL</t>
        </is>
      </c>
      <c r="K169" s="0" t="inlineStr">
        <is>
          <t xml:space="preserve"> NO!  	 c_float列源备映射错误，源端为float None位	期望更改为text	实际备端为float None位</t>
        </is>
      </c>
      <c r="AM169" s="0" t="inlineStr">
        <is>
          <t>15行 2列，源：nan 备：0</t>
        </is>
      </c>
      <c r="AS169" s="0" t="inlineStr">
        <is>
          <t>14行 5列，源：None 备：</t>
        </is>
      </c>
      <c r="BE169" s="0" t="inlineStr">
        <is>
          <t>20行 1列，源：1945-05-11 14:30:45 备：2065-05-11 14:30:45</t>
        </is>
      </c>
      <c r="BG169" s="0" t="inlineStr">
        <is>
          <t>10行 14列，源：None 备：</t>
        </is>
      </c>
      <c r="BJ169" s="0" t="inlineStr">
        <is>
          <t>10行 3列，源：nan 备：</t>
        </is>
      </c>
      <c r="BL169" s="0" t="inlineStr">
        <is>
          <t>29行 0列，源：178 备：8</t>
        </is>
      </c>
      <c r="BX169" s="0" t="inlineStr">
        <is>
          <t>18行 5列，源：2063-05-11 10:30:45.1235 -04:00 备：1933-05-11 15:30:45.1235 +01:00</t>
        </is>
      </c>
      <c r="CB169" s="0" t="inlineStr">
        <is>
          <t>22行 1列，源：2003-11-05 02:00:00 -05:10 备：1900-01-01 00:00:00 +00:00</t>
        </is>
      </c>
      <c r="CM169" s="0" t="inlineStr">
        <is>
          <t>11行 1列，源：nan 备：255</t>
        </is>
      </c>
      <c r="DA169" s="0" t="inlineStr">
        <is>
          <t>10行 13列，源：None 备：9999999999999999999999999999.9999999999</t>
        </is>
      </c>
      <c r="DL169" s="0" t="inlineStr">
        <is>
          <t>23行 4列，源：12:30:45.123000 备：23:59:59.123</t>
        </is>
      </c>
      <c r="DN169" s="0" t="inlineStr">
        <is>
          <t>29行 0列，源：178 备：8</t>
        </is>
      </c>
      <c r="DX169" s="0" t="inlineStr">
        <is>
          <t>10行 3列，源：2000000000.0 备：</t>
        </is>
      </c>
      <c r="EC169" s="0" t="inlineStr">
        <is>
          <t>22行 1列，源：None 备：00:00:01</t>
        </is>
      </c>
      <c r="EH169" s="0" t="inlineStr">
        <is>
          <t>10行 3列，源：2000000000.0 备：</t>
        </is>
      </c>
      <c r="EP169" s="0" t="inlineStr">
        <is>
          <t>10行 3列，源：2000000000.0 备：</t>
        </is>
      </c>
      <c r="ES169" s="0" t="inlineStr">
        <is>
          <t>10行 3列，源：2000000000.0 备：</t>
        </is>
      </c>
    </row>
    <row r="170">
      <c r="B170" s="0" t="inlineStr">
        <is>
          <t>NULL</t>
        </is>
      </c>
      <c r="C170" s="0" t="inlineStr">
        <is>
          <t>NULL</t>
        </is>
      </c>
      <c r="D170" s="0" t="inlineStr">
        <is>
          <t>NULL</t>
        </is>
      </c>
      <c r="E170" s="0" t="inlineStr">
        <is>
          <t>NULL</t>
        </is>
      </c>
      <c r="F170" s="0" t="inlineStr">
        <is>
          <t>NULL</t>
        </is>
      </c>
      <c r="G170" s="0" t="inlineStr">
        <is>
          <t>NULL</t>
        </is>
      </c>
      <c r="H170" s="0" t="inlineStr">
        <is>
          <t>NULL</t>
        </is>
      </c>
      <c r="I170" s="0" t="inlineStr">
        <is>
          <t>NULL</t>
        </is>
      </c>
      <c r="J170" s="0" t="inlineStr">
        <is>
          <t>NULL</t>
        </is>
      </c>
      <c r="K170" s="0" t="inlineStr">
        <is>
          <t xml:space="preserve"> NO!  	 c_real列源备映射错误，源端为real None位	期望更改为text	实际备端为real None位</t>
        </is>
      </c>
      <c r="AM170" s="0" t="inlineStr">
        <is>
          <t>15行 5列，源：None 备：</t>
        </is>
      </c>
      <c r="AS170" s="0" t="inlineStr">
        <is>
          <t>14行 15列，源：1.23456789012345e-30 备：0.0000000000000</t>
        </is>
      </c>
      <c r="BE170" s="0" t="inlineStr">
        <is>
          <t>20行 2列，源：1945-05-11 14:30:45.100000 备：2065-05-11 14:30:45.1</t>
        </is>
      </c>
      <c r="BG170" s="0" t="inlineStr">
        <is>
          <t>10行 15列，源：-3.402823466e+38 备：</t>
        </is>
      </c>
      <c r="BJ170" s="0" t="inlineStr">
        <is>
          <t>10行 4列，源：nan 备：</t>
        </is>
      </c>
      <c r="BX170" s="0" t="inlineStr">
        <is>
          <t>18行 6列，源：2063-05-11 10:30:45.12346 -04:00 备：1933-05-11 15:30:45.12346 +01:00</t>
        </is>
      </c>
      <c r="CB170" s="0" t="inlineStr">
        <is>
          <t>22行 2列，源：2003-11-05 02:00:00.0 -05:10 备：1900-01-01 00:00:00.0 +00:00</t>
        </is>
      </c>
      <c r="CM170" s="0" t="inlineStr">
        <is>
          <t>11行 2列，源：nan 备：32767</t>
        </is>
      </c>
      <c r="DA170" s="0" t="inlineStr">
        <is>
          <t>10行 14列，源：None 备：9999999999999999.99</t>
        </is>
      </c>
      <c r="DL170" s="0" t="inlineStr">
        <is>
          <t>23行 5列，源：12:30:45.123400 备：23:59:59.1235</t>
        </is>
      </c>
      <c r="DX170" s="0" t="inlineStr">
        <is>
          <t>10行 4列，源：2000000000000000.0 备：</t>
        </is>
      </c>
      <c r="EC170" s="0" t="inlineStr">
        <is>
          <t>22行 2列，源：00:00:01.100000 备：</t>
        </is>
      </c>
      <c r="EH170" s="0" t="inlineStr">
        <is>
          <t>10行 4列，源：2000000000000000.0 备：</t>
        </is>
      </c>
      <c r="EP170" s="0" t="inlineStr">
        <is>
          <t>10行 4列，源：2000000000000000.0 备：</t>
        </is>
      </c>
      <c r="ES170" s="0" t="inlineStr">
        <is>
          <t>10行 4列，源：2000000000000000.0 备：</t>
        </is>
      </c>
    </row>
    <row r="171">
      <c r="B171" s="0" t="inlineStr">
        <is>
          <t>NULL</t>
        </is>
      </c>
      <c r="C171" s="0" t="inlineStr">
        <is>
          <t>NULL</t>
        </is>
      </c>
      <c r="D171" s="0" t="inlineStr">
        <is>
          <t>NULL</t>
        </is>
      </c>
      <c r="E171" s="0" t="inlineStr">
        <is>
          <t>NULL</t>
        </is>
      </c>
      <c r="F171" s="0" t="inlineStr">
        <is>
          <t>NULL</t>
        </is>
      </c>
      <c r="G171" s="0" t="inlineStr">
        <is>
          <t>NULL</t>
        </is>
      </c>
      <c r="H171" s="0" t="inlineStr">
        <is>
          <t>NULL</t>
        </is>
      </c>
      <c r="I171" s="0" t="inlineStr">
        <is>
          <t>NULL</t>
        </is>
      </c>
      <c r="J171" s="0" t="inlineStr">
        <is>
          <t>NULL</t>
        </is>
      </c>
      <c r="K171" s="0" t="inlineStr">
        <is>
          <t xml:space="preserve"> NO!  	 c_money列源备映射错误，源端为money None位	期望更改为text	实际备端为money None位</t>
        </is>
      </c>
      <c r="AM171" s="0" t="inlineStr">
        <is>
          <t>15行 6列，源：None 备：</t>
        </is>
      </c>
      <c r="AS171" s="0" t="inlineStr">
        <is>
          <t>14行 16列，源：1.2345669834560371e-20 备：0.000000</t>
        </is>
      </c>
      <c r="BE171" s="0" t="inlineStr">
        <is>
          <t>20行 3列，源：1945-05-11 14:30:45.120000 备：2065-05-11 14:30:45.12</t>
        </is>
      </c>
      <c r="BG171" s="0" t="inlineStr">
        <is>
          <t>10行 16列，源：-3.4028230607370965e+38 备：</t>
        </is>
      </c>
      <c r="BJ171" s="0" t="inlineStr">
        <is>
          <t>10行 15列，源：nan 备：340282346600000016151267322115014000640.0000000000000</t>
        </is>
      </c>
      <c r="BX171" s="0" t="inlineStr">
        <is>
          <t>18行 7列，源：2063-05-11 10:30:45.123457 -04:00 备：1933-05-11 15:30:45.123457 +01:00</t>
        </is>
      </c>
      <c r="CB171" s="0" t="inlineStr">
        <is>
          <t>22行 3列，源：2003-11-05 02:00:00.00 -05:10 备：1900-01-01 00:00:00.00 +00:00</t>
        </is>
      </c>
      <c r="CM171" s="0" t="inlineStr">
        <is>
          <t>11行 3列，源：nan 备：2147483647</t>
        </is>
      </c>
      <c r="DA171" s="0" t="inlineStr">
        <is>
          <t>10行 15列，源：nan 备：1.7900000000000e+308</t>
        </is>
      </c>
      <c r="DL171" s="0" t="inlineStr">
        <is>
          <t>23行 6列，源：12:30:45.123400 备：23:59:59.12346</t>
        </is>
      </c>
      <c r="DX171" s="0" t="inlineStr">
        <is>
          <t>10行 5列，源：None 备：</t>
        </is>
      </c>
      <c r="EC171" s="0" t="inlineStr">
        <is>
          <t>22行 3列，源：None 备：00:00:01.12</t>
        </is>
      </c>
      <c r="EH171" s="0" t="inlineStr">
        <is>
          <t>10行 5列，源：None 备：</t>
        </is>
      </c>
      <c r="EP171" s="0" t="inlineStr">
        <is>
          <t>10行 5列，源：None 备：</t>
        </is>
      </c>
      <c r="ES171" s="0" t="inlineStr">
        <is>
          <t>10行 5列，源：None 备：</t>
        </is>
      </c>
    </row>
    <row r="172">
      <c r="B172" s="0" t="inlineStr">
        <is>
          <t>NULL</t>
        </is>
      </c>
      <c r="C172" s="0" t="inlineStr">
        <is>
          <t>NULL</t>
        </is>
      </c>
      <c r="D172" s="0" t="inlineStr">
        <is>
          <t>NULL</t>
        </is>
      </c>
      <c r="E172" s="0" t="inlineStr">
        <is>
          <t>NULL</t>
        </is>
      </c>
      <c r="F172" s="0" t="inlineStr">
        <is>
          <t>NULL</t>
        </is>
      </c>
      <c r="G172" s="0" t="inlineStr">
        <is>
          <t>NULL</t>
        </is>
      </c>
      <c r="H172" s="0" t="inlineStr">
        <is>
          <t>NULL</t>
        </is>
      </c>
      <c r="I172" s="0" t="inlineStr">
        <is>
          <t>NULL</t>
        </is>
      </c>
      <c r="J172" s="0" t="inlineStr">
        <is>
          <t>NULL</t>
        </is>
      </c>
      <c r="K172" s="0" t="inlineStr">
        <is>
          <t xml:space="preserve"> NO!  	 c_smallmoney列源备映射错误，源端为smallmoney None位	期望更改为text	实际备端为smallmoney None位</t>
        </is>
      </c>
      <c r="AM172" s="0" t="inlineStr">
        <is>
          <t>15行 7列，源：None 备：</t>
        </is>
      </c>
      <c r="AS172" s="0" t="inlineStr">
        <is>
          <t>14行 18列，源：None 备：1234.5678</t>
        </is>
      </c>
      <c r="BE172" s="0" t="inlineStr">
        <is>
          <t>20行 4列，源：1945-05-11 14:30:45.123000 备：2065-05-11 14:30:45.123</t>
        </is>
      </c>
      <c r="BG172" s="0" t="inlineStr">
        <is>
          <t>10行 19列，源：False 备：</t>
        </is>
      </c>
      <c r="BJ172" s="0" t="inlineStr">
        <is>
          <t>10行 16列，源：nan 备：340282306073709652508363335590014353408.000000</t>
        </is>
      </c>
      <c r="BX172" s="0" t="inlineStr">
        <is>
          <t>18行 8列，源：2063-05-11 10:30:45.1234567 -04:00 备：1933-05-11 15:30:45.1234567 +01:00</t>
        </is>
      </c>
      <c r="CB172" s="0" t="inlineStr">
        <is>
          <t>22行 4列，源：2003-11-05 02:00:00.000 -05:10 备：1900-01-01 00:00:00.000 +00:00</t>
        </is>
      </c>
      <c r="CM172" s="0" t="inlineStr">
        <is>
          <t>11行 4列，源：nan 备：9223372036854775807</t>
        </is>
      </c>
      <c r="DA172" s="0" t="inlineStr">
        <is>
          <t>10行 16列，源：nan 备：339999995214436424907732413799364296704.000000</t>
        </is>
      </c>
      <c r="DL172" s="0" t="inlineStr">
        <is>
          <t>23行 7列，源：12:30:45.123400 备：23:59:59.123457</t>
        </is>
      </c>
      <c r="DX172" s="0" t="inlineStr">
        <is>
          <t>10行 6列，源：None 备：</t>
        </is>
      </c>
      <c r="EC172" s="0" t="inlineStr">
        <is>
          <t>22行 4列，源：00:00:01.123000 备：</t>
        </is>
      </c>
      <c r="EH172" s="0" t="inlineStr">
        <is>
          <t>10行 6列，源：None 备：</t>
        </is>
      </c>
      <c r="EP172" s="0" t="inlineStr">
        <is>
          <t>10行 6列，源：None 备：</t>
        </is>
      </c>
      <c r="ES172" s="0" t="inlineStr">
        <is>
          <t>10行 6列，源：None 备：</t>
        </is>
      </c>
    </row>
    <row r="173">
      <c r="B173" s="0" t="inlineStr">
        <is>
          <t>NULL</t>
        </is>
      </c>
      <c r="C173" s="0" t="inlineStr">
        <is>
          <t>NULL</t>
        </is>
      </c>
      <c r="D173" s="0" t="inlineStr">
        <is>
          <t>NULL</t>
        </is>
      </c>
      <c r="E173" s="0" t="inlineStr">
        <is>
          <t>NULL</t>
        </is>
      </c>
      <c r="F173" s="0" t="inlineStr">
        <is>
          <t>NULL</t>
        </is>
      </c>
      <c r="G173" s="0" t="inlineStr">
        <is>
          <t>NULL</t>
        </is>
      </c>
      <c r="H173" s="0" t="inlineStr">
        <is>
          <t>NULL</t>
        </is>
      </c>
      <c r="I173" s="0" t="inlineStr">
        <is>
          <t>NULL</t>
        </is>
      </c>
      <c r="J173" s="0" t="inlineStr">
        <is>
          <t>NULL</t>
        </is>
      </c>
      <c r="K173" s="0" t="inlineStr">
        <is>
          <t xml:space="preserve"> NO!  	 c_bit列源备映射错误，源端为bit None位	期望更改为text	实际备端为bit None位</t>
        </is>
      </c>
      <c r="AM173" s="0" t="inlineStr">
        <is>
          <t>15行 8列，源：None 备：</t>
        </is>
      </c>
      <c r="AS173" s="0" t="inlineStr">
        <is>
          <t>14行 19列，源：False 备：0</t>
        </is>
      </c>
      <c r="BE173" s="0" t="inlineStr">
        <is>
          <t>20行 5列，源：1945-05-11 14:30:45.123500 备：2065-05-11 14:30:45.1235</t>
        </is>
      </c>
      <c r="BJ173" s="0" t="inlineStr">
        <is>
          <t>10行 17列，源：None 备：922337203685477.5807</t>
        </is>
      </c>
      <c r="BX173" s="0" t="inlineStr">
        <is>
          <t>19行 0列，源：27 备：178</t>
        </is>
      </c>
      <c r="CB173" s="0" t="inlineStr">
        <is>
          <t>22行 5列，源：2003-11-05 02:00:00.0000 -05:10 备：1900-01-01 00:00:00.0000 +00:00</t>
        </is>
      </c>
      <c r="CM173" s="0" t="inlineStr">
        <is>
          <t>11行 5列，源：None 备：999999999999999999</t>
        </is>
      </c>
      <c r="DA173" s="0" t="inlineStr">
        <is>
          <t>10行 19列，源：None 备：1</t>
        </is>
      </c>
      <c r="DL173" s="0" t="inlineStr">
        <is>
          <t>23行 8列，源：12:30:45.123400 备：23:59:59.1234567</t>
        </is>
      </c>
      <c r="DX173" s="0" t="inlineStr">
        <is>
          <t>10行 7列，源：None 备：</t>
        </is>
      </c>
      <c r="EC173" s="0" t="inlineStr">
        <is>
          <t>22行 5列，源：None 备：00:00:01.1235</t>
        </is>
      </c>
      <c r="EH173" s="0" t="inlineStr">
        <is>
          <t>10行 7列，源：None 备：</t>
        </is>
      </c>
      <c r="EP173" s="0" t="inlineStr">
        <is>
          <t>10行 7列，源：None 备：</t>
        </is>
      </c>
      <c r="ES173" s="0" t="inlineStr">
        <is>
          <t>10行 7列，源：None 备：</t>
        </is>
      </c>
    </row>
    <row r="174">
      <c r="A174" s="0" t="inlineStr">
        <is>
          <t>info_xml_dml_single_pk_drp</t>
        </is>
      </c>
      <c r="K174" s="0" t="inlineStr">
        <is>
          <t>[0;34m info_xml_dml_single_pk_drp [0m源备字段数相同，源端字段：2 	备端字段2</t>
        </is>
      </c>
      <c r="W174" s="0" t="inlineStr">
        <is>
          <t>YES 源备无差异</t>
        </is>
      </c>
      <c r="X174" s="0">
        <f>A174</f>
        <v/>
      </c>
      <c r="AM174" s="0" t="inlineStr">
        <is>
          <t>15行 10列，源：None 备：</t>
        </is>
      </c>
      <c r="AS174" s="0" t="inlineStr">
        <is>
          <t>15行 0列，源：16 备：5</t>
        </is>
      </c>
      <c r="BE174" s="0" t="inlineStr">
        <is>
          <t>20行 6列，源：1945-05-11 14:30:45.123460 备：2065-05-11 14:30:45.12346</t>
        </is>
      </c>
      <c r="BJ174" s="0" t="inlineStr">
        <is>
          <t>10行 18列，源：None 备：214748.3647</t>
        </is>
      </c>
      <c r="BX174" s="0" t="inlineStr">
        <is>
          <t>19行 1列，源：1933-05-11 15:30:45 +01:00 备：2000-05-11 00:30:45 +09:00</t>
        </is>
      </c>
      <c r="CB174" s="0" t="inlineStr">
        <is>
          <t>22行 6列，源：2003-11-05 02:00:00.00000 -05:10 备：1900-01-01 00:00:00.00000 +00:00</t>
        </is>
      </c>
      <c r="CM174" s="0" t="inlineStr">
        <is>
          <t>11行 6列，源：None 备：99999999999999999999999999999999999999</t>
        </is>
      </c>
      <c r="DA174" s="0" t="inlineStr">
        <is>
          <t>11行 0列，源：16 备：20</t>
        </is>
      </c>
      <c r="DL174" s="0" t="inlineStr">
        <is>
          <t>24行 0列，源：29 备：33</t>
        </is>
      </c>
      <c r="DX174" s="0" t="inlineStr">
        <is>
          <t>10行 8列，源：None 备：</t>
        </is>
      </c>
      <c r="EC174" s="0" t="inlineStr">
        <is>
          <t>22行 6列，源：00:00:01.123460 备：</t>
        </is>
      </c>
      <c r="EH174" s="0" t="inlineStr">
        <is>
          <t>10行 8列，源：None 备：</t>
        </is>
      </c>
      <c r="EP174" s="0" t="inlineStr">
        <is>
          <t>10行 8列，源：None 备：</t>
        </is>
      </c>
      <c r="ES174" s="0" t="inlineStr">
        <is>
          <t>10行 8列，源：None 备：</t>
        </is>
      </c>
    </row>
    <row r="175">
      <c r="B175" s="0" t="inlineStr">
        <is>
          <t>YES</t>
        </is>
      </c>
      <c r="C175" s="0" t="inlineStr">
        <is>
          <t>NULL</t>
        </is>
      </c>
      <c r="D175" s="0" t="inlineStr">
        <is>
          <t>NULL</t>
        </is>
      </c>
      <c r="E175" s="0" t="inlineStr">
        <is>
          <t>NULL</t>
        </is>
      </c>
      <c r="F175" s="0" t="inlineStr">
        <is>
          <t>NULL</t>
        </is>
      </c>
      <c r="G175" s="0" t="inlineStr">
        <is>
          <t>NULL</t>
        </is>
      </c>
      <c r="H175" s="0" t="inlineStr">
        <is>
          <t>NULL</t>
        </is>
      </c>
      <c r="I175" s="0" t="inlineStr">
        <is>
          <t>YES!PK__info_xml__3213E83F9CD7369F</t>
        </is>
      </c>
      <c r="J175" s="0" t="inlineStr">
        <is>
          <t>YES! 主键相关索引</t>
        </is>
      </c>
      <c r="K175" s="0" t="inlineStr">
        <is>
          <t xml:space="preserve"> NO!  	 id列源备映射错误，源端为int None位	期望更改为text	实际备端为int None位</t>
        </is>
      </c>
      <c r="AM175" s="0" t="inlineStr">
        <is>
          <t>15行 11列，源：None 备：</t>
        </is>
      </c>
      <c r="AS175" s="0" t="inlineStr">
        <is>
          <t>15行 2列，源：0.0 备：0</t>
        </is>
      </c>
      <c r="BE175" s="0" t="inlineStr">
        <is>
          <t>20行 7列，源：1945-05-11 14:30:45.123457 备：2065-05-11 14:30:45.123457</t>
        </is>
      </c>
      <c r="BJ175" s="0" t="inlineStr">
        <is>
          <t>10行 19列，源：None 备：1</t>
        </is>
      </c>
      <c r="BX175" s="0" t="inlineStr">
        <is>
          <t>19行 2列，源：1933-05-11 15:30:45.1 +01:00 备：2000-05-11 00:30:45.1 +09:00</t>
        </is>
      </c>
      <c r="CB175" s="0" t="inlineStr">
        <is>
          <t>22行 7列，源：2003-11-05 02:00:00.000000 -05:10 备：1900-01-01 00:00:00.000000 +00:00</t>
        </is>
      </c>
      <c r="CM175" s="0" t="inlineStr">
        <is>
          <t>11行 7列，源：None 备：0.99999999999999999999999999999999999999</t>
        </is>
      </c>
      <c r="DA175" s="0" t="inlineStr">
        <is>
          <t>11行 1列，源：nan 备：222</t>
        </is>
      </c>
      <c r="DL175" s="0" t="inlineStr">
        <is>
          <t>24行 1列，源：12:30:45 备：</t>
        </is>
      </c>
      <c r="DX175" s="0" t="inlineStr">
        <is>
          <t>10行 9列，源：None 备：</t>
        </is>
      </c>
      <c r="EC175" s="0" t="inlineStr">
        <is>
          <t>22行 7列，源：None 备：00:00:01.123457</t>
        </is>
      </c>
      <c r="EH175" s="0" t="inlineStr">
        <is>
          <t>10行 9列，源：None 备：</t>
        </is>
      </c>
      <c r="EP175" s="0" t="inlineStr">
        <is>
          <t>10行 9列，源：None 备：</t>
        </is>
      </c>
      <c r="ES175" s="0" t="inlineStr">
        <is>
          <t>10行 9列，源：None 备：</t>
        </is>
      </c>
    </row>
    <row r="176">
      <c r="B176" s="0" t="inlineStr">
        <is>
          <t>NULL</t>
        </is>
      </c>
      <c r="C176" s="0" t="inlineStr">
        <is>
          <t>NULL</t>
        </is>
      </c>
      <c r="D176" s="0" t="inlineStr">
        <is>
          <t>NULL</t>
        </is>
      </c>
      <c r="E176" s="0" t="inlineStr">
        <is>
          <t>NULL</t>
        </is>
      </c>
      <c r="F176" s="0" t="inlineStr">
        <is>
          <t>NULL</t>
        </is>
      </c>
      <c r="G176" s="0" t="inlineStr">
        <is>
          <t>NULL</t>
        </is>
      </c>
      <c r="H176" s="0" t="inlineStr">
        <is>
          <t>NULL</t>
        </is>
      </c>
      <c r="I176" s="0" t="inlineStr">
        <is>
          <t>NULL</t>
        </is>
      </c>
      <c r="J176" s="0" t="inlineStr">
        <is>
          <t>NULL</t>
        </is>
      </c>
      <c r="K176" s="0" t="inlineStr">
        <is>
          <t xml:space="preserve"> NO!  	 c_xml列源备映射错误，源端为xml -1位	期望更改为text	实际备端为xml -1位</t>
        </is>
      </c>
      <c r="AM176" s="0" t="inlineStr">
        <is>
          <t>15行 12列，源：None 备：</t>
        </is>
      </c>
      <c r="AS176" s="0" t="inlineStr">
        <is>
          <t>15行 5列，源：None 备：99999</t>
        </is>
      </c>
      <c r="BE176" s="0" t="inlineStr">
        <is>
          <t>20行 8列，源：1945-05-11 14:30:45.123456 备：2065-05-11 14:30:45.1234567</t>
        </is>
      </c>
      <c r="BJ176" s="0" t="inlineStr">
        <is>
          <t>11行 0列，源：13 备：2</t>
        </is>
      </c>
      <c r="BX176" s="0" t="inlineStr">
        <is>
          <t>19行 3列，源：1933-05-11 15:30:45.12 +01:00 备：2000-05-11 00:30:45.12 +09:00</t>
        </is>
      </c>
      <c r="CB176" s="0" t="inlineStr">
        <is>
          <t>22行 8列，源：2003-11-05 02:00:00.0000000 -05:10 备：1900-01-01 00:00:00.0000000 +00:00</t>
        </is>
      </c>
      <c r="CM176" s="0" t="inlineStr">
        <is>
          <t>11行 8列，源：None 备：9999999999999999999999999999.9999999999</t>
        </is>
      </c>
      <c r="DA176" s="0" t="inlineStr">
        <is>
          <t>11行 2列，源：nan 备：</t>
        </is>
      </c>
      <c r="DL176" s="0" t="inlineStr">
        <is>
          <t>24行 2列，源：12:30:45.100000 备：00:00:01.1</t>
        </is>
      </c>
      <c r="DX176" s="0" t="inlineStr">
        <is>
          <t>10行 10列，源：None 备：</t>
        </is>
      </c>
      <c r="EC176" s="0" t="inlineStr">
        <is>
          <t>22行 8列，源：00:00:01.123456 备：</t>
        </is>
      </c>
      <c r="EH176" s="0" t="inlineStr">
        <is>
          <t>10行 10列，源：None 备：</t>
        </is>
      </c>
      <c r="EP176" s="0" t="inlineStr">
        <is>
          <t>10行 10列，源：None 备：</t>
        </is>
      </c>
      <c r="ES176" s="0" t="inlineStr">
        <is>
          <t>10行 10列，源：None 备：</t>
        </is>
      </c>
    </row>
    <row r="177">
      <c r="A177" s="0" t="inlineStr">
        <is>
          <t>info_datetime_dml_batch2_pk_irp2</t>
        </is>
      </c>
      <c r="K177" s="0" t="inlineStr">
        <is>
          <t>[0;34m info_datetime_dml_batch2_pk_irp2 [0m源备字段数相同，源端字段：2 	备端字段2</t>
        </is>
      </c>
      <c r="W177" s="2">
        <f>HYPERLINK("#2026041905hbase4!AT2","NO 源备存在差异，共100个")</f>
        <v/>
      </c>
      <c r="X177" s="0">
        <f>A177</f>
        <v/>
      </c>
      <c r="AM177" s="0" t="inlineStr">
        <is>
          <t>15行 13列，源：None 备：</t>
        </is>
      </c>
      <c r="AS177" s="0" t="inlineStr">
        <is>
          <t>15行 6列，源：None 备：</t>
        </is>
      </c>
      <c r="BE177" s="0" t="inlineStr">
        <is>
          <t>21行 0列，源：127 备：3</t>
        </is>
      </c>
      <c r="BJ177" s="0" t="inlineStr">
        <is>
          <t>11行 1列，源：nan 备：100</t>
        </is>
      </c>
      <c r="BX177" s="0" t="inlineStr">
        <is>
          <t>19行 4列，源：1933-05-11 15:30:45.123 +01:00 备：2000-05-11 00:30:45.123 +09:00</t>
        </is>
      </c>
      <c r="CB177" s="0" t="inlineStr">
        <is>
          <t>23行 0列，源：62 备：53</t>
        </is>
      </c>
      <c r="CM177" s="0" t="inlineStr">
        <is>
          <t>11行 9列，源：None 备：999999999999999.9999</t>
        </is>
      </c>
      <c r="DA177" s="0" t="inlineStr">
        <is>
          <t>11行 3列，源：nan 备：</t>
        </is>
      </c>
      <c r="DL177" s="0" t="inlineStr">
        <is>
          <t>24行 3列，源：12:30:45.120000 备：</t>
        </is>
      </c>
      <c r="DX177" s="0" t="inlineStr">
        <is>
          <t>10行 11列，源：None 备：</t>
        </is>
      </c>
      <c r="EC177" s="0" t="inlineStr">
        <is>
          <t>23行 0列，源：64 备：66</t>
        </is>
      </c>
      <c r="EH177" s="0" t="inlineStr">
        <is>
          <t>10行 11列，源：None 备：</t>
        </is>
      </c>
      <c r="EP177" s="0" t="inlineStr">
        <is>
          <t>10行 11列，源：None 备：</t>
        </is>
      </c>
      <c r="ES177" s="0" t="inlineStr">
        <is>
          <t>10行 11列，源：None 备：</t>
        </is>
      </c>
    </row>
    <row r="178">
      <c r="B178" s="0" t="inlineStr">
        <is>
          <t>YES</t>
        </is>
      </c>
      <c r="C178" s="0" t="inlineStr">
        <is>
          <t>NULL</t>
        </is>
      </c>
      <c r="D178" s="0" t="inlineStr">
        <is>
          <t>NULL</t>
        </is>
      </c>
      <c r="E178" s="0" t="inlineStr">
        <is>
          <t>NULL</t>
        </is>
      </c>
      <c r="F178" s="0" t="inlineStr">
        <is>
          <t>NULL</t>
        </is>
      </c>
      <c r="G178" s="0" t="inlineStr">
        <is>
          <t>NULL</t>
        </is>
      </c>
      <c r="H178" s="0" t="inlineStr">
        <is>
          <t>NULL</t>
        </is>
      </c>
      <c r="I178" s="0" t="inlineStr">
        <is>
          <t>YES!PK__info_dat__3213E83F2549BA1C</t>
        </is>
      </c>
      <c r="J178" s="0" t="inlineStr">
        <is>
          <t>YES! 主键相关索引</t>
        </is>
      </c>
      <c r="K178" s="0" t="inlineStr">
        <is>
          <t xml:space="preserve"> NO!  	 id列源备映射错误，源端为int None位	期望更改为text	实际备端为int None位</t>
        </is>
      </c>
      <c r="AM178" s="0" t="inlineStr">
        <is>
          <t>15行 14列，源：None 备：</t>
        </is>
      </c>
      <c r="AS178" s="0" t="inlineStr">
        <is>
          <t>15行 7列，源：None 备：</t>
        </is>
      </c>
      <c r="BE178" s="0" t="inlineStr">
        <is>
          <t>21行 1列，源：2065-05-11 14:30:45 备：2026-04-17 17:17:25</t>
        </is>
      </c>
      <c r="BJ178" s="0" t="inlineStr">
        <is>
          <t>11行 2列，源：nan 备：32767</t>
        </is>
      </c>
      <c r="BX178" s="0" t="inlineStr">
        <is>
          <t>19行 5列，源：1933-05-11 15:30:45.1235 +01:00 备：2000-05-11 00:30:45.1235 +09:00</t>
        </is>
      </c>
      <c r="CB178" s="0" t="inlineStr">
        <is>
          <t>23行 1列，源：2025-05-12 00:00:00 -14:00 备：2026-04-17 17:18:32 +08:00</t>
        </is>
      </c>
      <c r="CM178" s="0" t="inlineStr">
        <is>
          <t>11行 10列，源：None 备：999999999999999999</t>
        </is>
      </c>
      <c r="DA178" s="0" t="inlineStr">
        <is>
          <t>11行 4列，源：nan 备：</t>
        </is>
      </c>
      <c r="DL178" s="0" t="inlineStr">
        <is>
          <t>24行 4列，源：12:30:45.123000 备：00:00:01.123</t>
        </is>
      </c>
      <c r="DX178" s="0" t="inlineStr">
        <is>
          <t>10行 12列，源：None 备：</t>
        </is>
      </c>
      <c r="EC178" s="0" t="inlineStr">
        <is>
          <t>23行 1列，源：None 备：12:00:00</t>
        </is>
      </c>
      <c r="EH178" s="0" t="inlineStr">
        <is>
          <t>10行 12列，源：None 备：</t>
        </is>
      </c>
      <c r="EP178" s="0" t="inlineStr">
        <is>
          <t>10行 12列，源：None 备：</t>
        </is>
      </c>
      <c r="ES178" s="0" t="inlineStr">
        <is>
          <t>10行 12列，源：None 备：</t>
        </is>
      </c>
    </row>
    <row r="179">
      <c r="B179" s="0" t="inlineStr">
        <is>
          <t>NULL</t>
        </is>
      </c>
      <c r="C179" s="0" t="inlineStr">
        <is>
          <t>NULL</t>
        </is>
      </c>
      <c r="D179" s="0" t="inlineStr">
        <is>
          <t>NULL</t>
        </is>
      </c>
      <c r="E179" s="0" t="inlineStr">
        <is>
          <t>NULL</t>
        </is>
      </c>
      <c r="F179" s="0" t="inlineStr">
        <is>
          <t>NULL</t>
        </is>
      </c>
      <c r="G179" s="0" t="inlineStr">
        <is>
          <t>NULL</t>
        </is>
      </c>
      <c r="H179" s="0" t="inlineStr">
        <is>
          <t>NULL</t>
        </is>
      </c>
      <c r="I179" s="0" t="inlineStr">
        <is>
          <t>NULL</t>
        </is>
      </c>
      <c r="J179" s="0" t="inlineStr">
        <is>
          <t>NULL</t>
        </is>
      </c>
      <c r="K179" s="0" t="inlineStr">
        <is>
          <t xml:space="preserve"> NO!  	 c_datetime列源备映射错误，源端为datetime None位	期望更改为text	实际备端为datetime None位</t>
        </is>
      </c>
      <c r="AM179" s="0" t="inlineStr">
        <is>
          <t>15行 15列，源：1.23456789012345e-30 备：0.0000000000000</t>
        </is>
      </c>
      <c r="AS179" s="0" t="inlineStr">
        <is>
          <t>15行 8列，源：None 备：</t>
        </is>
      </c>
      <c r="BE179" s="0" t="inlineStr">
        <is>
          <t>21行 2列，源：2065-05-11 14:30:45.100000 备：2026-04-17 17:17:24.6</t>
        </is>
      </c>
      <c r="BJ179" s="0" t="inlineStr">
        <is>
          <t>11行 3列，源：nan 备：123456</t>
        </is>
      </c>
      <c r="BX179" s="0" t="inlineStr">
        <is>
          <t>19行 6列，源：1933-05-11 15:30:45.12346 +01:00 备：2000-05-11 00:30:45.12346 +09:00</t>
        </is>
      </c>
      <c r="CB179" s="0" t="inlineStr">
        <is>
          <t>23行 2列，源：2025-05-12 00:00:00.0 -14:00 备：2026-04-17 17:18:31.5 +08:00</t>
        </is>
      </c>
      <c r="CM179" s="0" t="inlineStr">
        <is>
          <t>11行 11列，源：None 备：99999999999999999999999999999999999999</t>
        </is>
      </c>
      <c r="DA179" s="0" t="inlineStr">
        <is>
          <t>11行 5列，源：None 备：</t>
        </is>
      </c>
      <c r="DL179" s="0" t="inlineStr">
        <is>
          <t>24行 5列，源：12:30:45.123500 备：</t>
        </is>
      </c>
      <c r="DX179" s="0" t="inlineStr">
        <is>
          <t>10行 13列，源：None 备：</t>
        </is>
      </c>
      <c r="EC179" s="0" t="inlineStr">
        <is>
          <t>23行 2列，源：12:00:00.100000 备：</t>
        </is>
      </c>
      <c r="EH179" s="0" t="inlineStr">
        <is>
          <t>10行 13列，源：None 备：</t>
        </is>
      </c>
      <c r="EP179" s="0" t="inlineStr">
        <is>
          <t>10行 13列，源：None 备：</t>
        </is>
      </c>
      <c r="ES179" s="0" t="inlineStr">
        <is>
          <t>10行 13列，源：None 备：</t>
        </is>
      </c>
    </row>
    <row r="180">
      <c r="A180" s="0" t="inlineStr">
        <is>
          <t>info_nchar_dml_single_pk_urp</t>
        </is>
      </c>
      <c r="K180" s="0" t="inlineStr">
        <is>
          <t>[0;34m info_nchar_dml_single_pk_urp [0m源备字段数相同，源端字段：4 	备端字段4</t>
        </is>
      </c>
      <c r="W180" s="2">
        <f>HYPERLINK("#2026041905hbase4!AU2","NO 源备存在差异，共54个")</f>
        <v/>
      </c>
      <c r="X180" s="0">
        <f>A180</f>
        <v/>
      </c>
      <c r="AM180" s="0" t="inlineStr">
        <is>
          <t>15行 16列，源：1.2345669834560371e-20 备：0.000000</t>
        </is>
      </c>
      <c r="AS180" s="0" t="inlineStr">
        <is>
          <t>15行 10列，源：None 备：</t>
        </is>
      </c>
      <c r="BE180" s="0" t="inlineStr">
        <is>
          <t>21行 3列，源：2065-05-11 14:30:45.120000 备：2026-04-17 17:17:24.63</t>
        </is>
      </c>
      <c r="BJ180" s="0" t="inlineStr">
        <is>
          <t>11行 4列，源：nan 备：1000000</t>
        </is>
      </c>
      <c r="BX180" s="0" t="inlineStr">
        <is>
          <t>19行 7列，源：1933-05-11 15:30:45.123457 +01:00 备：2000-05-11 00:30:45.123457 +09:00</t>
        </is>
      </c>
      <c r="CB180" s="0" t="inlineStr">
        <is>
          <t>23行 3列，源：2025-05-12 00:00:00.00 -14:00 备：2026-04-17 17:18:31.54 +08:00</t>
        </is>
      </c>
      <c r="CM180" s="0" t="inlineStr">
        <is>
          <t>11行 12列，源：None 备：0.99999999999999999999999999999999999999</t>
        </is>
      </c>
      <c r="DA180" s="0" t="inlineStr">
        <is>
          <t>11行 6列，源：None 备：</t>
        </is>
      </c>
      <c r="DL180" s="0" t="inlineStr">
        <is>
          <t>24行 6列，源：12:30:45.123450 备：00:00:01.12346</t>
        </is>
      </c>
      <c r="DX180" s="0" t="inlineStr">
        <is>
          <t>10行 14列，源：None 备：</t>
        </is>
      </c>
      <c r="EC180" s="0" t="inlineStr">
        <is>
          <t>23行 3列，源：None 备：12:00:00.12</t>
        </is>
      </c>
      <c r="EH180" s="0" t="inlineStr">
        <is>
          <t>10行 14列，源：None 备：</t>
        </is>
      </c>
      <c r="EP180" s="0" t="inlineStr">
        <is>
          <t>10行 14列，源：None 备：</t>
        </is>
      </c>
      <c r="ES180" s="0" t="inlineStr">
        <is>
          <t>10行 14列，源：None 备：</t>
        </is>
      </c>
    </row>
    <row r="181">
      <c r="B181" s="0" t="inlineStr">
        <is>
          <t>YES</t>
        </is>
      </c>
      <c r="C181" s="0" t="inlineStr">
        <is>
          <t>NULL</t>
        </is>
      </c>
      <c r="D181" s="0" t="inlineStr">
        <is>
          <t>NULL</t>
        </is>
      </c>
      <c r="E181" s="0" t="inlineStr">
        <is>
          <t>NULL</t>
        </is>
      </c>
      <c r="F181" s="0" t="inlineStr">
        <is>
          <t>NULL</t>
        </is>
      </c>
      <c r="G181" s="0" t="inlineStr">
        <is>
          <t>NULL</t>
        </is>
      </c>
      <c r="H181" s="0" t="inlineStr">
        <is>
          <t>NULL</t>
        </is>
      </c>
      <c r="I181" s="0" t="inlineStr">
        <is>
          <t>YES!PK__info_nch__3213E83F8BC03FD0</t>
        </is>
      </c>
      <c r="J181" s="0" t="inlineStr">
        <is>
          <t>YES! 主键相关索引</t>
        </is>
      </c>
      <c r="K181" s="0" t="inlineStr">
        <is>
          <t xml:space="preserve"> NO!  	 id列源备映射错误，源端为int None位	期望更改为text	实际备端为int None位</t>
        </is>
      </c>
      <c r="AM181" s="0" t="inlineStr">
        <is>
          <t>15行 19列，源：False 备：0</t>
        </is>
      </c>
      <c r="AS181" s="0" t="inlineStr">
        <is>
          <t>15行 11列，源：None 备：</t>
        </is>
      </c>
      <c r="BE181" s="0" t="inlineStr">
        <is>
          <t>21行 4列，源：2065-05-11 14:30:45.123000 备：2026-04-17 17:17:24.631</t>
        </is>
      </c>
      <c r="BJ181" s="0" t="inlineStr">
        <is>
          <t>11行 15列，源：nan 备：123.4567890000000</t>
        </is>
      </c>
      <c r="BX181" s="0" t="inlineStr">
        <is>
          <t>19行 8列，源：1933-05-11 15:30:45.1234567 +01:00 备：2000-05-11 00:30:45.1234567 +09:00</t>
        </is>
      </c>
      <c r="CB181" s="0" t="inlineStr">
        <is>
          <t>23行 4列，源：2025-05-12 00:00:00.000 -14:00 备：2026-04-17 17:18:31.537 +08:00</t>
        </is>
      </c>
      <c r="CM181" s="0" t="inlineStr">
        <is>
          <t>11行 13列，源：None 备：9999999999999999999999999999.9999999999</t>
        </is>
      </c>
      <c r="DA181" s="0" t="inlineStr">
        <is>
          <t>11行 7列，源：None 备：</t>
        </is>
      </c>
      <c r="DL181" s="0" t="inlineStr">
        <is>
          <t>24行 7列，源：12:30:45.123450 备：</t>
        </is>
      </c>
      <c r="DX181" s="0" t="inlineStr">
        <is>
          <t>10行 15列，源：nan 备：340282346600000016151267322115014000640.0000000000000</t>
        </is>
      </c>
      <c r="EC181" s="0" t="inlineStr">
        <is>
          <t>23行 4列，源：12:00:00.123000 备：</t>
        </is>
      </c>
      <c r="EH181" s="0" t="inlineStr">
        <is>
          <t>10行 15列，源：nan 备：</t>
        </is>
      </c>
      <c r="EP181" s="0" t="inlineStr">
        <is>
          <t>10行 15列，源：nan 备：340282346600000016151267322115014000640.0000000000000</t>
        </is>
      </c>
      <c r="ES181" s="0" t="inlineStr">
        <is>
          <t>10行 15列，源：nan 备：</t>
        </is>
      </c>
    </row>
    <row r="182">
      <c r="B182" s="0" t="inlineStr">
        <is>
          <t>NULL</t>
        </is>
      </c>
      <c r="C182" s="0" t="inlineStr">
        <is>
          <t>NULL</t>
        </is>
      </c>
      <c r="D182" s="0" t="inlineStr">
        <is>
          <t>NULL</t>
        </is>
      </c>
      <c r="E182" s="0" t="inlineStr">
        <is>
          <t>NULL</t>
        </is>
      </c>
      <c r="F182" s="0" t="inlineStr">
        <is>
          <t>NULL</t>
        </is>
      </c>
      <c r="G182" s="0" t="inlineStr">
        <is>
          <t>NULL</t>
        </is>
      </c>
      <c r="H182" s="0" t="inlineStr">
        <is>
          <t>NULL</t>
        </is>
      </c>
      <c r="I182" s="0" t="inlineStr">
        <is>
          <t>NULL</t>
        </is>
      </c>
      <c r="J182" s="0" t="inlineStr">
        <is>
          <t>NULL</t>
        </is>
      </c>
      <c r="K182" s="0" t="inlineStr">
        <is>
          <t xml:space="preserve"> NO!  	 c_nchar列源备映射错误，源端为nchar 2位	期望更改为text	实际备端为nchar 2位</t>
        </is>
      </c>
      <c r="AM182" s="0" t="inlineStr">
        <is>
          <t>16行 0列，源：17 备：6</t>
        </is>
      </c>
      <c r="AS182" s="0" t="inlineStr">
        <is>
          <t>15行 12列，源：None 备：</t>
        </is>
      </c>
      <c r="BE182" s="0" t="inlineStr">
        <is>
          <t>21行 5列，源：2065-05-11 14:30:45.123500 备：2026-04-17 17:17:24.6306</t>
        </is>
      </c>
      <c r="BJ182" s="0" t="inlineStr">
        <is>
          <t>11行 16列，源：nan 备：0.000000</t>
        </is>
      </c>
      <c r="BX182" s="0" t="inlineStr">
        <is>
          <t>20行 0列，源：28 备：179</t>
        </is>
      </c>
      <c r="CB182" s="0" t="inlineStr">
        <is>
          <t>23行 5列，源：2025-05-12 00:00:00.0000 -14:00 备：2026-04-17 17:18:31.5370 +08:00</t>
        </is>
      </c>
      <c r="CM182" s="0" t="inlineStr">
        <is>
          <t>11行 14列，源：None 备：9999999999999999.99</t>
        </is>
      </c>
      <c r="DA182" s="0" t="inlineStr">
        <is>
          <t>11行 8列，源：None 备：</t>
        </is>
      </c>
      <c r="DL182" s="0" t="inlineStr">
        <is>
          <t>24行 8列，源：12:30:45.123450 备：00:00:01.1234567</t>
        </is>
      </c>
      <c r="DX182" s="0" t="inlineStr">
        <is>
          <t>10行 16列，源：nan 备：340282306073709652508363335590014353408.000000</t>
        </is>
      </c>
      <c r="EC182" s="0" t="inlineStr">
        <is>
          <t>23行 5列，源：None 备：12:00:00.1235</t>
        </is>
      </c>
      <c r="EH182" s="0" t="inlineStr">
        <is>
          <t>10行 16列，源：nan 备：</t>
        </is>
      </c>
      <c r="EP182" s="0" t="inlineStr">
        <is>
          <t>10行 16列，源：nan 备：340282306073709652508363335590014353408.000000</t>
        </is>
      </c>
      <c r="ES182" s="0" t="inlineStr">
        <is>
          <t>10行 16列，源：nan 备：</t>
        </is>
      </c>
    </row>
    <row r="183">
      <c r="B183" s="0" t="inlineStr">
        <is>
          <t>NULL</t>
        </is>
      </c>
      <c r="C183" s="0" t="inlineStr">
        <is>
          <t>NULL</t>
        </is>
      </c>
      <c r="D183" s="0" t="inlineStr">
        <is>
          <t>NULL</t>
        </is>
      </c>
      <c r="E183" s="0" t="inlineStr">
        <is>
          <t>NULL</t>
        </is>
      </c>
      <c r="F183" s="0" t="inlineStr">
        <is>
          <t>NULL</t>
        </is>
      </c>
      <c r="G183" s="0" t="inlineStr">
        <is>
          <t>NULL</t>
        </is>
      </c>
      <c r="H183" s="0" t="inlineStr">
        <is>
          <t>NULL</t>
        </is>
      </c>
      <c r="I183" s="0" t="inlineStr">
        <is>
          <t>NULL</t>
        </is>
      </c>
      <c r="J183" s="0" t="inlineStr">
        <is>
          <t>NULL</t>
        </is>
      </c>
      <c r="K183" s="0" t="inlineStr">
        <is>
          <t xml:space="preserve"> NO!  	 c_nchar20列源备映射错误，源端为nchar 40位	期望更改为text	实际备端为nchar 40位</t>
        </is>
      </c>
      <c r="AM183" s="0" t="inlineStr">
        <is>
          <t>16行 2列，源：nan 备：255</t>
        </is>
      </c>
      <c r="AS183" s="0" t="inlineStr">
        <is>
          <t>15行 13列，源：None 备：</t>
        </is>
      </c>
      <c r="BE183" s="0" t="inlineStr">
        <is>
          <t>21行 6列，源：2065-05-11 14:30:45.123460 备：2026-04-17 17:17:24.63065</t>
        </is>
      </c>
      <c r="BJ183" s="0" t="inlineStr">
        <is>
          <t>11行 17列，源：None 备：203685477.5808</t>
        </is>
      </c>
      <c r="BX183" s="0" t="inlineStr">
        <is>
          <t>20行 1列，源：2000-05-11 00:30:45 +09:00 备：1999-05-16 01:30:45 +10:15</t>
        </is>
      </c>
      <c r="CB183" s="0" t="inlineStr">
        <is>
          <t>23行 6列，源：2025-05-12 00:00:00.00000 -14:00 备：2026-04-17 17:18:31.53698 +08:00</t>
        </is>
      </c>
      <c r="CM183" s="0" t="inlineStr">
        <is>
          <t>11行 15列，源：nan 备：1.7900000000000e+308</t>
        </is>
      </c>
      <c r="DA183" s="0" t="inlineStr">
        <is>
          <t>11行 9列，源：None 备：</t>
        </is>
      </c>
      <c r="DL183" s="0" t="inlineStr">
        <is>
          <t>25行 0列，源：30 备：34</t>
        </is>
      </c>
      <c r="DX183" s="0" t="inlineStr">
        <is>
          <t>10行 17列，源：None 备：922337203685477.5807</t>
        </is>
      </c>
      <c r="EC183" s="0" t="inlineStr">
        <is>
          <t>23行 6列，源：12:00:00.123460 备：</t>
        </is>
      </c>
      <c r="EH183" s="0" t="inlineStr">
        <is>
          <t>10行 17列，源：None 备：</t>
        </is>
      </c>
      <c r="EP183" s="0" t="inlineStr">
        <is>
          <t>10行 17列，源：None 备：922337203685477.5807</t>
        </is>
      </c>
      <c r="ES183" s="0" t="inlineStr">
        <is>
          <t>10行 17列，源：None 备：</t>
        </is>
      </c>
    </row>
    <row r="184">
      <c r="B184" s="0" t="inlineStr">
        <is>
          <t>NULL</t>
        </is>
      </c>
      <c r="C184" s="0" t="inlineStr">
        <is>
          <t>NULL</t>
        </is>
      </c>
      <c r="D184" s="0" t="inlineStr">
        <is>
          <t>NULL</t>
        </is>
      </c>
      <c r="E184" s="0" t="inlineStr">
        <is>
          <t>NULL</t>
        </is>
      </c>
      <c r="F184" s="0" t="inlineStr">
        <is>
          <t>NULL</t>
        </is>
      </c>
      <c r="G184" s="0" t="inlineStr">
        <is>
          <t>NULL</t>
        </is>
      </c>
      <c r="H184" s="0" t="inlineStr">
        <is>
          <t>NULL</t>
        </is>
      </c>
      <c r="I184" s="0" t="inlineStr">
        <is>
          <t>NULL</t>
        </is>
      </c>
      <c r="J184" s="0" t="inlineStr">
        <is>
          <t>NULL</t>
        </is>
      </c>
      <c r="K184" s="0" t="inlineStr">
        <is>
          <t xml:space="preserve"> NO!  	 c_nchar3500列源备映射错误，源端为nchar 7000位	期望更改为text	实际备端为nchar 7000位</t>
        </is>
      </c>
      <c r="AM184" s="0" t="inlineStr">
        <is>
          <t>16行 5列，源：None 备：</t>
        </is>
      </c>
      <c r="AS184" s="0" t="inlineStr">
        <is>
          <t>15行 14列，源：None 备：</t>
        </is>
      </c>
      <c r="BE184" s="0" t="inlineStr">
        <is>
          <t>21行 7列，源：2065-05-11 14:30:45.123457 备：2026-04-17 17:17:24.630647</t>
        </is>
      </c>
      <c r="BJ184" s="0" t="inlineStr">
        <is>
          <t>11行 18列，源：None 备：214748.3647</t>
        </is>
      </c>
      <c r="BX184" s="0" t="inlineStr">
        <is>
          <t>20行 2列，源：2000-05-11 00:30:45.1 +09:00 备：1999-05-16 01:30:45.1 +10:15</t>
        </is>
      </c>
      <c r="CB184" s="0" t="inlineStr">
        <is>
          <t>23行 7列，源：2025-05-12 00:00:00.000000 -14:00 备：2026-04-17 17:18:31.536981 +08:00</t>
        </is>
      </c>
      <c r="CM184" s="0" t="inlineStr">
        <is>
          <t>11行 16列，源：nan 备：339999995214436424907732413799364296704.000000</t>
        </is>
      </c>
      <c r="DA184" s="0" t="inlineStr">
        <is>
          <t>11行 10列，源：None 备：</t>
        </is>
      </c>
      <c r="DL184" s="0" t="inlineStr">
        <is>
          <t>25行 1列，源：12:30:45 备：</t>
        </is>
      </c>
      <c r="DX184" s="0" t="inlineStr">
        <is>
          <t>10行 18列，源：None 备：214748.3647</t>
        </is>
      </c>
      <c r="EC184" s="0" t="inlineStr">
        <is>
          <t>23行 7列，源：None 备：12:00:00.123457</t>
        </is>
      </c>
      <c r="EH184" s="0" t="inlineStr">
        <is>
          <t>10行 18列，源：None 备：</t>
        </is>
      </c>
      <c r="EP184" s="0" t="inlineStr">
        <is>
          <t>10行 18列，源：None 备：214748.3647</t>
        </is>
      </c>
      <c r="ES184" s="0" t="inlineStr">
        <is>
          <t>10行 18列，源：None 备：</t>
        </is>
      </c>
    </row>
    <row r="185">
      <c r="A185" s="0" t="inlineStr">
        <is>
          <t>info_nvarchar_dml_batch1_pk_drp2</t>
        </is>
      </c>
      <c r="K185" s="0" t="inlineStr">
        <is>
          <t>[0;34m info_nvarchar_dml_batch1_pk_drp2 [0m源备字段数相同，源端字段：4 	备端字段4</t>
        </is>
      </c>
      <c r="W185" s="0" t="inlineStr">
        <is>
          <t>YES 源备无差异</t>
        </is>
      </c>
      <c r="X185" s="0">
        <f>A185</f>
        <v/>
      </c>
      <c r="AM185" s="0" t="inlineStr">
        <is>
          <t>16行 6列，源：None 备：</t>
        </is>
      </c>
      <c r="AS185" s="0" t="inlineStr">
        <is>
          <t>15行 15列，源：1.23456789012345e-30 备：123.4567890000000</t>
        </is>
      </c>
      <c r="BE185" s="0" t="inlineStr">
        <is>
          <t>21行 8列，源：2065-05-11 14:30:45.123456 备：2026-04-17 17:17:24.6306467</t>
        </is>
      </c>
      <c r="BJ185" s="0" t="inlineStr">
        <is>
          <t>11行 19列，源：None 备：1</t>
        </is>
      </c>
      <c r="BX185" s="0" t="inlineStr">
        <is>
          <t>20行 3列，源：2000-05-11 00:30:45.12 +09:00 备：1999-05-16 01:30:45.12 +10:15</t>
        </is>
      </c>
      <c r="CB185" s="0" t="inlineStr">
        <is>
          <t>23行 8列，源：2025-05-11 23:59:59.9999999 -14:00 备：2026-04-17 17:18:31.5369809 +08:00</t>
        </is>
      </c>
      <c r="CM185" s="0" t="inlineStr">
        <is>
          <t>11行 19列，源：None 备：1</t>
        </is>
      </c>
      <c r="DA185" s="0" t="inlineStr">
        <is>
          <t>11行 11列，源：None 备：</t>
        </is>
      </c>
      <c r="DL185" s="0" t="inlineStr">
        <is>
          <t>25行 2列，源：12:30:45.100000 备：12:00:00.1</t>
        </is>
      </c>
      <c r="DX185" s="0" t="inlineStr">
        <is>
          <t>10行 19列，源：None 备：1</t>
        </is>
      </c>
      <c r="EC185" s="0" t="inlineStr">
        <is>
          <t>23行 8列，源：12:00:00.123456 备：</t>
        </is>
      </c>
      <c r="EH185" s="0" t="inlineStr">
        <is>
          <t>10行 19列，源：None 备：</t>
        </is>
      </c>
      <c r="EP185" s="0" t="inlineStr">
        <is>
          <t>10行 19列，源：None 备：1</t>
        </is>
      </c>
      <c r="ES185" s="0" t="inlineStr">
        <is>
          <t>10行 19列，源：None 备：</t>
        </is>
      </c>
    </row>
    <row r="186">
      <c r="B186" s="0" t="inlineStr">
        <is>
          <t>YES</t>
        </is>
      </c>
      <c r="C186" s="0" t="inlineStr">
        <is>
          <t>NULL</t>
        </is>
      </c>
      <c r="D186" s="0" t="inlineStr">
        <is>
          <t>NULL</t>
        </is>
      </c>
      <c r="E186" s="0" t="inlineStr">
        <is>
          <t>NULL</t>
        </is>
      </c>
      <c r="F186" s="0" t="inlineStr">
        <is>
          <t>NULL</t>
        </is>
      </c>
      <c r="G186" s="0" t="inlineStr">
        <is>
          <t>NULL</t>
        </is>
      </c>
      <c r="H186" s="0" t="inlineStr">
        <is>
          <t>NULL</t>
        </is>
      </c>
      <c r="I186" s="0" t="inlineStr">
        <is>
          <t>YES!PK__info_nva__3213E83FB2B04C94</t>
        </is>
      </c>
      <c r="J186" s="0" t="inlineStr">
        <is>
          <t>YES! 主键相关索引</t>
        </is>
      </c>
      <c r="K186" s="0" t="inlineStr">
        <is>
          <t xml:space="preserve"> NO!  	 id列源备映射错误，源端为int None位	期望更改为text	实际备端为int None位</t>
        </is>
      </c>
      <c r="AM186" s="0" t="inlineStr">
        <is>
          <t>16行 7列，源：None 备：</t>
        </is>
      </c>
      <c r="AS186" s="0" t="inlineStr">
        <is>
          <t>15行 16列，源：1.2345669834560371e-20 备：0.000000</t>
        </is>
      </c>
      <c r="BE186" s="0" t="inlineStr">
        <is>
          <t>22行 0列，源：175 备：323</t>
        </is>
      </c>
      <c r="BJ186" s="0" t="inlineStr">
        <is>
          <t>12行 0列，源：14 备：20</t>
        </is>
      </c>
      <c r="BX186" s="0" t="inlineStr">
        <is>
          <t>20行 4列，源：2000-05-11 00:30:45.123 +09:00 备：1999-05-16 01:30:45.123 +10:15</t>
        </is>
      </c>
      <c r="CB186" s="0" t="inlineStr">
        <is>
          <t>24行 0列，源：63 备：54</t>
        </is>
      </c>
      <c r="CM186" s="0" t="inlineStr">
        <is>
          <t>12行 0列，源：13 备：20</t>
        </is>
      </c>
      <c r="DA186" s="0" t="inlineStr">
        <is>
          <t>11行 12列，源：None 备：</t>
        </is>
      </c>
      <c r="DL186" s="0" t="inlineStr">
        <is>
          <t>25行 3列，源：12:30:45.120000 备：</t>
        </is>
      </c>
      <c r="DX186" s="0" t="inlineStr">
        <is>
          <t>11行 0列，源：12 备：2</t>
        </is>
      </c>
      <c r="EC186" s="0" t="inlineStr">
        <is>
          <t>24行 0列，源：65 备：7</t>
        </is>
      </c>
      <c r="EH186" s="0" t="inlineStr">
        <is>
          <t>11行 0列，源：12 备：11</t>
        </is>
      </c>
      <c r="EP186" s="0" t="inlineStr">
        <is>
          <t>11行 0列，源：12 备：2</t>
        </is>
      </c>
      <c r="ES186" s="0" t="inlineStr">
        <is>
          <t>11行 0列，源：12 备：11</t>
        </is>
      </c>
    </row>
    <row r="187">
      <c r="B187" s="0" t="inlineStr">
        <is>
          <t>NULL</t>
        </is>
      </c>
      <c r="C187" s="0" t="inlineStr">
        <is>
          <t>NULL</t>
        </is>
      </c>
      <c r="D187" s="0" t="inlineStr">
        <is>
          <t>NULL</t>
        </is>
      </c>
      <c r="E187" s="0" t="inlineStr">
        <is>
          <t>NULL</t>
        </is>
      </c>
      <c r="F187" s="0" t="inlineStr">
        <is>
          <t>NULL</t>
        </is>
      </c>
      <c r="G187" s="0" t="inlineStr">
        <is>
          <t>NULL</t>
        </is>
      </c>
      <c r="H187" s="0" t="inlineStr">
        <is>
          <t>NULL</t>
        </is>
      </c>
      <c r="I187" s="0" t="inlineStr">
        <is>
          <t>NULL</t>
        </is>
      </c>
      <c r="J187" s="0" t="inlineStr">
        <is>
          <t>NULL</t>
        </is>
      </c>
      <c r="K187" s="0" t="inlineStr">
        <is>
          <t xml:space="preserve"> NO!  	 c_nvarchar列源备映射错误，源端为nvarchar 2位	期望更改为text	实际备端为nvarchar 2位</t>
        </is>
      </c>
      <c r="AM187" s="0" t="inlineStr">
        <is>
          <t>16行 8列，源：None 备：</t>
        </is>
      </c>
      <c r="AS187" s="0" t="inlineStr">
        <is>
          <t>15行 19列，源：False 备：1</t>
        </is>
      </c>
      <c r="BE187" s="0" t="inlineStr">
        <is>
          <t>22行 1列，源：9999-12-31 23:59:59 备：2026-04-17 17:17:25</t>
        </is>
      </c>
      <c r="BJ187" s="0" t="inlineStr">
        <is>
          <t>12行 1列，源：nan 备：</t>
        </is>
      </c>
      <c r="BX187" s="0" t="inlineStr">
        <is>
          <t>20行 5列，源：2000-05-11 00:30:45.1235 +09:00 备：1999-05-16 01:30:45.1235 +10:15</t>
        </is>
      </c>
      <c r="CB187" s="0" t="inlineStr">
        <is>
          <t>24行 1列，源：1971-05-11 00:00:00 +14:00 备：0001-01-01 00:00:00 +00:00</t>
        </is>
      </c>
      <c r="CM187" s="0" t="inlineStr">
        <is>
          <t>12行 1列，源：nan 备：222</t>
        </is>
      </c>
      <c r="DA187" s="0" t="inlineStr">
        <is>
          <t>11行 13列，源：None 备：</t>
        </is>
      </c>
      <c r="DL187" s="0" t="inlineStr">
        <is>
          <t>25行 4列，源：12:30:45.123000 备：12:00:00.123</t>
        </is>
      </c>
      <c r="DX187" s="0" t="inlineStr">
        <is>
          <t>11行 1列，源：nan 备：255</t>
        </is>
      </c>
      <c r="EC187" s="0" t="inlineStr">
        <is>
          <t>24行 1列，源：00:00:01 备：12:30:45</t>
        </is>
      </c>
      <c r="EH187" s="0" t="inlineStr">
        <is>
          <t>11行 1列，源：nan 备：200</t>
        </is>
      </c>
      <c r="EP187" s="0" t="inlineStr">
        <is>
          <t>11行 1列，源：nan 备：255</t>
        </is>
      </c>
      <c r="ES187" s="0" t="inlineStr">
        <is>
          <t>11行 1列，源：nan 备：200</t>
        </is>
      </c>
    </row>
    <row r="188">
      <c r="B188" s="0" t="inlineStr">
        <is>
          <t>NULL</t>
        </is>
      </c>
      <c r="C188" s="0" t="inlineStr">
        <is>
          <t>NULL</t>
        </is>
      </c>
      <c r="D188" s="0" t="inlineStr">
        <is>
          <t>NULL</t>
        </is>
      </c>
      <c r="E188" s="0" t="inlineStr">
        <is>
          <t>NULL</t>
        </is>
      </c>
      <c r="F188" s="0" t="inlineStr">
        <is>
          <t>NULL</t>
        </is>
      </c>
      <c r="G188" s="0" t="inlineStr">
        <is>
          <t>NULL</t>
        </is>
      </c>
      <c r="H188" s="0" t="inlineStr">
        <is>
          <t>NULL</t>
        </is>
      </c>
      <c r="I188" s="0" t="inlineStr">
        <is>
          <t>NULL</t>
        </is>
      </c>
      <c r="J188" s="0" t="inlineStr">
        <is>
          <t>NULL</t>
        </is>
      </c>
      <c r="K188" s="0" t="inlineStr">
        <is>
          <t xml:space="preserve"> NO!  	 c_nvarchar20列源备映射错误，源端为nvarchar 40位	期望更改为text	实际备端为nvarchar 40位</t>
        </is>
      </c>
      <c r="AM188" s="0" t="inlineStr">
        <is>
          <t>16行 10列，源：None 备：</t>
        </is>
      </c>
      <c r="AS188" s="0" t="inlineStr">
        <is>
          <t>16行 0列，源：17 备：6</t>
        </is>
      </c>
      <c r="BE188" s="0" t="inlineStr">
        <is>
          <t>22行 2列，源：9999-12-31 23:59:59.900000 备：2026-04-17 17:17:24.6</t>
        </is>
      </c>
      <c r="BJ188" s="0" t="inlineStr">
        <is>
          <t>12行 2列，源：nan 备：</t>
        </is>
      </c>
      <c r="BX188" s="0" t="inlineStr">
        <is>
          <t>20行 6列，源：2000-05-11 00:30:45.12346 +09:00 备：1999-05-16 01:30:45.12346 +10:15</t>
        </is>
      </c>
      <c r="CB188" s="0" t="inlineStr">
        <is>
          <t>24行 2列，源：1971-05-11 00:00:00.0 +14:00 备：0001-01-01 00:00:00.0 +00:00</t>
        </is>
      </c>
      <c r="CM188" s="0" t="inlineStr">
        <is>
          <t>12行 2列，源：nan 备：</t>
        </is>
      </c>
      <c r="DA188" s="0" t="inlineStr">
        <is>
          <t>11行 14列，源：None 备：</t>
        </is>
      </c>
      <c r="DL188" s="0" t="inlineStr">
        <is>
          <t>25行 5列，源：12:30:45.123500 备：</t>
        </is>
      </c>
      <c r="DX188" s="0" t="inlineStr">
        <is>
          <t>11行 2列，源：nan 备：32767</t>
        </is>
      </c>
      <c r="EC188" s="0" t="inlineStr">
        <is>
          <t>24行 2列，源：None 备：12:30:45.1</t>
        </is>
      </c>
      <c r="EH188" s="0" t="inlineStr">
        <is>
          <t>11行 2列，源：nan 备：20000</t>
        </is>
      </c>
      <c r="EP188" s="0" t="inlineStr">
        <is>
          <t>11行 2列，源：nan 备：32767</t>
        </is>
      </c>
      <c r="ES188" s="0" t="inlineStr">
        <is>
          <t>11行 2列，源：nan 备：20000</t>
        </is>
      </c>
    </row>
    <row r="189">
      <c r="B189" s="0" t="inlineStr">
        <is>
          <t>NULL</t>
        </is>
      </c>
      <c r="C189" s="0" t="inlineStr">
        <is>
          <t>NULL</t>
        </is>
      </c>
      <c r="D189" s="0" t="inlineStr">
        <is>
          <t>NULL</t>
        </is>
      </c>
      <c r="E189" s="0" t="inlineStr">
        <is>
          <t>NULL</t>
        </is>
      </c>
      <c r="F189" s="0" t="inlineStr">
        <is>
          <t>NULL</t>
        </is>
      </c>
      <c r="G189" s="0" t="inlineStr">
        <is>
          <t>NULL</t>
        </is>
      </c>
      <c r="H189" s="0" t="inlineStr">
        <is>
          <t>NULL</t>
        </is>
      </c>
      <c r="I189" s="0" t="inlineStr">
        <is>
          <t>NULL</t>
        </is>
      </c>
      <c r="J189" s="0" t="inlineStr">
        <is>
          <t>NULL</t>
        </is>
      </c>
      <c r="K189" s="0" t="inlineStr">
        <is>
          <t xml:space="preserve"> NO!  	 c_nvarchar3500列源备映射错误，源端为nchar 7000位	期望更改为text	实际备端为nchar 7000位</t>
        </is>
      </c>
      <c r="AM189" s="0" t="inlineStr">
        <is>
          <t>16行 11列，源：None 备：</t>
        </is>
      </c>
      <c r="AS189" s="0" t="inlineStr">
        <is>
          <t>16行 2列，源：0.0 备：0</t>
        </is>
      </c>
      <c r="BE189" s="0" t="inlineStr">
        <is>
          <t>22行 3列，源：9999-12-31 23:59:59.990000 备：2026-04-17 17:17:24.63</t>
        </is>
      </c>
      <c r="BJ189" s="0" t="inlineStr">
        <is>
          <t>12行 3列，源：nan 备：</t>
        </is>
      </c>
      <c r="BX189" s="0" t="inlineStr">
        <is>
          <t>20行 7列，源：2000-05-11 00:30:45.123457 +09:00 备：1999-05-16 01:30:45.123457 +10:15</t>
        </is>
      </c>
      <c r="CB189" s="0" t="inlineStr">
        <is>
          <t>24行 3列，源：1971-05-11 00:00:00.00 +14:00 备：0001-01-01 00:00:00.00 +00:00</t>
        </is>
      </c>
      <c r="CM189" s="0" t="inlineStr">
        <is>
          <t>12行 3列，源：nan 备：</t>
        </is>
      </c>
      <c r="DA189" s="0" t="inlineStr">
        <is>
          <t>11行 15列，源：nan 备：</t>
        </is>
      </c>
      <c r="DL189" s="0" t="inlineStr">
        <is>
          <t>25行 6列，源：12:30:45.123460 备：12:00:00.12346</t>
        </is>
      </c>
      <c r="DX189" s="0" t="inlineStr">
        <is>
          <t>11行 3列，源：nan 备：2147483647</t>
        </is>
      </c>
      <c r="EC189" s="0" t="inlineStr">
        <is>
          <t>24行 3列，源：00:00:01.120000 备：12:30:45.12</t>
        </is>
      </c>
      <c r="EH189" s="0" t="inlineStr">
        <is>
          <t>11行 3列，源：nan 备：2000000000</t>
        </is>
      </c>
      <c r="EP189" s="0" t="inlineStr">
        <is>
          <t>11行 3列，源：nan 备：2147483647</t>
        </is>
      </c>
      <c r="ES189" s="0" t="inlineStr">
        <is>
          <t>11行 3列，源：nan 备：2000000000</t>
        </is>
      </c>
    </row>
    <row r="190">
      <c r="A190" s="0" t="inlineStr">
        <is>
          <t>info_datetime_dml_batch1_pk_urp1</t>
        </is>
      </c>
      <c r="K190" s="0" t="inlineStr">
        <is>
          <t>[0;34m info_datetime_dml_batch1_pk_urp1 [0m源备字段数相同，源端字段：2 	备端字段2</t>
        </is>
      </c>
      <c r="W190" s="2">
        <f>HYPERLINK("#2026041905hbase4!AV2","NO 源备存在差异，共47个")</f>
        <v/>
      </c>
      <c r="X190" s="0">
        <f>A190</f>
        <v/>
      </c>
      <c r="AM190" s="0" t="inlineStr">
        <is>
          <t>16行 12列，源：None 备：</t>
        </is>
      </c>
      <c r="AS190" s="0" t="inlineStr">
        <is>
          <t>16行 5列，源：None 备：</t>
        </is>
      </c>
      <c r="BE190" s="0" t="inlineStr">
        <is>
          <t>22行 4列，源：9999-12-31 23:59:59.999000 备：2026-04-17 17:17:24.631</t>
        </is>
      </c>
      <c r="BJ190" s="0" t="inlineStr">
        <is>
          <t>12行 4列，源：nan 备：</t>
        </is>
      </c>
      <c r="BX190" s="0" t="inlineStr">
        <is>
          <t>20行 8列，源：2000-05-11 00:30:45.1234567 +09:00 备：1999-05-16 01:30:45.1234567 +10:15</t>
        </is>
      </c>
      <c r="CB190" s="0" t="inlineStr">
        <is>
          <t>24行 4列，源：1971-05-11 00:00:00.000 +14:00 备：0001-01-01 00:00:00.000 +00:00</t>
        </is>
      </c>
      <c r="CM190" s="0" t="inlineStr">
        <is>
          <t>12行 4列，源：nan 备：</t>
        </is>
      </c>
      <c r="DA190" s="0" t="inlineStr">
        <is>
          <t>11行 16列，源：nan 备：</t>
        </is>
      </c>
      <c r="DL190" s="0" t="inlineStr">
        <is>
          <t>25行 7列，源：12:30:45.123456 备：</t>
        </is>
      </c>
      <c r="DX190" s="0" t="inlineStr">
        <is>
          <t>11行 4列，源：nan 备：9223372036854775807</t>
        </is>
      </c>
      <c r="EC190" s="0" t="inlineStr">
        <is>
          <t>24行 4列，源：None 备：12:30:45.123</t>
        </is>
      </c>
      <c r="EH190" s="0" t="inlineStr">
        <is>
          <t>11行 4列，源：nan 备：2000000000000000</t>
        </is>
      </c>
      <c r="EP190" s="0" t="inlineStr">
        <is>
          <t>11行 4列，源：nan 备：9223372036854775807</t>
        </is>
      </c>
      <c r="ES190" s="0" t="inlineStr">
        <is>
          <t>11行 4列，源：nan 备：2000000000000000</t>
        </is>
      </c>
    </row>
    <row r="191">
      <c r="B191" s="0" t="inlineStr">
        <is>
          <t>YES</t>
        </is>
      </c>
      <c r="C191" s="0" t="inlineStr">
        <is>
          <t>NULL</t>
        </is>
      </c>
      <c r="D191" s="0" t="inlineStr">
        <is>
          <t>NULL</t>
        </is>
      </c>
      <c r="E191" s="0" t="inlineStr">
        <is>
          <t>NULL</t>
        </is>
      </c>
      <c r="F191" s="0" t="inlineStr">
        <is>
          <t>NULL</t>
        </is>
      </c>
      <c r="G191" s="0" t="inlineStr">
        <is>
          <t>NULL</t>
        </is>
      </c>
      <c r="H191" s="0" t="inlineStr">
        <is>
          <t>NULL</t>
        </is>
      </c>
      <c r="I191" s="0" t="inlineStr">
        <is>
          <t>YES!PK__info_dat__3213E83FDFFFB785</t>
        </is>
      </c>
      <c r="J191" s="0" t="inlineStr">
        <is>
          <t>YES! 主键相关索引</t>
        </is>
      </c>
      <c r="K191" s="0" t="inlineStr">
        <is>
          <t xml:space="preserve"> NO!  	 id列源备映射错误，源端为int None位	期望更改为text	实际备端为int None位</t>
        </is>
      </c>
      <c r="AM191" s="0" t="inlineStr">
        <is>
          <t>16行 13列，源：None 备：</t>
        </is>
      </c>
      <c r="AS191" s="0" t="inlineStr">
        <is>
          <t>16行 6列，源：None 备：</t>
        </is>
      </c>
      <c r="BE191" s="0" t="inlineStr">
        <is>
          <t>22行 5列，源：9999-12-31 23:59:59.999900 备：2026-04-17 17:17:24.6306</t>
        </is>
      </c>
      <c r="BJ191" s="0" t="inlineStr">
        <is>
          <t>12行 15列，源：nan 备：-340282346600000016151267322115014000640.0000000000000</t>
        </is>
      </c>
      <c r="BX191" s="0" t="inlineStr">
        <is>
          <t>21行 0列，源：29 备：180</t>
        </is>
      </c>
      <c r="CB191" s="0" t="inlineStr">
        <is>
          <t>24行 5列，源：1971-05-11 00:00:00.0000 +14:00 备：0001-01-01 00:00:00.0000 +00:00</t>
        </is>
      </c>
      <c r="CM191" s="0" t="inlineStr">
        <is>
          <t>12行 5列，源：None 备：</t>
        </is>
      </c>
      <c r="DA191" s="0" t="inlineStr">
        <is>
          <t>11行 19列，源：None 备：</t>
        </is>
      </c>
      <c r="DL191" s="0" t="inlineStr">
        <is>
          <t>25行 8列，源：12:30:45.123456 备：12:00:00.1234567</t>
        </is>
      </c>
      <c r="DX191" s="0" t="inlineStr">
        <is>
          <t>11行 15列，源：nan 备：1.7900000000000e+308</t>
        </is>
      </c>
      <c r="EC191" s="0" t="inlineStr">
        <is>
          <t>24行 5列，源：00:00:01.123500 备：12:30:45.1230</t>
        </is>
      </c>
      <c r="EH191" s="0" t="inlineStr">
        <is>
          <t>11行 15列，源：nan 备：</t>
        </is>
      </c>
      <c r="EP191" s="0" t="inlineStr">
        <is>
          <t>11行 15列，源：nan 备：1.7900000000000e+308</t>
        </is>
      </c>
      <c r="ES191" s="0" t="inlineStr">
        <is>
          <t>11行 15列，源：nan 备：</t>
        </is>
      </c>
    </row>
    <row r="192">
      <c r="B192" s="0" t="inlineStr">
        <is>
          <t>NULL</t>
        </is>
      </c>
      <c r="C192" s="0" t="inlineStr">
        <is>
          <t>NULL</t>
        </is>
      </c>
      <c r="D192" s="0" t="inlineStr">
        <is>
          <t>NULL</t>
        </is>
      </c>
      <c r="E192" s="0" t="inlineStr">
        <is>
          <t>NULL</t>
        </is>
      </c>
      <c r="F192" s="0" t="inlineStr">
        <is>
          <t>NULL</t>
        </is>
      </c>
      <c r="G192" s="0" t="inlineStr">
        <is>
          <t>NULL</t>
        </is>
      </c>
      <c r="H192" s="0" t="inlineStr">
        <is>
          <t>NULL</t>
        </is>
      </c>
      <c r="I192" s="0" t="inlineStr">
        <is>
          <t>NULL</t>
        </is>
      </c>
      <c r="J192" s="0" t="inlineStr">
        <is>
          <t>NULL</t>
        </is>
      </c>
      <c r="K192" s="0" t="inlineStr">
        <is>
          <t xml:space="preserve"> NO!  	 c_datetime列源备映射错误，源端为datetime None位	期望更改为text	实际备端为datetime None位</t>
        </is>
      </c>
      <c r="AM192" s="0" t="inlineStr">
        <is>
          <t>16行 14列，源：None 备：</t>
        </is>
      </c>
      <c r="AS192" s="0" t="inlineStr">
        <is>
          <t>16行 7列，源：None 备：</t>
        </is>
      </c>
      <c r="BE192" s="0" t="inlineStr">
        <is>
          <t>22行 6列，源：9999-12-31 23:59:59.999990 备：2026-04-17 17:17:24.63065</t>
        </is>
      </c>
      <c r="BJ192" s="0" t="inlineStr">
        <is>
          <t>12行 16列，源：nan 备：-340282306073709652508363335590014353408.000000</t>
        </is>
      </c>
      <c r="BX192" s="0" t="inlineStr">
        <is>
          <t>21行 1列，源：1999-05-16 01:30:45 +10:15 备：2013-03-12 02:00:00 -04:25</t>
        </is>
      </c>
      <c r="CB192" s="0" t="inlineStr">
        <is>
          <t>24行 6列，源：1971-05-11 00:00:00.00000 +14:00 备：0001-01-01 00:00:00.00000 +00:00</t>
        </is>
      </c>
      <c r="CM192" s="0" t="inlineStr">
        <is>
          <t>12行 6列，源：None 备：</t>
        </is>
      </c>
      <c r="DA192" s="0" t="inlineStr">
        <is>
          <t>12行 0列，源：17 备：21</t>
        </is>
      </c>
      <c r="DL192" s="0" t="inlineStr">
        <is>
          <t>26行 0列，源：31 备：35</t>
        </is>
      </c>
      <c r="DX192" s="0" t="inlineStr">
        <is>
          <t>11行 16列，源：nan 备：339999995214436424907732413799364296704.000000</t>
        </is>
      </c>
      <c r="EC192" s="0" t="inlineStr">
        <is>
          <t>24行 6列，源：None 备：12:30:45.12300</t>
        </is>
      </c>
      <c r="EH192" s="0" t="inlineStr">
        <is>
          <t>11行 16列，源：nan 备：</t>
        </is>
      </c>
      <c r="EP192" s="0" t="inlineStr">
        <is>
          <t>11行 16列，源：nan 备：339999995214436424907732413799364296704.000000</t>
        </is>
      </c>
      <c r="ES192" s="0" t="inlineStr">
        <is>
          <t>11行 16列，源：nan 备：</t>
        </is>
      </c>
    </row>
    <row r="193">
      <c r="A193" s="0" t="inlineStr">
        <is>
          <t>info_char_dml_batch1_pk_irp1</t>
        </is>
      </c>
      <c r="K193" s="0" t="inlineStr">
        <is>
          <t>[0;34m info_char_dml_batch1_pk_irp1 [0m源备字段数相同，源端字段：4 	备端字段4</t>
        </is>
      </c>
      <c r="W193" s="0" t="inlineStr">
        <is>
          <t>YES 源备无差异</t>
        </is>
      </c>
      <c r="X193" s="0">
        <f>A193</f>
        <v/>
      </c>
      <c r="AM193" s="0" t="inlineStr">
        <is>
          <t>16行 15列，源：1.23456789012345e-30 备：0.0000000000000</t>
        </is>
      </c>
      <c r="AS193" s="0" t="inlineStr">
        <is>
          <t>16行 8列，源：None 备：</t>
        </is>
      </c>
      <c r="BE193" s="0" t="inlineStr">
        <is>
          <t>22行 7列，源：9999-12-31 23:59:59.999999 备：2026-04-17 17:17:24.630647</t>
        </is>
      </c>
      <c r="BJ193" s="0" t="inlineStr">
        <is>
          <t>12行 17列，源：None 备：-922337203685477.5808</t>
        </is>
      </c>
      <c r="BX193" s="0" t="inlineStr">
        <is>
          <t>21行 2列，源：1999-05-16 01:30:45.1 +10:15 备：2013-03-12 02:00:00.0 -04:25</t>
        </is>
      </c>
      <c r="CB193" s="0" t="inlineStr">
        <is>
          <t>24行 7列，源：1971-05-11 00:00:00.000000 +14:00 备：0001-01-01 00:00:00.000000 +00:00</t>
        </is>
      </c>
      <c r="CM193" s="0" t="inlineStr">
        <is>
          <t>12行 7列，源：None 备：</t>
        </is>
      </c>
      <c r="DA193" s="0" t="inlineStr">
        <is>
          <t>12行 1列，源：nan 备：</t>
        </is>
      </c>
      <c r="DL193" s="0" t="inlineStr">
        <is>
          <t>26行 1列，源：12:30:45 备：00:00:01</t>
        </is>
      </c>
      <c r="DX193" s="0" t="inlineStr">
        <is>
          <t>11行 17列，源：None 备：922337203685477.5807</t>
        </is>
      </c>
      <c r="EC193" s="0" t="inlineStr">
        <is>
          <t>24行 7列，源：00:00:01.123457 备：12:30:45.123000</t>
        </is>
      </c>
      <c r="EH193" s="0" t="inlineStr">
        <is>
          <t>11行 17列，源：None 备：</t>
        </is>
      </c>
      <c r="EP193" s="0" t="inlineStr">
        <is>
          <t>11行 17列，源：None 备：922337203685477.5807</t>
        </is>
      </c>
      <c r="ES193" s="0" t="inlineStr">
        <is>
          <t>11行 17列，源：None 备：</t>
        </is>
      </c>
    </row>
    <row r="194">
      <c r="B194" s="0" t="inlineStr">
        <is>
          <t>YES</t>
        </is>
      </c>
      <c r="C194" s="0" t="inlineStr">
        <is>
          <t>NULL</t>
        </is>
      </c>
      <c r="D194" s="0" t="inlineStr">
        <is>
          <t>NULL</t>
        </is>
      </c>
      <c r="E194" s="0" t="inlineStr">
        <is>
          <t>NULL</t>
        </is>
      </c>
      <c r="F194" s="0" t="inlineStr">
        <is>
          <t>NULL</t>
        </is>
      </c>
      <c r="G194" s="0" t="inlineStr">
        <is>
          <t>NULL</t>
        </is>
      </c>
      <c r="H194" s="0" t="inlineStr">
        <is>
          <t>NULL</t>
        </is>
      </c>
      <c r="I194" s="0" t="inlineStr">
        <is>
          <t>YES!PK__info_cha__3213E83F9D165F65</t>
        </is>
      </c>
      <c r="J194" s="0" t="inlineStr">
        <is>
          <t>YES! 主键相关索引</t>
        </is>
      </c>
      <c r="K194" s="0" t="inlineStr">
        <is>
          <t xml:space="preserve"> NO!  	 id列源备映射错误，源端为int None位	期望更改为text	实际备端为int None位</t>
        </is>
      </c>
      <c r="AM194" s="0" t="inlineStr">
        <is>
          <t>16行 16列，源：1.2345669834560371e-20 备：0.000000</t>
        </is>
      </c>
      <c r="AS194" s="0" t="inlineStr">
        <is>
          <t>16行 10列，源：None 备：</t>
        </is>
      </c>
      <c r="BE194" s="0" t="inlineStr">
        <is>
          <t>22行 8列，源：9999-12-31 23:59:59.999999 备：2026-04-17 17:17:24.6306467</t>
        </is>
      </c>
      <c r="BJ194" s="0" t="inlineStr">
        <is>
          <t>12行 18列，源：None 备：-214748.3648</t>
        </is>
      </c>
      <c r="BX194" s="0" t="inlineStr">
        <is>
          <t>21行 3列，源：1999-05-16 01:30:45.12 +10:15 备：2013-03-12 02:00:00.00 -04:25</t>
        </is>
      </c>
      <c r="CB194" s="0" t="inlineStr">
        <is>
          <t>24行 8列，源：1971-05-11 00:00:00.0000001 +14:00 备：0001-01-01 00:00:00.0000000 +00:00</t>
        </is>
      </c>
      <c r="CM194" s="0" t="inlineStr">
        <is>
          <t>12行 8列，源：None 备：</t>
        </is>
      </c>
      <c r="DA194" s="0" t="inlineStr">
        <is>
          <t>12行 2列，源：nan 备：-22345</t>
        </is>
      </c>
      <c r="DL194" s="0" t="inlineStr">
        <is>
          <t>26行 2列，源：12:30:45.100000 备：</t>
        </is>
      </c>
      <c r="DX194" s="0" t="inlineStr">
        <is>
          <t>11行 18列，源：None 备：214748.3647</t>
        </is>
      </c>
      <c r="EC194" s="0" t="inlineStr">
        <is>
          <t>24行 8列，源：None 备：12:30:45.1230000</t>
        </is>
      </c>
      <c r="EH194" s="0" t="inlineStr">
        <is>
          <t>11行 18列，源：None 备：</t>
        </is>
      </c>
      <c r="EP194" s="0" t="inlineStr">
        <is>
          <t>11行 18列，源：None 备：214748.3647</t>
        </is>
      </c>
      <c r="ES194" s="0" t="inlineStr">
        <is>
          <t>11行 18列，源：None 备：</t>
        </is>
      </c>
    </row>
    <row r="195">
      <c r="B195" s="0" t="inlineStr">
        <is>
          <t>NULL</t>
        </is>
      </c>
      <c r="C195" s="0" t="inlineStr">
        <is>
          <t>NULL</t>
        </is>
      </c>
      <c r="D195" s="0" t="inlineStr">
        <is>
          <t>NULL</t>
        </is>
      </c>
      <c r="E195" s="0" t="inlineStr">
        <is>
          <t>NULL</t>
        </is>
      </c>
      <c r="F195" s="0" t="inlineStr">
        <is>
          <t>NULL</t>
        </is>
      </c>
      <c r="G195" s="0" t="inlineStr">
        <is>
          <t>NULL</t>
        </is>
      </c>
      <c r="H195" s="0" t="inlineStr">
        <is>
          <t>NULL</t>
        </is>
      </c>
      <c r="I195" s="0" t="inlineStr">
        <is>
          <t>NULL</t>
        </is>
      </c>
      <c r="J195" s="0" t="inlineStr">
        <is>
          <t>NULL</t>
        </is>
      </c>
      <c r="K195" s="0" t="inlineStr">
        <is>
          <t xml:space="preserve"> NO!  	 c_char列源备映射错误，源端为char 1位	期望更改为text	实际备端为char 1位</t>
        </is>
      </c>
      <c r="AM195" s="0" t="inlineStr">
        <is>
          <t>16行 19列，源：False 备：0</t>
        </is>
      </c>
      <c r="AS195" s="0" t="inlineStr">
        <is>
          <t>16行 11列，源：None 备：</t>
        </is>
      </c>
      <c r="BE195" s="0" t="inlineStr">
        <is>
          <t>23行 0列，源：176 备：325</t>
        </is>
      </c>
      <c r="BJ195" s="0" t="inlineStr">
        <is>
          <t>12行 19列，源：None 备：0</t>
        </is>
      </c>
      <c r="BX195" s="0" t="inlineStr">
        <is>
          <t>21行 4列，源：1999-05-16 01:30:45.123 +10:15 备：2013-03-12 02:00:00.000 -04:25</t>
        </is>
      </c>
      <c r="CB195" s="0" t="inlineStr">
        <is>
          <t>25行 0列，源：102 备：55</t>
        </is>
      </c>
      <c r="CM195" s="0" t="inlineStr">
        <is>
          <t>12行 9列，源：None 备：</t>
        </is>
      </c>
      <c r="DA195" s="0" t="inlineStr">
        <is>
          <t>12行 3列，源：nan 备：</t>
        </is>
      </c>
      <c r="DL195" s="0" t="inlineStr">
        <is>
          <t>26行 3列，源：12:30:45.120000 备：00:00:01.12</t>
        </is>
      </c>
      <c r="DX195" s="0" t="inlineStr">
        <is>
          <t>11行 19列，源：None 备：1</t>
        </is>
      </c>
      <c r="EC195" s="0" t="inlineStr">
        <is>
          <t>25行 0列，源：66 备：8</t>
        </is>
      </c>
      <c r="EH195" s="0" t="inlineStr">
        <is>
          <t>11行 19列，源：None 备：</t>
        </is>
      </c>
      <c r="EP195" s="0" t="inlineStr">
        <is>
          <t>11行 19列，源：None 备：1</t>
        </is>
      </c>
      <c r="ES195" s="0" t="inlineStr">
        <is>
          <t>11行 19列，源：None 备：</t>
        </is>
      </c>
    </row>
    <row r="196">
      <c r="B196" s="0" t="inlineStr">
        <is>
          <t>NULL</t>
        </is>
      </c>
      <c r="C196" s="0" t="inlineStr">
        <is>
          <t>NULL</t>
        </is>
      </c>
      <c r="D196" s="0" t="inlineStr">
        <is>
          <t>NULL</t>
        </is>
      </c>
      <c r="E196" s="0" t="inlineStr">
        <is>
          <t>NULL</t>
        </is>
      </c>
      <c r="F196" s="0" t="inlineStr">
        <is>
          <t>NULL</t>
        </is>
      </c>
      <c r="G196" s="0" t="inlineStr">
        <is>
          <t>NULL</t>
        </is>
      </c>
      <c r="H196" s="0" t="inlineStr">
        <is>
          <t>NULL</t>
        </is>
      </c>
      <c r="I196" s="0" t="inlineStr">
        <is>
          <t>NULL</t>
        </is>
      </c>
      <c r="J196" s="0" t="inlineStr">
        <is>
          <t>NULL</t>
        </is>
      </c>
      <c r="K196" s="0" t="inlineStr">
        <is>
          <t xml:space="preserve"> NO!  	 c_char20列源备映射错误，源端为char 20位	期望更改为text	实际备端为char 20位</t>
        </is>
      </c>
      <c r="AM196" s="0" t="inlineStr">
        <is>
          <t>17行 0列，源：18 备：7</t>
        </is>
      </c>
      <c r="AS196" s="0" t="inlineStr">
        <is>
          <t>16行 12列，源：None 备：</t>
        </is>
      </c>
      <c r="BE196" s="0" t="inlineStr">
        <is>
          <t>23行 1列，源：1945-05-11 14:30:45 备：9999-12-31 23:59:59</t>
        </is>
      </c>
      <c r="BJ196" s="0" t="inlineStr">
        <is>
          <t>13行 0列，源：15 备：3</t>
        </is>
      </c>
      <c r="BX196" s="0" t="inlineStr">
        <is>
          <t>21行 5列，源：1999-05-16 01:30:45.1235 +10:15 备：2013-03-12 02:00:00.0000 -04:25</t>
        </is>
      </c>
      <c r="CB196" s="0" t="inlineStr">
        <is>
          <t>25行 1列，源：1900-01-01 00:00:00 +00:00 备：9999-12-31 23:59:59 +00:00</t>
        </is>
      </c>
      <c r="CM196" s="0" t="inlineStr">
        <is>
          <t>12行 10列，源：None 备：</t>
        </is>
      </c>
      <c r="DA196" s="0" t="inlineStr">
        <is>
          <t>12行 4列，源：nan 备：</t>
        </is>
      </c>
      <c r="DL196" s="0" t="inlineStr">
        <is>
          <t>26行 4列，源：12:30:45.123000 备：</t>
        </is>
      </c>
      <c r="DX196" s="0" t="inlineStr">
        <is>
          <t>12行 0列，源：13 备：20</t>
        </is>
      </c>
      <c r="EC196" s="0" t="inlineStr">
        <is>
          <t>25行 1列，源：12:00:00 备：12:30:45</t>
        </is>
      </c>
      <c r="EH196" s="0" t="inlineStr">
        <is>
          <t>12行 0列，源：13 备：110</t>
        </is>
      </c>
      <c r="EP196" s="0" t="inlineStr">
        <is>
          <t>12行 0列，源：13 备：20</t>
        </is>
      </c>
      <c r="ES196" s="0" t="inlineStr">
        <is>
          <t>12行 0列，源：13 备：110</t>
        </is>
      </c>
    </row>
    <row r="197">
      <c r="B197" s="0" t="inlineStr">
        <is>
          <t>NULL</t>
        </is>
      </c>
      <c r="C197" s="0" t="inlineStr">
        <is>
          <t>NULL</t>
        </is>
      </c>
      <c r="D197" s="0" t="inlineStr">
        <is>
          <t>NULL</t>
        </is>
      </c>
      <c r="E197" s="0" t="inlineStr">
        <is>
          <t>NULL</t>
        </is>
      </c>
      <c r="F197" s="0" t="inlineStr">
        <is>
          <t>NULL</t>
        </is>
      </c>
      <c r="G197" s="0" t="inlineStr">
        <is>
          <t>NULL</t>
        </is>
      </c>
      <c r="H197" s="0" t="inlineStr">
        <is>
          <t>NULL</t>
        </is>
      </c>
      <c r="I197" s="0" t="inlineStr">
        <is>
          <t>NULL</t>
        </is>
      </c>
      <c r="J197" s="0" t="inlineStr">
        <is>
          <t>NULL</t>
        </is>
      </c>
      <c r="K197" s="0" t="inlineStr">
        <is>
          <t xml:space="preserve"> NO!  	 c_char200列源备映射错误，源端为char 200位	期望更改为text	实际备端为char 200位</t>
        </is>
      </c>
      <c r="AM197" s="0" t="inlineStr">
        <is>
          <t>17行 2列，源：nan 备：32767</t>
        </is>
      </c>
      <c r="AS197" s="0" t="inlineStr">
        <is>
          <t>16行 13列，源：None 备：</t>
        </is>
      </c>
      <c r="BE197" s="0" t="inlineStr">
        <is>
          <t>23行 2列，源：1945-05-11 14:30:45.100000 备：9999-12-31 23:59:59.9</t>
        </is>
      </c>
      <c r="BJ197" s="0" t="inlineStr">
        <is>
          <t>13行 1列，源：nan 备：100</t>
        </is>
      </c>
      <c r="BX197" s="0" t="inlineStr">
        <is>
          <t>21行 6列，源：1999-05-16 01:30:45.12346 +10:15 备：2013-03-12 02:00:00.00000 -04:25</t>
        </is>
      </c>
      <c r="CB197" s="0" t="inlineStr">
        <is>
          <t>25行 2列，源：1900-01-01 00:00:00.0 +00:00 备：9999-12-31 23:59:59.9 +00:00</t>
        </is>
      </c>
      <c r="CM197" s="0" t="inlineStr">
        <is>
          <t>12行 11列，源：None 备：</t>
        </is>
      </c>
      <c r="DA197" s="0" t="inlineStr">
        <is>
          <t>12行 5列，源：None 备：</t>
        </is>
      </c>
      <c r="DL197" s="0" t="inlineStr">
        <is>
          <t>26行 5列，源：12:30:45.123500 备：00:00:01.1235</t>
        </is>
      </c>
      <c r="DX197" s="0" t="inlineStr">
        <is>
          <t>12行 1列，源：nan 备：</t>
        </is>
      </c>
      <c r="EC197" s="0" t="inlineStr">
        <is>
          <t>25行 2列，源：None 备：12:30:45.1</t>
        </is>
      </c>
      <c r="EH197" s="0" t="inlineStr">
        <is>
          <t>12行 1列，源：nan 备：</t>
        </is>
      </c>
      <c r="EP197" s="0" t="inlineStr">
        <is>
          <t>12行 1列，源：nan 备：</t>
        </is>
      </c>
      <c r="ES197" s="0" t="inlineStr">
        <is>
          <t>12行 1列，源：nan 备：</t>
        </is>
      </c>
    </row>
    <row r="198">
      <c r="K198" s="0" t="inlineStr">
        <is>
          <t>~ 空表</t>
        </is>
      </c>
      <c r="AM198" s="0" t="inlineStr">
        <is>
          <t>17行 5列，源：None 备：</t>
        </is>
      </c>
      <c r="AS198" s="0" t="inlineStr">
        <is>
          <t>16行 14列，源：None 备：</t>
        </is>
      </c>
      <c r="BE198" s="0" t="inlineStr">
        <is>
          <t>23行 3列，源：1945-05-11 14:30:45.120000 备：9999-12-31 23:59:59.99</t>
        </is>
      </c>
      <c r="BJ198" s="0" t="inlineStr">
        <is>
          <t>13行 2列，源：nan 备：0</t>
        </is>
      </c>
      <c r="BX198" s="0" t="inlineStr">
        <is>
          <t>21行 7列，源：1999-05-16 01:30:45.123457 +10:15 备：2013-03-12 02:00:00.000000 -04:25</t>
        </is>
      </c>
      <c r="CB198" s="0" t="inlineStr">
        <is>
          <t>25行 3列，源：1900-01-01 00:00:00.00 +00:00 备：9999-12-31 23:59:59.99 +00:00</t>
        </is>
      </c>
      <c r="CM198" s="0" t="inlineStr">
        <is>
          <t>12行 12列，源：None 备：</t>
        </is>
      </c>
      <c r="DA198" s="0" t="inlineStr">
        <is>
          <t>12行 6列，源：None 备：</t>
        </is>
      </c>
      <c r="DL198" s="0" t="inlineStr">
        <is>
          <t>26行 6列，源：12:30:45.123460 备：</t>
        </is>
      </c>
      <c r="DX198" s="0" t="inlineStr">
        <is>
          <t>12行 2列，源：nan 备：</t>
        </is>
      </c>
      <c r="EC198" s="0" t="inlineStr">
        <is>
          <t>25行 3列，源：12:00:00.120000 备：12:30:45.12</t>
        </is>
      </c>
      <c r="EH198" s="0" t="inlineStr">
        <is>
          <t>12行 2列，源：nan 备：</t>
        </is>
      </c>
      <c r="EP198" s="0" t="inlineStr">
        <is>
          <t>12行 2列，源：nan 备：</t>
        </is>
      </c>
      <c r="ES198" s="0" t="inlineStr">
        <is>
          <t>12行 2列，源：nan 备：</t>
        </is>
      </c>
    </row>
    <row r="199">
      <c r="A199" s="0" t="inlineStr">
        <is>
          <t>info_xml_dml_single_pk</t>
        </is>
      </c>
      <c r="K199" s="0" t="inlineStr">
        <is>
          <t>[0;34m info_xml_dml_single_pk [0m源备字段数相同，源端字段：2 	备端字段2</t>
        </is>
      </c>
      <c r="W199" s="0" t="inlineStr">
        <is>
          <t>YES 源备无差异</t>
        </is>
      </c>
      <c r="X199" s="0">
        <f>A199</f>
        <v/>
      </c>
      <c r="AM199" s="0" t="inlineStr">
        <is>
          <t>17行 6列，源：None 备：</t>
        </is>
      </c>
      <c r="AS199" s="0" t="inlineStr">
        <is>
          <t>16行 15列，源：1.23456789012345e-30 备：0.0000000000000</t>
        </is>
      </c>
      <c r="BE199" s="0" t="inlineStr">
        <is>
          <t>23行 4列，源：1945-05-11 14:30:45.123000 备：9999-12-31 23:59:59.999</t>
        </is>
      </c>
      <c r="BJ199" s="0" t="inlineStr">
        <is>
          <t>13行 3列，源：nan 备：0</t>
        </is>
      </c>
      <c r="BX199" s="0" t="inlineStr">
        <is>
          <t>21行 8列，源：1999-05-16 01:30:45.1234567 +10:15 备：2013-03-12 02:00:00.0000000 -04:25</t>
        </is>
      </c>
      <c r="CB199" s="0" t="inlineStr">
        <is>
          <t>25行 4列，源：1900-01-01 00:00:00.000 +00:00 备：9999-12-31 23:59:59.999 +00:00</t>
        </is>
      </c>
      <c r="CM199" s="0" t="inlineStr">
        <is>
          <t>12行 13列，源：None 备：</t>
        </is>
      </c>
      <c r="DA199" s="0" t="inlineStr">
        <is>
          <t>12行 7列，源：None 备：</t>
        </is>
      </c>
      <c r="DL199" s="0" t="inlineStr">
        <is>
          <t>26行 7列，源：12:30:45.123457 备：00:00:01.123457</t>
        </is>
      </c>
      <c r="DX199" s="0" t="inlineStr">
        <is>
          <t>12行 3列，源：nan 备：</t>
        </is>
      </c>
      <c r="EC199" s="0" t="inlineStr">
        <is>
          <t>25行 4列，源：None 备：12:30:45.123</t>
        </is>
      </c>
      <c r="EH199" s="0" t="inlineStr">
        <is>
          <t>12行 3列，源：nan 备：</t>
        </is>
      </c>
      <c r="EP199" s="0" t="inlineStr">
        <is>
          <t>12行 3列，源：nan 备：</t>
        </is>
      </c>
      <c r="ES199" s="0" t="inlineStr">
        <is>
          <t>12行 3列，源：nan 备：</t>
        </is>
      </c>
    </row>
    <row r="200">
      <c r="B200" s="0" t="inlineStr">
        <is>
          <t>YES</t>
        </is>
      </c>
      <c r="C200" s="0" t="inlineStr">
        <is>
          <t>NULL</t>
        </is>
      </c>
      <c r="D200" s="0" t="inlineStr">
        <is>
          <t>NULL</t>
        </is>
      </c>
      <c r="E200" s="0" t="inlineStr">
        <is>
          <t>NULL</t>
        </is>
      </c>
      <c r="F200" s="0" t="inlineStr">
        <is>
          <t>NULL</t>
        </is>
      </c>
      <c r="G200" s="0" t="inlineStr">
        <is>
          <t>NULL</t>
        </is>
      </c>
      <c r="H200" s="0" t="inlineStr">
        <is>
          <t>NULL</t>
        </is>
      </c>
      <c r="I200" s="0" t="inlineStr">
        <is>
          <t>YES!PK__info_xml__3213E83F36822F3E</t>
        </is>
      </c>
      <c r="J200" s="0" t="inlineStr">
        <is>
          <t>YES! 主键相关索引</t>
        </is>
      </c>
      <c r="K200" s="0" t="inlineStr">
        <is>
          <t xml:space="preserve"> NO!  	 id列源备映射错误，源端为int None位	期望更改为text	实际备端为int None位</t>
        </is>
      </c>
      <c r="AM200" s="0" t="inlineStr">
        <is>
          <t>17行 7列，源：None 备：</t>
        </is>
      </c>
      <c r="AS200" s="0" t="inlineStr">
        <is>
          <t>16行 16列，源：1.2345669834560371e-20 备：0.000000</t>
        </is>
      </c>
      <c r="BE200" s="0" t="inlineStr">
        <is>
          <t>23行 5列，源：1945-05-11 14:30:45.123500 备：9999-12-31 23:59:59.9999</t>
        </is>
      </c>
      <c r="BJ200" s="0" t="inlineStr">
        <is>
          <t>13行 4列，源：nan 备：0</t>
        </is>
      </c>
      <c r="BX200" s="0" t="inlineStr">
        <is>
          <t>22行 0列，源：30 备：181</t>
        </is>
      </c>
      <c r="CB200" s="0" t="inlineStr">
        <is>
          <t>25行 5列，源：1900-01-01 00:00:00.0000 +00:00 备：9999-12-31 23:59:59.9999 +00:00</t>
        </is>
      </c>
      <c r="CM200" s="0" t="inlineStr">
        <is>
          <t>12行 14列，源：None 备：</t>
        </is>
      </c>
      <c r="DA200" s="0" t="inlineStr">
        <is>
          <t>12行 8列，源：None 备：</t>
        </is>
      </c>
      <c r="DL200" s="0" t="inlineStr">
        <is>
          <t>26行 8列，源：12:30:45.123456 备：</t>
        </is>
      </c>
      <c r="DX200" s="0" t="inlineStr">
        <is>
          <t>12行 4列，源：nan 备：</t>
        </is>
      </c>
      <c r="EC200" s="0" t="inlineStr">
        <is>
          <t>25行 5列，源：12:00:00.123500 备：12:30:45.1234</t>
        </is>
      </c>
      <c r="EH200" s="0" t="inlineStr">
        <is>
          <t>12行 4列，源：nan 备：</t>
        </is>
      </c>
      <c r="EP200" s="0" t="inlineStr">
        <is>
          <t>12行 4列，源：nan 备：</t>
        </is>
      </c>
      <c r="ES200" s="0" t="inlineStr">
        <is>
          <t>12行 4列，源：nan 备：</t>
        </is>
      </c>
    </row>
    <row r="201">
      <c r="B201" s="0" t="inlineStr">
        <is>
          <t>NULL</t>
        </is>
      </c>
      <c r="C201" s="0" t="inlineStr">
        <is>
          <t>NULL</t>
        </is>
      </c>
      <c r="D201" s="0" t="inlineStr">
        <is>
          <t>NULL</t>
        </is>
      </c>
      <c r="E201" s="0" t="inlineStr">
        <is>
          <t>NULL</t>
        </is>
      </c>
      <c r="F201" s="0" t="inlineStr">
        <is>
          <t>NULL</t>
        </is>
      </c>
      <c r="G201" s="0" t="inlineStr">
        <is>
          <t>NULL</t>
        </is>
      </c>
      <c r="H201" s="0" t="inlineStr">
        <is>
          <t>NULL</t>
        </is>
      </c>
      <c r="I201" s="0" t="inlineStr">
        <is>
          <t>NULL</t>
        </is>
      </c>
      <c r="J201" s="0" t="inlineStr">
        <is>
          <t>NULL</t>
        </is>
      </c>
      <c r="K201" s="0" t="inlineStr">
        <is>
          <t xml:space="preserve"> NO!  	 c_xml列源备映射错误，源端为xml -1位	期望更改为text	实际备端为xml -1位</t>
        </is>
      </c>
      <c r="AM201" s="0" t="inlineStr">
        <is>
          <t>17行 8列，源：None 备：</t>
        </is>
      </c>
      <c r="AS201" s="0" t="inlineStr">
        <is>
          <t>16行 19列，源：False 备：0</t>
        </is>
      </c>
      <c r="BE201" s="0" t="inlineStr">
        <is>
          <t>23行 6列，源：1945-05-11 14:30:45.123460 备：9999-12-31 23:59:59.99999</t>
        </is>
      </c>
      <c r="BJ201" s="0" t="inlineStr">
        <is>
          <t>13行 15列，源：nan 备：0.0000000000000</t>
        </is>
      </c>
      <c r="BX201" s="0" t="inlineStr">
        <is>
          <t>22行 1列，源：2013-03-12 02:00:00 -04:25 备：2003-11-05 02:00:00 -05:10</t>
        </is>
      </c>
      <c r="CB201" s="0" t="inlineStr">
        <is>
          <t>25行 6列，源：1900-01-01 00:00:00.00000 +00:00 备：9999-12-31 23:59:59.99999 +00:00</t>
        </is>
      </c>
      <c r="CM201" s="0" t="inlineStr">
        <is>
          <t>12行 15列，源：nan 备：</t>
        </is>
      </c>
      <c r="DA201" s="0" t="inlineStr">
        <is>
          <t>12行 9列，源：None 备：</t>
        </is>
      </c>
      <c r="DL201" s="0" t="inlineStr">
        <is>
          <t>27行 0列，源：32 备：36</t>
        </is>
      </c>
      <c r="DX201" s="0" t="inlineStr">
        <is>
          <t>12行 15列，源：nan 备：-340282346600000016151267322115014000640.0000000000000</t>
        </is>
      </c>
      <c r="EC201" s="0" t="inlineStr">
        <is>
          <t>25行 6列，源：None 备：12:30:45.12340</t>
        </is>
      </c>
      <c r="EH201" s="0" t="inlineStr">
        <is>
          <t>12行 15列，源：nan 备：</t>
        </is>
      </c>
      <c r="EP201" s="0" t="inlineStr">
        <is>
          <t>12行 15列，源：nan 备：-340282346600000016151267322115014000640.0000000000000</t>
        </is>
      </c>
      <c r="ES201" s="0" t="inlineStr">
        <is>
          <t>12行 15列，源：nan 备：</t>
        </is>
      </c>
    </row>
    <row r="202">
      <c r="A202" s="0" t="inlineStr">
        <is>
          <t>info_int_dml_batch1_pk_drp1</t>
        </is>
      </c>
      <c r="K202" s="0" t="inlineStr">
        <is>
          <t>[0;34m info_int_dml_batch1_pk_drp1 [0m源备字段数相同，源端字段：20 	备端字段20</t>
        </is>
      </c>
      <c r="W202" s="0" t="inlineStr">
        <is>
          <t>YES 源备无差异</t>
        </is>
      </c>
      <c r="X202" s="0">
        <f>A202</f>
        <v/>
      </c>
      <c r="AM202" s="0" t="inlineStr">
        <is>
          <t>17行 10列，源：None 备：</t>
        </is>
      </c>
      <c r="AS202" s="0" t="inlineStr">
        <is>
          <t>17行 0列，源：18 备：7</t>
        </is>
      </c>
      <c r="BE202" s="0" t="inlineStr">
        <is>
          <t>23行 7列，源：1945-05-11 14:30:45.123457 备：9999-12-31 23:59:59.999999</t>
        </is>
      </c>
      <c r="BJ202" s="0" t="inlineStr">
        <is>
          <t>13行 16列，源：nan 备：0.000000</t>
        </is>
      </c>
      <c r="BX202" s="0" t="inlineStr">
        <is>
          <t>22行 2列，源：2013-03-12 02:00:00.0 -04:25 备：2003-11-05 02:00:00.0 -05:10</t>
        </is>
      </c>
      <c r="CB202" s="0" t="inlineStr">
        <is>
          <t>25行 7列，源：1900-01-01 00:00:00.000000 +00:00 备：9999-12-31 23:59:59.999999 +00:00</t>
        </is>
      </c>
      <c r="CM202" s="0" t="inlineStr">
        <is>
          <t>12行 16列，源：nan 备：</t>
        </is>
      </c>
      <c r="DA202" s="0" t="inlineStr">
        <is>
          <t>12行 10列，源：None 备：</t>
        </is>
      </c>
      <c r="DL202" s="0" t="inlineStr">
        <is>
          <t>27行 1列，源：23:59:59 备：12:00:00</t>
        </is>
      </c>
      <c r="DX202" s="0" t="inlineStr">
        <is>
          <t>12行 16列，源：nan 备：-340282306073709652508363335590014353408.000000</t>
        </is>
      </c>
      <c r="EC202" s="0" t="inlineStr">
        <is>
          <t>25行 7列，源：12:00:00.123457 备：12:30:45.123400</t>
        </is>
      </c>
      <c r="EH202" s="0" t="inlineStr">
        <is>
          <t>12行 16列，源：nan 备：</t>
        </is>
      </c>
      <c r="EP202" s="0" t="inlineStr">
        <is>
          <t>12行 16列，源：nan 备：-340282306073709652508363335590014353408.000000</t>
        </is>
      </c>
      <c r="ES202" s="0" t="inlineStr">
        <is>
          <t>12行 16列，源：nan 备：</t>
        </is>
      </c>
    </row>
    <row r="203">
      <c r="B203" s="0" t="inlineStr">
        <is>
          <t>YES</t>
        </is>
      </c>
      <c r="C203" s="0" t="inlineStr">
        <is>
          <t>NULL</t>
        </is>
      </c>
      <c r="D203" s="0" t="inlineStr">
        <is>
          <t>NULL</t>
        </is>
      </c>
      <c r="E203" s="0" t="inlineStr">
        <is>
          <t>NULL</t>
        </is>
      </c>
      <c r="F203" s="0" t="inlineStr">
        <is>
          <t>NULL</t>
        </is>
      </c>
      <c r="G203" s="0" t="inlineStr">
        <is>
          <t>NULL</t>
        </is>
      </c>
      <c r="H203" s="0" t="inlineStr">
        <is>
          <t>NULL</t>
        </is>
      </c>
      <c r="I203" s="0" t="inlineStr">
        <is>
          <t>YES!PK__info_int__3213E83FA623EACB</t>
        </is>
      </c>
      <c r="J203" s="0" t="inlineStr">
        <is>
          <t>YES! 主键相关索引</t>
        </is>
      </c>
      <c r="K203" s="0" t="inlineStr">
        <is>
          <t xml:space="preserve"> NO!  	 id列源备映射错误，源端为int None位	期望更改为text	实际备端为int None位</t>
        </is>
      </c>
      <c r="AM203" s="0" t="inlineStr">
        <is>
          <t>17行 11列，源：None 备：</t>
        </is>
      </c>
      <c r="AS203" s="0" t="inlineStr">
        <is>
          <t>17行 2列，源：0.0 备：0</t>
        </is>
      </c>
      <c r="BE203" s="0" t="inlineStr">
        <is>
          <t>23行 8列，源：1945-05-11 14:30:45.123456 备：9999-12-31 23:59:59.9999999</t>
        </is>
      </c>
      <c r="BJ203" s="0" t="inlineStr">
        <is>
          <t>13行 17列，源：None 备：203685477.5808</t>
        </is>
      </c>
      <c r="BX203" s="0" t="inlineStr">
        <is>
          <t>22行 3列，源：2013-03-12 02:00:00.00 -04:25 备：2003-11-05 02:00:00.00 -05:10</t>
        </is>
      </c>
      <c r="CB203" s="0" t="inlineStr">
        <is>
          <t>25行 8列，源：1900-01-01 00:00:00.0000000 +00:00 备：9999-12-31 23:59:59.9999999 +00:00</t>
        </is>
      </c>
      <c r="CM203" s="0" t="inlineStr">
        <is>
          <t>12行 19列，源：None 备：</t>
        </is>
      </c>
      <c r="DA203" s="0" t="inlineStr">
        <is>
          <t>12行 11列，源：None 备：</t>
        </is>
      </c>
      <c r="DL203" s="0" t="inlineStr">
        <is>
          <t>27行 2列，源：23:59:59.100000 备：</t>
        </is>
      </c>
      <c r="DX203" s="0" t="inlineStr">
        <is>
          <t>12行 17列，源：None 备：-922337203685477.5808</t>
        </is>
      </c>
      <c r="EC203" s="0" t="inlineStr">
        <is>
          <t>25行 8列，源：None 备：12:30:45.1234000</t>
        </is>
      </c>
      <c r="EH203" s="0" t="inlineStr">
        <is>
          <t>12行 17列，源：None 备：</t>
        </is>
      </c>
      <c r="EP203" s="0" t="inlineStr">
        <is>
          <t>12行 17列，源：None 备：-922337203685477.5808</t>
        </is>
      </c>
      <c r="ES203" s="0" t="inlineStr">
        <is>
          <t>12行 17列，源：None 备：</t>
        </is>
      </c>
    </row>
    <row r="204">
      <c r="B204" s="0" t="inlineStr">
        <is>
          <t>NULL</t>
        </is>
      </c>
      <c r="C204" s="0" t="inlineStr">
        <is>
          <t>NULL</t>
        </is>
      </c>
      <c r="D204" s="0" t="inlineStr">
        <is>
          <t>NULL</t>
        </is>
      </c>
      <c r="E204" s="0" t="inlineStr">
        <is>
          <t>NULL</t>
        </is>
      </c>
      <c r="F204" s="0" t="inlineStr">
        <is>
          <t>NULL</t>
        </is>
      </c>
      <c r="G204" s="0" t="inlineStr">
        <is>
          <t>NULL</t>
        </is>
      </c>
      <c r="H204" s="0" t="inlineStr">
        <is>
          <t>NULL</t>
        </is>
      </c>
      <c r="I204" s="0" t="inlineStr">
        <is>
          <t>NULL</t>
        </is>
      </c>
      <c r="J204" s="0" t="inlineStr">
        <is>
          <t>NULL</t>
        </is>
      </c>
      <c r="K204" s="0" t="inlineStr">
        <is>
          <t xml:space="preserve"> NO!  	 c_tinyint列源备映射错误，源端为tinyint None位	期望更改为text	实际备端为tinyint None位</t>
        </is>
      </c>
      <c r="AM204" s="0" t="inlineStr">
        <is>
          <t>17行 12列，源：None 备：</t>
        </is>
      </c>
      <c r="AS204" s="0" t="inlineStr">
        <is>
          <t>17行 5列，源：None 备：</t>
        </is>
      </c>
      <c r="BE204" s="0" t="inlineStr">
        <is>
          <t>24行 0列，源：177 备：327</t>
        </is>
      </c>
      <c r="BJ204" s="0" t="inlineStr">
        <is>
          <t>13行 18列，源：None 备：</t>
        </is>
      </c>
      <c r="BX204" s="0" t="inlineStr">
        <is>
          <t>22行 4列，源：2013-03-12 02:00:00.000 -04:25 备：2003-11-05 02:00:00.000 -05:10</t>
        </is>
      </c>
      <c r="CB204" s="0" t="inlineStr">
        <is>
          <t>26行 0列，源：103 备：56</t>
        </is>
      </c>
      <c r="CM204" s="0" t="inlineStr">
        <is>
          <t>13行 0列，源：14 备：21</t>
        </is>
      </c>
      <c r="DA204" s="0" t="inlineStr">
        <is>
          <t>12行 12列，源：None 备：</t>
        </is>
      </c>
      <c r="DL204" s="0" t="inlineStr">
        <is>
          <t>27行 3列，源：23:59:59.120000 备：12:00:00.12</t>
        </is>
      </c>
      <c r="DX204" s="0" t="inlineStr">
        <is>
          <t>12行 18列，源：None 备：-214748.3648</t>
        </is>
      </c>
      <c r="EC204" s="0" t="inlineStr">
        <is>
          <t>26行 0列，源：109 备：9</t>
        </is>
      </c>
      <c r="EH204" s="0" t="inlineStr">
        <is>
          <t>12行 18列，源：None 备：</t>
        </is>
      </c>
      <c r="EP204" s="0" t="inlineStr">
        <is>
          <t>12行 18列，源：None 备：-214748.3648</t>
        </is>
      </c>
      <c r="ES204" s="0" t="inlineStr">
        <is>
          <t>12行 18列，源：None 备：</t>
        </is>
      </c>
    </row>
    <row r="205">
      <c r="B205" s="0" t="inlineStr">
        <is>
          <t>NULL</t>
        </is>
      </c>
      <c r="C205" s="0" t="inlineStr">
        <is>
          <t>NULL</t>
        </is>
      </c>
      <c r="D205" s="0" t="inlineStr">
        <is>
          <t>NULL</t>
        </is>
      </c>
      <c r="E205" s="0" t="inlineStr">
        <is>
          <t>NULL</t>
        </is>
      </c>
      <c r="F205" s="0" t="inlineStr">
        <is>
          <t>NULL</t>
        </is>
      </c>
      <c r="G205" s="0" t="inlineStr">
        <is>
          <t>NULL</t>
        </is>
      </c>
      <c r="H205" s="0" t="inlineStr">
        <is>
          <t>NULL</t>
        </is>
      </c>
      <c r="I205" s="0" t="inlineStr">
        <is>
          <t>NULL</t>
        </is>
      </c>
      <c r="J205" s="0" t="inlineStr">
        <is>
          <t>NULL</t>
        </is>
      </c>
      <c r="K205" s="0" t="inlineStr">
        <is>
          <t xml:space="preserve"> NO!  	 c_smallint列源备映射错误，源端为smallint None位	期望更改为text	实际备端为smallint None位</t>
        </is>
      </c>
      <c r="AM205" s="0" t="inlineStr">
        <is>
          <t>17行 13列，源：None 备：</t>
        </is>
      </c>
      <c r="AS205" s="0" t="inlineStr">
        <is>
          <t>17行 6列，源：None 备：</t>
        </is>
      </c>
      <c r="BE205" s="0" t="inlineStr">
        <is>
          <t>24行 2列，源：2065-05-11 14:30:45.100000 备：2065-05-11 14:30:45.1</t>
        </is>
      </c>
      <c r="BJ205" s="0" t="inlineStr">
        <is>
          <t>13行 19列，源：None 备：0</t>
        </is>
      </c>
      <c r="BX205" s="0" t="inlineStr">
        <is>
          <t>22行 5列，源：2013-03-12 02:00:00.0000 -04:25 备：2003-11-05 02:00:00.0000 -05:10</t>
        </is>
      </c>
      <c r="CB205" s="0" t="inlineStr">
        <is>
          <t>26行 1列，源：2026-04-17 17:18:32 +08:00 备：2063-05-11 10:30:45 -04:00</t>
        </is>
      </c>
      <c r="CM205" s="0" t="inlineStr">
        <is>
          <t>13行 1列，源：nan 备：</t>
        </is>
      </c>
      <c r="DA205" s="0" t="inlineStr">
        <is>
          <t>12行 13列，源：None 备：</t>
        </is>
      </c>
      <c r="DL205" s="0" t="inlineStr">
        <is>
          <t>27行 4列，源：23:59:59.123000 备：</t>
        </is>
      </c>
      <c r="DX205" s="0" t="inlineStr">
        <is>
          <t>12行 19列，源：None 备：0</t>
        </is>
      </c>
      <c r="EH205" s="0" t="inlineStr">
        <is>
          <t>12行 19列，源：None 备：</t>
        </is>
      </c>
      <c r="EP205" s="0" t="inlineStr">
        <is>
          <t>12行 19列，源：None 备：0</t>
        </is>
      </c>
      <c r="ES205" s="0" t="inlineStr">
        <is>
          <t>12行 19列，源：None 备：</t>
        </is>
      </c>
    </row>
    <row r="206">
      <c r="B206" s="0" t="inlineStr">
        <is>
          <t>NULL</t>
        </is>
      </c>
      <c r="C206" s="0" t="inlineStr">
        <is>
          <t>NULL</t>
        </is>
      </c>
      <c r="D206" s="0" t="inlineStr">
        <is>
          <t>NULL</t>
        </is>
      </c>
      <c r="E206" s="0" t="inlineStr">
        <is>
          <t>NULL</t>
        </is>
      </c>
      <c r="F206" s="0" t="inlineStr">
        <is>
          <t>NULL</t>
        </is>
      </c>
      <c r="G206" s="0" t="inlineStr">
        <is>
          <t>NULL</t>
        </is>
      </c>
      <c r="H206" s="0" t="inlineStr">
        <is>
          <t>NULL</t>
        </is>
      </c>
      <c r="I206" s="0" t="inlineStr">
        <is>
          <t>NULL</t>
        </is>
      </c>
      <c r="J206" s="0" t="inlineStr">
        <is>
          <t>NULL</t>
        </is>
      </c>
      <c r="K206" s="0" t="inlineStr">
        <is>
          <t xml:space="preserve"> NO!  	 c_int列源备映射错误，源端为int None位	期望更改为text	实际备端为int None位</t>
        </is>
      </c>
      <c r="AM206" s="0" t="inlineStr">
        <is>
          <t>17行 14列，源：None 备：</t>
        </is>
      </c>
      <c r="AS206" s="0" t="inlineStr">
        <is>
          <t>17行 7列，源：None 备：</t>
        </is>
      </c>
      <c r="BE206" s="0" t="inlineStr">
        <is>
          <t>24行 3列，源：2065-05-11 14:30:45.120000 备：2065-05-11 14:30:45.12</t>
        </is>
      </c>
      <c r="BJ206" s="0" t="inlineStr">
        <is>
          <t>14行 0列，源：16 备：5</t>
        </is>
      </c>
      <c r="BX206" s="0" t="inlineStr">
        <is>
          <t>22行 6列，源：2013-03-12 02:00:00.00000 -04:25 备：2003-11-05 02:00:00.00000 -05:10</t>
        </is>
      </c>
      <c r="CB206" s="0" t="inlineStr">
        <is>
          <t>26行 2列，源：2026-04-17 17:18:31.5 +08:00 备：2063-05-11 10:30:45.1 -04:00</t>
        </is>
      </c>
      <c r="CM206" s="0" t="inlineStr">
        <is>
          <t>13行 2列，源：nan 备：-22345</t>
        </is>
      </c>
      <c r="DA206" s="0" t="inlineStr">
        <is>
          <t>12行 14列，源：None 备：</t>
        </is>
      </c>
      <c r="DL206" s="0" t="inlineStr">
        <is>
          <t>27行 5列，源：23:59:59.123500 备：12:00:00.1235</t>
        </is>
      </c>
      <c r="DX206" s="0" t="inlineStr">
        <is>
          <t>13行 0列，源：14 备：3</t>
        </is>
      </c>
      <c r="EH206" s="0" t="inlineStr">
        <is>
          <t>13行 0列，源：14 备：111</t>
        </is>
      </c>
      <c r="EP206" s="0" t="inlineStr">
        <is>
          <t>13行 0列，源：14 备：3</t>
        </is>
      </c>
      <c r="ES206" s="0" t="inlineStr">
        <is>
          <t>13行 0列，源：14 备：111</t>
        </is>
      </c>
    </row>
    <row r="207">
      <c r="B207" s="0" t="inlineStr">
        <is>
          <t>NULL</t>
        </is>
      </c>
      <c r="C207" s="0" t="inlineStr">
        <is>
          <t>NULL</t>
        </is>
      </c>
      <c r="D207" s="0" t="inlineStr">
        <is>
          <t>NULL</t>
        </is>
      </c>
      <c r="E207" s="0" t="inlineStr">
        <is>
          <t>NULL</t>
        </is>
      </c>
      <c r="F207" s="0" t="inlineStr">
        <is>
          <t>NULL</t>
        </is>
      </c>
      <c r="G207" s="0" t="inlineStr">
        <is>
          <t>NULL</t>
        </is>
      </c>
      <c r="H207" s="0" t="inlineStr">
        <is>
          <t>NULL</t>
        </is>
      </c>
      <c r="I207" s="0" t="inlineStr">
        <is>
          <t>NULL</t>
        </is>
      </c>
      <c r="J207" s="0" t="inlineStr">
        <is>
          <t>NULL</t>
        </is>
      </c>
      <c r="K207" s="0" t="inlineStr">
        <is>
          <t xml:space="preserve"> NO!  	 c_bigint列源备映射错误，源端为bigint None位	期望更改为text	实际备端为bigint None位</t>
        </is>
      </c>
      <c r="AM207" s="0" t="inlineStr">
        <is>
          <t>17行 15列，源：1.23456789012345e-30 备：0.0000000000000</t>
        </is>
      </c>
      <c r="AS207" s="0" t="inlineStr">
        <is>
          <t>17行 8列，源：None 备：</t>
        </is>
      </c>
      <c r="BE207" s="0" t="inlineStr">
        <is>
          <t>24行 4列，源：2065-05-11 14:30:45.123000 备：2065-05-11 14:30:45.123</t>
        </is>
      </c>
      <c r="BJ207" s="0" t="inlineStr">
        <is>
          <t>14行 1列，源：nan 备：0</t>
        </is>
      </c>
      <c r="BX207" s="0" t="inlineStr">
        <is>
          <t>22行 7列，源：2013-03-12 02:00:00.000000 -04:25 备：2003-11-05 02:00:00.000000 -05:10</t>
        </is>
      </c>
      <c r="CB207" s="0" t="inlineStr">
        <is>
          <t>26行 3列，源：2026-04-17 17:18:31.54 +08:00 备：2063-05-11 10:30:45.12 -04:00</t>
        </is>
      </c>
      <c r="CM207" s="0" t="inlineStr">
        <is>
          <t>13行 3列，源：nan 备：</t>
        </is>
      </c>
      <c r="DA207" s="0" t="inlineStr">
        <is>
          <t>12行 15列，源：nan 备：</t>
        </is>
      </c>
      <c r="DL207" s="0" t="inlineStr">
        <is>
          <t>27行 6列，源：23:59:59.123460 备：</t>
        </is>
      </c>
      <c r="DX207" s="0" t="inlineStr">
        <is>
          <t>13行 1列，源：nan 备：</t>
        </is>
      </c>
      <c r="EH207" s="0" t="inlineStr">
        <is>
          <t>13行 1列，源：nan 备：</t>
        </is>
      </c>
      <c r="EP207" s="0" t="inlineStr">
        <is>
          <t>13行 1列，源：nan 备：</t>
        </is>
      </c>
      <c r="ES207" s="0" t="inlineStr">
        <is>
          <t>13行 1列，源：nan 备：</t>
        </is>
      </c>
    </row>
    <row r="208">
      <c r="B208" s="0" t="inlineStr">
        <is>
          <t>NULL</t>
        </is>
      </c>
      <c r="C208" s="0" t="inlineStr">
        <is>
          <t>NULL</t>
        </is>
      </c>
      <c r="D208" s="0" t="inlineStr">
        <is>
          <t>NULL</t>
        </is>
      </c>
      <c r="E208" s="0" t="inlineStr">
        <is>
          <t>NULL</t>
        </is>
      </c>
      <c r="F208" s="0" t="inlineStr">
        <is>
          <t>NULL</t>
        </is>
      </c>
      <c r="G208" s="0" t="inlineStr">
        <is>
          <t>NULL</t>
        </is>
      </c>
      <c r="H208" s="0" t="inlineStr">
        <is>
          <t>NULL</t>
        </is>
      </c>
      <c r="I208" s="0" t="inlineStr">
        <is>
          <t>NULL</t>
        </is>
      </c>
      <c r="J208" s="0" t="inlineStr">
        <is>
          <t>NULL</t>
        </is>
      </c>
      <c r="K208" s="0" t="inlineStr">
        <is>
          <t xml:space="preserve"> NO!  	 c_decimal列源备映射错误，源端为decimal None位	期望更改为text	实际备端为decimal None位</t>
        </is>
      </c>
      <c r="AM208" s="0" t="inlineStr">
        <is>
          <t>17行 16列，源：1.2345669834560371e-20 备：0.000000</t>
        </is>
      </c>
      <c r="AS208" s="0" t="inlineStr">
        <is>
          <t>17行 10列，源：None 备：</t>
        </is>
      </c>
      <c r="BE208" s="0" t="inlineStr">
        <is>
          <t>24行 5列，源：2065-05-11 14:30:45.123500 备：2065-05-11 14:30:45.1235</t>
        </is>
      </c>
      <c r="BJ208" s="0" t="inlineStr">
        <is>
          <t>14行 2列，源：nan 备：0</t>
        </is>
      </c>
      <c r="BX208" s="0" t="inlineStr">
        <is>
          <t>22行 8列，源：2013-03-12 02:00:00.0000000 -04:25 备：2003-11-05 02:00:00.0000000 -05:10</t>
        </is>
      </c>
      <c r="CB208" s="0" t="inlineStr">
        <is>
          <t>26行 4列，源：2026-04-17 17:18:31.537 +08:00 备：2063-05-11 10:30:45.123 -04:00</t>
        </is>
      </c>
      <c r="CM208" s="0" t="inlineStr">
        <is>
          <t>13行 4列，源：nan 备：</t>
        </is>
      </c>
      <c r="DA208" s="0" t="inlineStr">
        <is>
          <t>12行 16列，源：nan 备：</t>
        </is>
      </c>
      <c r="DL208" s="0" t="inlineStr">
        <is>
          <t>27行 7列，源：23:59:59.123457 备：12:00:00.123457</t>
        </is>
      </c>
      <c r="DX208" s="0" t="inlineStr">
        <is>
          <t>13行 2列，源：nan 备：</t>
        </is>
      </c>
      <c r="EH208" s="0" t="inlineStr">
        <is>
          <t>13行 2列，源：nan 备：</t>
        </is>
      </c>
      <c r="EP208" s="0" t="inlineStr">
        <is>
          <t>13行 2列，源：nan 备：</t>
        </is>
      </c>
      <c r="ES208" s="0" t="inlineStr">
        <is>
          <t>13行 2列，源：nan 备：</t>
        </is>
      </c>
    </row>
    <row r="209">
      <c r="B209" s="0" t="inlineStr">
        <is>
          <t>NULL</t>
        </is>
      </c>
      <c r="C209" s="0" t="inlineStr">
        <is>
          <t>NULL</t>
        </is>
      </c>
      <c r="D209" s="0" t="inlineStr">
        <is>
          <t>NULL</t>
        </is>
      </c>
      <c r="E209" s="0" t="inlineStr">
        <is>
          <t>NULL</t>
        </is>
      </c>
      <c r="F209" s="0" t="inlineStr">
        <is>
          <t>NULL</t>
        </is>
      </c>
      <c r="G209" s="0" t="inlineStr">
        <is>
          <t>NULL</t>
        </is>
      </c>
      <c r="H209" s="0" t="inlineStr">
        <is>
          <t>NULL</t>
        </is>
      </c>
      <c r="I209" s="0" t="inlineStr">
        <is>
          <t>NULL</t>
        </is>
      </c>
      <c r="J209" s="0" t="inlineStr">
        <is>
          <t>NULL</t>
        </is>
      </c>
      <c r="K209" s="0" t="inlineStr">
        <is>
          <t xml:space="preserve"> NO!  	 c_decimal38列源备映射错误，源端为decimal None位	期望更改为text	实际备端为decimal None位</t>
        </is>
      </c>
      <c r="AM209" s="0" t="inlineStr">
        <is>
          <t>17行 19列，源：False 备：0</t>
        </is>
      </c>
      <c r="AS209" s="0" t="inlineStr">
        <is>
          <t>17行 11列，源：None 备：</t>
        </is>
      </c>
      <c r="BE209" s="0" t="inlineStr">
        <is>
          <t>24行 6列，源：2065-05-11 14:30:45.123460 备：2065-05-11 14:30:45.12346</t>
        </is>
      </c>
      <c r="BJ209" s="0" t="inlineStr">
        <is>
          <t>14行 3列，源：nan 备：0</t>
        </is>
      </c>
      <c r="BX209" s="0" t="inlineStr">
        <is>
          <t>23行 0列，源：31 备：182</t>
        </is>
      </c>
      <c r="CB209" s="0" t="inlineStr">
        <is>
          <t>26行 5列，源：2026-04-17 17:18:31.5370 +08:00 备：2063-05-11 10:30:45.1235 -04:00</t>
        </is>
      </c>
      <c r="CM209" s="0" t="inlineStr">
        <is>
          <t>13行 5列，源：None 备：</t>
        </is>
      </c>
      <c r="DA209" s="0" t="inlineStr">
        <is>
          <t>12行 19列，源：None 备：</t>
        </is>
      </c>
      <c r="DL209" s="0" t="inlineStr">
        <is>
          <t>27行 8列，源：23:59:59.123456 备：</t>
        </is>
      </c>
      <c r="DX209" s="0" t="inlineStr">
        <is>
          <t>13行 3列，源：nan 备：</t>
        </is>
      </c>
      <c r="EH209" s="0" t="inlineStr">
        <is>
          <t>13行 3列，源：nan 备：</t>
        </is>
      </c>
      <c r="EP209" s="0" t="inlineStr">
        <is>
          <t>13行 3列，源：nan 备：</t>
        </is>
      </c>
      <c r="ES209" s="0" t="inlineStr">
        <is>
          <t>13行 3列，源：nan 备：</t>
        </is>
      </c>
    </row>
    <row r="210">
      <c r="B210" s="0" t="inlineStr">
        <is>
          <t>NULL</t>
        </is>
      </c>
      <c r="C210" s="0" t="inlineStr">
        <is>
          <t>NULL</t>
        </is>
      </c>
      <c r="D210" s="0" t="inlineStr">
        <is>
          <t>NULL</t>
        </is>
      </c>
      <c r="E210" s="0" t="inlineStr">
        <is>
          <t>NULL</t>
        </is>
      </c>
      <c r="F210" s="0" t="inlineStr">
        <is>
          <t>NULL</t>
        </is>
      </c>
      <c r="G210" s="0" t="inlineStr">
        <is>
          <t>NULL</t>
        </is>
      </c>
      <c r="H210" s="0" t="inlineStr">
        <is>
          <t>NULL</t>
        </is>
      </c>
      <c r="I210" s="0" t="inlineStr">
        <is>
          <t>NULL</t>
        </is>
      </c>
      <c r="J210" s="0" t="inlineStr">
        <is>
          <t>NULL</t>
        </is>
      </c>
      <c r="K210" s="0" t="inlineStr">
        <is>
          <t xml:space="preserve"> NO!  	 c_decimal38_38列源备映射错误，源端为decimal None位	期望更改为text	实际备端为decimal None位</t>
        </is>
      </c>
      <c r="AM210" s="0" t="inlineStr">
        <is>
          <t>18行 0列，源：19 备：8</t>
        </is>
      </c>
      <c r="AS210" s="0" t="inlineStr">
        <is>
          <t>17行 12列，源：None 备：</t>
        </is>
      </c>
      <c r="BE210" s="0" t="inlineStr">
        <is>
          <t>25行 0列，源：223 备：375</t>
        </is>
      </c>
      <c r="BJ210" s="0" t="inlineStr">
        <is>
          <t>14行 4列，源：nan 备：0</t>
        </is>
      </c>
      <c r="BX210" s="0" t="inlineStr">
        <is>
          <t>23行 1列，源：2003-11-05 02:00:00 -05:10 备：2025-05-12 00:00:00 -14:00</t>
        </is>
      </c>
      <c r="CB210" s="0" t="inlineStr">
        <is>
          <t>26行 6列，源：2026-04-17 17:18:31.53698 +08:00 备：2063-05-11 10:30:45.12346 -04:00</t>
        </is>
      </c>
      <c r="CM210" s="0" t="inlineStr">
        <is>
          <t>13行 6列，源：None 备：</t>
        </is>
      </c>
      <c r="DA210" s="0" t="inlineStr">
        <is>
          <t>13行 0列，源：18 备：23</t>
        </is>
      </c>
      <c r="DL210" s="0" t="inlineStr">
        <is>
          <t>28行 0列，源：33 备：4</t>
        </is>
      </c>
      <c r="DX210" s="0" t="inlineStr">
        <is>
          <t>13行 4列，源：nan 备：</t>
        </is>
      </c>
      <c r="EH210" s="0" t="inlineStr">
        <is>
          <t>13行 4列，源：nan 备：</t>
        </is>
      </c>
      <c r="EP210" s="0" t="inlineStr">
        <is>
          <t>13行 4列，源：nan 备：</t>
        </is>
      </c>
      <c r="ES210" s="0" t="inlineStr">
        <is>
          <t>13行 4列，源：nan 备：</t>
        </is>
      </c>
    </row>
    <row r="211">
      <c r="B211" s="0" t="inlineStr">
        <is>
          <t>NULL</t>
        </is>
      </c>
      <c r="C211" s="0" t="inlineStr">
        <is>
          <t>NULL</t>
        </is>
      </c>
      <c r="D211" s="0" t="inlineStr">
        <is>
          <t>NULL</t>
        </is>
      </c>
      <c r="E211" s="0" t="inlineStr">
        <is>
          <t>NULL</t>
        </is>
      </c>
      <c r="F211" s="0" t="inlineStr">
        <is>
          <t>NULL</t>
        </is>
      </c>
      <c r="G211" s="0" t="inlineStr">
        <is>
          <t>NULL</t>
        </is>
      </c>
      <c r="H211" s="0" t="inlineStr">
        <is>
          <t>NULL</t>
        </is>
      </c>
      <c r="I211" s="0" t="inlineStr">
        <is>
          <t>NULL</t>
        </is>
      </c>
      <c r="J211" s="0" t="inlineStr">
        <is>
          <t>NULL</t>
        </is>
      </c>
      <c r="K211" s="0" t="inlineStr">
        <is>
          <t xml:space="preserve"> NO!  	 c_decimal38_10列源备映射错误，源端为decimal None位	期望更改为text	实际备端为decimal None位</t>
        </is>
      </c>
      <c r="AM211" s="0" t="inlineStr">
        <is>
          <t>18行 2列，源：nan 备：-32768</t>
        </is>
      </c>
      <c r="AS211" s="0" t="inlineStr">
        <is>
          <t>17行 13列，源：None 备：</t>
        </is>
      </c>
      <c r="BE211" s="0" t="inlineStr">
        <is>
          <t>25行 1列，源：2026-04-17 17:17:25 备：9999-12-31 23:59:59</t>
        </is>
      </c>
      <c r="BJ211" s="0" t="inlineStr">
        <is>
          <t>14行 5列，源：None 备：</t>
        </is>
      </c>
      <c r="BX211" s="0" t="inlineStr">
        <is>
          <t>23行 2列，源：2003-11-05 02:00:00.0 -05:10 备：2025-05-12 00:00:00.0 -14:00</t>
        </is>
      </c>
      <c r="CB211" s="0" t="inlineStr">
        <is>
          <t>26行 7列，源：2026-04-17 17:18:31.536981 +08:00 备：2063-05-11 10:30:45.123457 -04:00</t>
        </is>
      </c>
      <c r="CM211" s="0" t="inlineStr">
        <is>
          <t>13行 7列，源：None 备：</t>
        </is>
      </c>
      <c r="DA211" s="0" t="inlineStr">
        <is>
          <t>13行 1列，源：nan 备：</t>
        </is>
      </c>
      <c r="DL211" s="0" t="inlineStr">
        <is>
          <t>28行 1列，源：None 备：12:30:45</t>
        </is>
      </c>
      <c r="DX211" s="0" t="inlineStr">
        <is>
          <t>13行 15列，源：nan 备：</t>
        </is>
      </c>
      <c r="EH211" s="0" t="inlineStr">
        <is>
          <t>13行 15列，源：nan 备：</t>
        </is>
      </c>
      <c r="EP211" s="0" t="inlineStr">
        <is>
          <t>13行 15列，源：nan 备：</t>
        </is>
      </c>
      <c r="ES211" s="0" t="inlineStr">
        <is>
          <t>13行 15列，源：nan 备：</t>
        </is>
      </c>
    </row>
    <row r="212">
      <c r="B212" s="0" t="inlineStr">
        <is>
          <t>NULL</t>
        </is>
      </c>
      <c r="C212" s="0" t="inlineStr">
        <is>
          <t>NULL</t>
        </is>
      </c>
      <c r="D212" s="0" t="inlineStr">
        <is>
          <t>NULL</t>
        </is>
      </c>
      <c r="E212" s="0" t="inlineStr">
        <is>
          <t>NULL</t>
        </is>
      </c>
      <c r="F212" s="0" t="inlineStr">
        <is>
          <t>NULL</t>
        </is>
      </c>
      <c r="G212" s="0" t="inlineStr">
        <is>
          <t>NULL</t>
        </is>
      </c>
      <c r="H212" s="0" t="inlineStr">
        <is>
          <t>NULL</t>
        </is>
      </c>
      <c r="I212" s="0" t="inlineStr">
        <is>
          <t>NULL</t>
        </is>
      </c>
      <c r="J212" s="0" t="inlineStr">
        <is>
          <t>NULL</t>
        </is>
      </c>
      <c r="K212" s="0" t="inlineStr">
        <is>
          <t xml:space="preserve"> NO!  	 c_decimal19_4列源备映射错误，源端为decimal None位	期望更改为text	实际备端为decimal None位</t>
        </is>
      </c>
      <c r="AM212" s="0" t="inlineStr">
        <is>
          <t>18行 5列，源：None 备：</t>
        </is>
      </c>
      <c r="AS212" s="0" t="inlineStr">
        <is>
          <t>17行 14列，源：None 备：</t>
        </is>
      </c>
      <c r="BE212" s="0" t="inlineStr">
        <is>
          <t>25行 2列，源：2026-04-17 17:17:24.600000 备：9999-12-31 23:59:59.9</t>
        </is>
      </c>
      <c r="BJ212" s="0" t="inlineStr">
        <is>
          <t>14行 6列，源：None 备：</t>
        </is>
      </c>
      <c r="BX212" s="0" t="inlineStr">
        <is>
          <t>23行 3列，源：2003-11-05 02:00:00.00 -05:10 备：2025-05-12 00:00:00.00 -14:00</t>
        </is>
      </c>
      <c r="CB212" s="0" t="inlineStr">
        <is>
          <t>26行 8列，源：2026-04-17 17:18:31.5369809 +08:00 备：2063-05-11 10:30:45.1234567 -04:00</t>
        </is>
      </c>
      <c r="CM212" s="0" t="inlineStr">
        <is>
          <t>13行 8列，源：None 备：</t>
        </is>
      </c>
      <c r="DA212" s="0" t="inlineStr">
        <is>
          <t>13行 2列，源：nan 备：</t>
        </is>
      </c>
      <c r="DL212" s="0" t="inlineStr">
        <is>
          <t>28行 2列，源：00:00:01.100000 备：12:30:45.0</t>
        </is>
      </c>
      <c r="DX212" s="0" t="inlineStr">
        <is>
          <t>13行 16列，源：nan 备：</t>
        </is>
      </c>
      <c r="EH212" s="0" t="inlineStr">
        <is>
          <t>13行 16列，源：nan 备：</t>
        </is>
      </c>
      <c r="EP212" s="0" t="inlineStr">
        <is>
          <t>13行 16列，源：nan 备：</t>
        </is>
      </c>
      <c r="ES212" s="0" t="inlineStr">
        <is>
          <t>13行 16列，源：nan 备：</t>
        </is>
      </c>
    </row>
    <row r="213">
      <c r="B213" s="0" t="inlineStr">
        <is>
          <t>NULL</t>
        </is>
      </c>
      <c r="C213" s="0" t="inlineStr">
        <is>
          <t>NULL</t>
        </is>
      </c>
      <c r="D213" s="0" t="inlineStr">
        <is>
          <t>NULL</t>
        </is>
      </c>
      <c r="E213" s="0" t="inlineStr">
        <is>
          <t>NULL</t>
        </is>
      </c>
      <c r="F213" s="0" t="inlineStr">
        <is>
          <t>NULL</t>
        </is>
      </c>
      <c r="G213" s="0" t="inlineStr">
        <is>
          <t>NULL</t>
        </is>
      </c>
      <c r="H213" s="0" t="inlineStr">
        <is>
          <t>NULL</t>
        </is>
      </c>
      <c r="I213" s="0" t="inlineStr">
        <is>
          <t>NULL</t>
        </is>
      </c>
      <c r="J213" s="0" t="inlineStr">
        <is>
          <t>NULL</t>
        </is>
      </c>
      <c r="K213" s="0" t="inlineStr">
        <is>
          <t xml:space="preserve"> NO!  	 c_numeric列源备映射错误，源端为numeric None位	期望更改为text	实际备端为numeric None位</t>
        </is>
      </c>
      <c r="AM213" s="0" t="inlineStr">
        <is>
          <t>18行 6列，源：None 备：</t>
        </is>
      </c>
      <c r="AS213" s="0" t="inlineStr">
        <is>
          <t>17行 15列，源：1.23456789012345e-30 备：0.0000000000000</t>
        </is>
      </c>
      <c r="BE213" s="0" t="inlineStr">
        <is>
          <t>25行 3列，源：2026-04-17 17:17:24.630000 备：9999-12-31 23:59:59.99</t>
        </is>
      </c>
      <c r="BJ213" s="0" t="inlineStr">
        <is>
          <t>14行 7列，源：None 备：</t>
        </is>
      </c>
      <c r="BX213" s="0" t="inlineStr">
        <is>
          <t>23行 4列，源：2003-11-05 02:00:00.000 -05:10 备：2025-05-12 00:00:00.000 -14:00</t>
        </is>
      </c>
      <c r="CB213" s="0" t="inlineStr">
        <is>
          <t>27行 0列，源：104 备：57</t>
        </is>
      </c>
      <c r="CM213" s="0" t="inlineStr">
        <is>
          <t>13行 9列，源：None 备：</t>
        </is>
      </c>
      <c r="DA213" s="0" t="inlineStr">
        <is>
          <t>13行 3列，源：nan 备：</t>
        </is>
      </c>
      <c r="DL213" s="0" t="inlineStr">
        <is>
          <t>28行 3列，源：None 备：12:30:45.00</t>
        </is>
      </c>
      <c r="DX213" s="0" t="inlineStr">
        <is>
          <t>13行 17列，源：None 备：</t>
        </is>
      </c>
      <c r="EH213" s="0" t="inlineStr">
        <is>
          <t>13行 17列，源：None 备：</t>
        </is>
      </c>
      <c r="EP213" s="0" t="inlineStr">
        <is>
          <t>13行 17列，源：None 备：</t>
        </is>
      </c>
      <c r="ES213" s="0" t="inlineStr">
        <is>
          <t>13行 17列，源：None 备：</t>
        </is>
      </c>
    </row>
    <row r="214">
      <c r="B214" s="0" t="inlineStr">
        <is>
          <t>NULL</t>
        </is>
      </c>
      <c r="C214" s="0" t="inlineStr">
        <is>
          <t>NULL</t>
        </is>
      </c>
      <c r="D214" s="0" t="inlineStr">
        <is>
          <t>NULL</t>
        </is>
      </c>
      <c r="E214" s="0" t="inlineStr">
        <is>
          <t>NULL</t>
        </is>
      </c>
      <c r="F214" s="0" t="inlineStr">
        <is>
          <t>NULL</t>
        </is>
      </c>
      <c r="G214" s="0" t="inlineStr">
        <is>
          <t>NULL</t>
        </is>
      </c>
      <c r="H214" s="0" t="inlineStr">
        <is>
          <t>NULL</t>
        </is>
      </c>
      <c r="I214" s="0" t="inlineStr">
        <is>
          <t>NULL</t>
        </is>
      </c>
      <c r="J214" s="0" t="inlineStr">
        <is>
          <t>NULL</t>
        </is>
      </c>
      <c r="K214" s="0" t="inlineStr">
        <is>
          <t xml:space="preserve"> NO!  	 c_numeric38列源备映射错误，源端为numeric None位	期望更改为text	实际备端为numeric None位</t>
        </is>
      </c>
      <c r="AM214" s="0" t="inlineStr">
        <is>
          <t>18行 7列，源：None 备：</t>
        </is>
      </c>
      <c r="AS214" s="0" t="inlineStr">
        <is>
          <t>17行 16列，源：1.2345669834560371e-20 备：0.000000</t>
        </is>
      </c>
      <c r="BE214" s="0" t="inlineStr">
        <is>
          <t>25行 4列，源：2026-04-17 17:17:24.631000 备：9999-12-31 23:59:59.999</t>
        </is>
      </c>
      <c r="BJ214" s="0" t="inlineStr">
        <is>
          <t>14行 8列，源：None 备：</t>
        </is>
      </c>
      <c r="BX214" s="0" t="inlineStr">
        <is>
          <t>23行 5列，源：2003-11-05 02:00:00.0000 -05:10 备：2025-05-12 00:00:00.0000 -14:00</t>
        </is>
      </c>
      <c r="CB214" s="0" t="inlineStr">
        <is>
          <t>27行 1列，源：0001-01-01 00:00:00 +00:00 备：1933-05-11 15:30:45 +01:00</t>
        </is>
      </c>
      <c r="CM214" s="0" t="inlineStr">
        <is>
          <t>13行 10列，源：None 备：</t>
        </is>
      </c>
      <c r="DA214" s="0" t="inlineStr">
        <is>
          <t>13行 4列，源：nan 备：-223456789012</t>
        </is>
      </c>
      <c r="DL214" s="0" t="inlineStr">
        <is>
          <t>28行 4列，源：00:00:01.123000 备：12:30:45.000</t>
        </is>
      </c>
      <c r="DX214" s="0" t="inlineStr">
        <is>
          <t>13行 18列，源：None 备：</t>
        </is>
      </c>
      <c r="EH214" s="0" t="inlineStr">
        <is>
          <t>13行 18列，源：None 备：</t>
        </is>
      </c>
      <c r="EP214" s="0" t="inlineStr">
        <is>
          <t>13行 18列，源：None 备：</t>
        </is>
      </c>
      <c r="ES214" s="0" t="inlineStr">
        <is>
          <t>13行 18列，源：None 备：</t>
        </is>
      </c>
    </row>
    <row r="215">
      <c r="B215" s="0" t="inlineStr">
        <is>
          <t>NULL</t>
        </is>
      </c>
      <c r="C215" s="0" t="inlineStr">
        <is>
          <t>NULL</t>
        </is>
      </c>
      <c r="D215" s="0" t="inlineStr">
        <is>
          <t>NULL</t>
        </is>
      </c>
      <c r="E215" s="0" t="inlineStr">
        <is>
          <t>NULL</t>
        </is>
      </c>
      <c r="F215" s="0" t="inlineStr">
        <is>
          <t>NULL</t>
        </is>
      </c>
      <c r="G215" s="0" t="inlineStr">
        <is>
          <t>NULL</t>
        </is>
      </c>
      <c r="H215" s="0" t="inlineStr">
        <is>
          <t>NULL</t>
        </is>
      </c>
      <c r="I215" s="0" t="inlineStr">
        <is>
          <t>NULL</t>
        </is>
      </c>
      <c r="J215" s="0" t="inlineStr">
        <is>
          <t>NULL</t>
        </is>
      </c>
      <c r="K215" s="0" t="inlineStr">
        <is>
          <t xml:space="preserve"> NO!  	 c_numeric38_38列源备映射错误，源端为numeric None位	期望更改为text	实际备端为numeric None位</t>
        </is>
      </c>
      <c r="AM215" s="0" t="inlineStr">
        <is>
          <t>18行 8列，源：None 备：</t>
        </is>
      </c>
      <c r="AS215" s="0" t="inlineStr">
        <is>
          <t>17行 19列，源：False 备：0</t>
        </is>
      </c>
      <c r="BE215" s="0" t="inlineStr">
        <is>
          <t>25行 5列，源：2026-04-17 17:17:24.630600 备：9999-12-31 23:59:59.9999</t>
        </is>
      </c>
      <c r="BJ215" s="0" t="inlineStr">
        <is>
          <t>14行 9列，源：None 备：</t>
        </is>
      </c>
      <c r="BX215" s="0" t="inlineStr">
        <is>
          <t>23行 6列，源：2003-11-05 02:00:00.00000 -05:10 备：2025-05-12 00:00:00.00000 -14:00</t>
        </is>
      </c>
      <c r="CB215" s="0" t="inlineStr">
        <is>
          <t>27行 2列，源：0001-01-01 00:00:00.0 +00:00 备：1933-05-11 15:30:45.1 +01:00</t>
        </is>
      </c>
      <c r="CM215" s="0" t="inlineStr">
        <is>
          <t>13行 11列，源：None 备：</t>
        </is>
      </c>
      <c r="DA215" s="0" t="inlineStr">
        <is>
          <t>13行 5列，源：None 备：</t>
        </is>
      </c>
      <c r="DL215" s="0" t="inlineStr">
        <is>
          <t>28行 5列，源：None 备：12:30:45.0000</t>
        </is>
      </c>
      <c r="DX215" s="0" t="inlineStr">
        <is>
          <t>13行 19列，源：None 备：</t>
        </is>
      </c>
      <c r="EH215" s="0" t="inlineStr">
        <is>
          <t>13行 19列，源：None 备：</t>
        </is>
      </c>
      <c r="EP215" s="0" t="inlineStr">
        <is>
          <t>13行 19列，源：None 备：</t>
        </is>
      </c>
      <c r="ES215" s="0" t="inlineStr">
        <is>
          <t>13行 19列，源：None 备：</t>
        </is>
      </c>
    </row>
    <row r="216">
      <c r="B216" s="0" t="inlineStr">
        <is>
          <t>NULL</t>
        </is>
      </c>
      <c r="C216" s="0" t="inlineStr">
        <is>
          <t>NULL</t>
        </is>
      </c>
      <c r="D216" s="0" t="inlineStr">
        <is>
          <t>NULL</t>
        </is>
      </c>
      <c r="E216" s="0" t="inlineStr">
        <is>
          <t>NULL</t>
        </is>
      </c>
      <c r="F216" s="0" t="inlineStr">
        <is>
          <t>NULL</t>
        </is>
      </c>
      <c r="G216" s="0" t="inlineStr">
        <is>
          <t>NULL</t>
        </is>
      </c>
      <c r="H216" s="0" t="inlineStr">
        <is>
          <t>NULL</t>
        </is>
      </c>
      <c r="I216" s="0" t="inlineStr">
        <is>
          <t>NULL</t>
        </is>
      </c>
      <c r="J216" s="0" t="inlineStr">
        <is>
          <t>NULL</t>
        </is>
      </c>
      <c r="K216" s="0" t="inlineStr">
        <is>
          <t xml:space="preserve"> NO!  	 c_numeric38_10列源备映射错误，源端为numeric None位	期望更改为text	实际备端为numeric None位</t>
        </is>
      </c>
      <c r="AM216" s="0" t="inlineStr">
        <is>
          <t>18行 10列，源：None 备：</t>
        </is>
      </c>
      <c r="AS216" s="0" t="inlineStr">
        <is>
          <t>18行 0列，源：19 备：8</t>
        </is>
      </c>
      <c r="BE216" s="0" t="inlineStr">
        <is>
          <t>25行 6列，源：2026-04-17 17:17:24.630650 备：9999-12-31 23:59:59.99999</t>
        </is>
      </c>
      <c r="BJ216" s="0" t="inlineStr">
        <is>
          <t>14行 10列，源：None 备：</t>
        </is>
      </c>
      <c r="BX216" s="0" t="inlineStr">
        <is>
          <t>23行 7列，源：2003-11-05 02:00:00.000000 -05:10 备：2025-05-12 00:00:00.000000 -14:00</t>
        </is>
      </c>
      <c r="CB216" s="0" t="inlineStr">
        <is>
          <t>27行 3列，源：0001-01-01 00:00:00.00 +00:00 备：1933-05-11 15:30:45.12 +01:00</t>
        </is>
      </c>
      <c r="CM216" s="0" t="inlineStr">
        <is>
          <t>13行 12列，源：None 备：</t>
        </is>
      </c>
      <c r="DA216" s="0" t="inlineStr">
        <is>
          <t>13行 6列，源：None 备：</t>
        </is>
      </c>
      <c r="DL216" s="0" t="inlineStr">
        <is>
          <t>28行 6列，源：00:00:01.123460 备：12:30:45.00000</t>
        </is>
      </c>
      <c r="DX216" s="0" t="inlineStr">
        <is>
          <t>14行 0列，源：15 备：4</t>
        </is>
      </c>
      <c r="EH216" s="0" t="inlineStr">
        <is>
          <t>14行 0列，源：15 备：112</t>
        </is>
      </c>
      <c r="EP216" s="0" t="inlineStr">
        <is>
          <t>14行 0列，源：15 备：4</t>
        </is>
      </c>
      <c r="ES216" s="0" t="inlineStr">
        <is>
          <t>14行 0列，源：15 备：112</t>
        </is>
      </c>
    </row>
    <row r="217">
      <c r="B217" s="0" t="inlineStr">
        <is>
          <t>NULL</t>
        </is>
      </c>
      <c r="C217" s="0" t="inlineStr">
        <is>
          <t>NULL</t>
        </is>
      </c>
      <c r="D217" s="0" t="inlineStr">
        <is>
          <t>NULL</t>
        </is>
      </c>
      <c r="E217" s="0" t="inlineStr">
        <is>
          <t>NULL</t>
        </is>
      </c>
      <c r="F217" s="0" t="inlineStr">
        <is>
          <t>NULL</t>
        </is>
      </c>
      <c r="G217" s="0" t="inlineStr">
        <is>
          <t>NULL</t>
        </is>
      </c>
      <c r="H217" s="0" t="inlineStr">
        <is>
          <t>NULL</t>
        </is>
      </c>
      <c r="I217" s="0" t="inlineStr">
        <is>
          <t>NULL</t>
        </is>
      </c>
      <c r="J217" s="0" t="inlineStr">
        <is>
          <t>NULL</t>
        </is>
      </c>
      <c r="K217" s="0" t="inlineStr">
        <is>
          <t xml:space="preserve"> NO!  	 c_numeric18_2列源备映射错误，源端为numeric None位	期望更改为text	实际备端为numeric None位</t>
        </is>
      </c>
      <c r="AM217" s="0" t="inlineStr">
        <is>
          <t>18行 11列，源：None 备：</t>
        </is>
      </c>
      <c r="AS217" s="0" t="inlineStr">
        <is>
          <t>18行 2列，源：0.0 备：0</t>
        </is>
      </c>
      <c r="BE217" s="0" t="inlineStr">
        <is>
          <t>25行 7列，源：2026-04-17 17:17:24.630647 备：9999-12-31 23:59:59.999999</t>
        </is>
      </c>
      <c r="BJ217" s="0" t="inlineStr">
        <is>
          <t>14行 11列，源：None 备：</t>
        </is>
      </c>
      <c r="BX217" s="0" t="inlineStr">
        <is>
          <t>23行 8列，源：2003-11-05 02:00:00.0000000 -05:10 备：2025-05-11 23:59:59.9999999 -14:00</t>
        </is>
      </c>
      <c r="CB217" s="0" t="inlineStr">
        <is>
          <t>27行 4列，源：0001-01-01 00:00:00.000 +00:00 备：1933-05-11 15:30:45.123 +01:00</t>
        </is>
      </c>
      <c r="CM217" s="0" t="inlineStr">
        <is>
          <t>13行 13列，源：None 备：</t>
        </is>
      </c>
      <c r="DA217" s="0" t="inlineStr">
        <is>
          <t>13行 7列，源：None 备：</t>
        </is>
      </c>
      <c r="DL217" s="0" t="inlineStr">
        <is>
          <t>28行 7列，源：None 备：12:30:45.000000</t>
        </is>
      </c>
      <c r="DX217" s="0" t="inlineStr">
        <is>
          <t>14行 1列，源：nan 备：123</t>
        </is>
      </c>
      <c r="EH217" s="0" t="inlineStr">
        <is>
          <t>14行 1列，源：nan 备：</t>
        </is>
      </c>
      <c r="EP217" s="0" t="inlineStr">
        <is>
          <t>14行 1列，源：nan 备：123</t>
        </is>
      </c>
      <c r="ES217" s="0" t="inlineStr">
        <is>
          <t>14行 1列，源：nan 备：</t>
        </is>
      </c>
    </row>
    <row r="218">
      <c r="B218" s="0" t="inlineStr">
        <is>
          <t>NULL</t>
        </is>
      </c>
      <c r="C218" s="0" t="inlineStr">
        <is>
          <t>NULL</t>
        </is>
      </c>
      <c r="D218" s="0" t="inlineStr">
        <is>
          <t>NULL</t>
        </is>
      </c>
      <c r="E218" s="0" t="inlineStr">
        <is>
          <t>NULL</t>
        </is>
      </c>
      <c r="F218" s="0" t="inlineStr">
        <is>
          <t>NULL</t>
        </is>
      </c>
      <c r="G218" s="0" t="inlineStr">
        <is>
          <t>NULL</t>
        </is>
      </c>
      <c r="H218" s="0" t="inlineStr">
        <is>
          <t>NULL</t>
        </is>
      </c>
      <c r="I218" s="0" t="inlineStr">
        <is>
          <t>NULL</t>
        </is>
      </c>
      <c r="J218" s="0" t="inlineStr">
        <is>
          <t>NULL</t>
        </is>
      </c>
      <c r="K218" s="0" t="inlineStr">
        <is>
          <t xml:space="preserve"> NO!  	 c_float列源备映射错误，源端为float None位	期望更改为text	实际备端为float None位</t>
        </is>
      </c>
      <c r="AM218" s="0" t="inlineStr">
        <is>
          <t>18行 12列，源：None 备：</t>
        </is>
      </c>
      <c r="AS218" s="0" t="inlineStr">
        <is>
          <t>18行 6列，源：None 备：</t>
        </is>
      </c>
      <c r="BE218" s="0" t="inlineStr">
        <is>
          <t>25行 8列，源：2026-04-17 17:17:24.630646 备：9999-12-31 23:59:59.9999999</t>
        </is>
      </c>
      <c r="BJ218" s="0" t="inlineStr">
        <is>
          <t>14行 12列，源：None 备：</t>
        </is>
      </c>
      <c r="BX218" s="0" t="inlineStr">
        <is>
          <t>24行 0列，源：32 备：183</t>
        </is>
      </c>
      <c r="CB218" s="0" t="inlineStr">
        <is>
          <t>27行 5列，源：0001-01-01 00:00:00.0000 +00:00 备：1933-05-11 15:30:45.1235 +01:00</t>
        </is>
      </c>
      <c r="CM218" s="0" t="inlineStr">
        <is>
          <t>13行 14列，源：None 备：</t>
        </is>
      </c>
      <c r="DA218" s="0" t="inlineStr">
        <is>
          <t>13行 8列，源：None 备：</t>
        </is>
      </c>
      <c r="DL218" s="0" t="inlineStr">
        <is>
          <t>28行 8列，源：00:00:01.123456 备：12:30:45.0000000</t>
        </is>
      </c>
      <c r="DX218" s="0" t="inlineStr">
        <is>
          <t>14行 2列，源：nan 备：12345</t>
        </is>
      </c>
      <c r="EH218" s="0" t="inlineStr">
        <is>
          <t>14行 2列，源：nan 备：</t>
        </is>
      </c>
      <c r="EP218" s="0" t="inlineStr">
        <is>
          <t>14行 2列，源：nan 备：12345</t>
        </is>
      </c>
      <c r="ES218" s="0" t="inlineStr">
        <is>
          <t>14行 2列，源：nan 备：</t>
        </is>
      </c>
    </row>
    <row r="219">
      <c r="B219" s="0" t="inlineStr">
        <is>
          <t>NULL</t>
        </is>
      </c>
      <c r="C219" s="0" t="inlineStr">
        <is>
          <t>NULL</t>
        </is>
      </c>
      <c r="D219" s="0" t="inlineStr">
        <is>
          <t>NULL</t>
        </is>
      </c>
      <c r="E219" s="0" t="inlineStr">
        <is>
          <t>NULL</t>
        </is>
      </c>
      <c r="F219" s="0" t="inlineStr">
        <is>
          <t>NULL</t>
        </is>
      </c>
      <c r="G219" s="0" t="inlineStr">
        <is>
          <t>NULL</t>
        </is>
      </c>
      <c r="H219" s="0" t="inlineStr">
        <is>
          <t>NULL</t>
        </is>
      </c>
      <c r="I219" s="0" t="inlineStr">
        <is>
          <t>NULL</t>
        </is>
      </c>
      <c r="J219" s="0" t="inlineStr">
        <is>
          <t>NULL</t>
        </is>
      </c>
      <c r="K219" s="0" t="inlineStr">
        <is>
          <t xml:space="preserve"> NO!  	 c_real列源备映射错误，源端为real None位	期望更改为text	实际备端为real None位</t>
        </is>
      </c>
      <c r="AM219" s="0" t="inlineStr">
        <is>
          <t>18行 13列，源：None 备：</t>
        </is>
      </c>
      <c r="AS219" s="0" t="inlineStr">
        <is>
          <t>18行 7列，源：None 备：</t>
        </is>
      </c>
      <c r="BE219" s="0" t="inlineStr">
        <is>
          <t>26行 0列，源：225 备：377</t>
        </is>
      </c>
      <c r="BJ219" s="0" t="inlineStr">
        <is>
          <t>14行 13列，源：None 备：</t>
        </is>
      </c>
      <c r="BX219" s="0" t="inlineStr">
        <is>
          <t>24行 1列，源：2025-05-12 00:00:00 -14:00 备：1971-05-11 00:00:00 +14:00</t>
        </is>
      </c>
      <c r="CB219" s="0" t="inlineStr">
        <is>
          <t>27行 6列，源：0001-01-01 00:00:00.00000 +00:00 备：1933-05-11 15:30:45.12346 +01:00</t>
        </is>
      </c>
      <c r="CM219" s="0" t="inlineStr">
        <is>
          <t>13行 15列，源：nan 备：</t>
        </is>
      </c>
      <c r="DA219" s="0" t="inlineStr">
        <is>
          <t>13行 9列，源：None 备：</t>
        </is>
      </c>
      <c r="DL219" s="0" t="inlineStr">
        <is>
          <t>29行 0列，源：34 备：5</t>
        </is>
      </c>
      <c r="DX219" s="0" t="inlineStr">
        <is>
          <t>14行 3列，源：nan 备：1234567890</t>
        </is>
      </c>
      <c r="EH219" s="0" t="inlineStr">
        <is>
          <t>14行 3列，源：nan 备：</t>
        </is>
      </c>
      <c r="EP219" s="0" t="inlineStr">
        <is>
          <t>14行 3列，源：nan 备：1234567890</t>
        </is>
      </c>
      <c r="ES219" s="0" t="inlineStr">
        <is>
          <t>14行 3列，源：nan 备：</t>
        </is>
      </c>
    </row>
    <row r="220">
      <c r="B220" s="0" t="inlineStr">
        <is>
          <t>NULL</t>
        </is>
      </c>
      <c r="C220" s="0" t="inlineStr">
        <is>
          <t>NULL</t>
        </is>
      </c>
      <c r="D220" s="0" t="inlineStr">
        <is>
          <t>NULL</t>
        </is>
      </c>
      <c r="E220" s="0" t="inlineStr">
        <is>
          <t>NULL</t>
        </is>
      </c>
      <c r="F220" s="0" t="inlineStr">
        <is>
          <t>NULL</t>
        </is>
      </c>
      <c r="G220" s="0" t="inlineStr">
        <is>
          <t>NULL</t>
        </is>
      </c>
      <c r="H220" s="0" t="inlineStr">
        <is>
          <t>NULL</t>
        </is>
      </c>
      <c r="I220" s="0" t="inlineStr">
        <is>
          <t>NULL</t>
        </is>
      </c>
      <c r="J220" s="0" t="inlineStr">
        <is>
          <t>NULL</t>
        </is>
      </c>
      <c r="K220" s="0" t="inlineStr">
        <is>
          <t xml:space="preserve"> NO!  	 c_money列源备映射错误，源端为money None位	期望更改为text	实际备端为money None位</t>
        </is>
      </c>
      <c r="AM220" s="0" t="inlineStr">
        <is>
          <t>18行 14列，源：None 备：</t>
        </is>
      </c>
      <c r="AS220" s="0" t="inlineStr">
        <is>
          <t>18行 8列，源：None 备：</t>
        </is>
      </c>
      <c r="BE220" s="0" t="inlineStr">
        <is>
          <t>26行 1列，源：9999-12-31 23:59:59 备：2065-05-11 14:30:45</t>
        </is>
      </c>
      <c r="BJ220" s="0" t="inlineStr">
        <is>
          <t>14行 14列，源：None 备：</t>
        </is>
      </c>
      <c r="BX220" s="0" t="inlineStr">
        <is>
          <t>24行 2列，源：2025-05-12 00:00:00.0 -14:00 备：1971-05-11 00:00:00.0 +14:00</t>
        </is>
      </c>
      <c r="CB220" s="0" t="inlineStr">
        <is>
          <t>27行 7列，源：0001-01-01 00:00:00.000000 +00:00 备：1933-05-11 15:30:45.123457 +01:00</t>
        </is>
      </c>
      <c r="CM220" s="0" t="inlineStr">
        <is>
          <t>13行 16列，源：nan 备：</t>
        </is>
      </c>
      <c r="DA220" s="0" t="inlineStr">
        <is>
          <t>13行 10列，源：None 备：</t>
        </is>
      </c>
      <c r="DL220" s="0" t="inlineStr">
        <is>
          <t>29行 1列，源：None 备：12:30:45</t>
        </is>
      </c>
      <c r="DX220" s="0" t="inlineStr">
        <is>
          <t>14行 4列，源：nan 备：1234567890123456</t>
        </is>
      </c>
      <c r="EH220" s="0" t="inlineStr">
        <is>
          <t>14行 4列，源：nan 备：</t>
        </is>
      </c>
      <c r="EP220" s="0" t="inlineStr">
        <is>
          <t>14行 4列，源：nan 备：1234567890123456</t>
        </is>
      </c>
      <c r="ES220" s="0" t="inlineStr">
        <is>
          <t>14行 4列，源：nan 备：</t>
        </is>
      </c>
    </row>
    <row r="221">
      <c r="B221" s="0" t="inlineStr">
        <is>
          <t>NULL</t>
        </is>
      </c>
      <c r="C221" s="0" t="inlineStr">
        <is>
          <t>NULL</t>
        </is>
      </c>
      <c r="D221" s="0" t="inlineStr">
        <is>
          <t>NULL</t>
        </is>
      </c>
      <c r="E221" s="0" t="inlineStr">
        <is>
          <t>NULL</t>
        </is>
      </c>
      <c r="F221" s="0" t="inlineStr">
        <is>
          <t>NULL</t>
        </is>
      </c>
      <c r="G221" s="0" t="inlineStr">
        <is>
          <t>NULL</t>
        </is>
      </c>
      <c r="H221" s="0" t="inlineStr">
        <is>
          <t>NULL</t>
        </is>
      </c>
      <c r="I221" s="0" t="inlineStr">
        <is>
          <t>NULL</t>
        </is>
      </c>
      <c r="J221" s="0" t="inlineStr">
        <is>
          <t>NULL</t>
        </is>
      </c>
      <c r="K221" s="0" t="inlineStr">
        <is>
          <t xml:space="preserve"> NO!  	 c_smallmoney列源备映射错误，源端为smallmoney None位	期望更改为text	实际备端为smallmoney None位</t>
        </is>
      </c>
      <c r="AM221" s="0" t="inlineStr">
        <is>
          <t>18行 15列，源：1.23456789012345e-30 备：0.0000000000000</t>
        </is>
      </c>
      <c r="AS221" s="0" t="inlineStr">
        <is>
          <t>18行 10列，源：None 备：</t>
        </is>
      </c>
      <c r="BE221" s="0" t="inlineStr">
        <is>
          <t>26行 2列，源：9999-12-31 23:59:59.900000 备：2065-05-11 14:30:45.1</t>
        </is>
      </c>
      <c r="BJ221" s="0" t="inlineStr">
        <is>
          <t>14行 15列，源：1.23456789e+38 备：</t>
        </is>
      </c>
      <c r="BX221" s="0" t="inlineStr">
        <is>
          <t>24行 3列，源：2025-05-12 00:00:00.00 -14:00 备：1971-05-11 00:00:00.00 +14:00</t>
        </is>
      </c>
      <c r="CB221" s="0" t="inlineStr">
        <is>
          <t>27行 8列，源：0001-01-01 00:00:00.0000000 +00:00 备：1933-05-11 15:30:45.1234567 +01:00</t>
        </is>
      </c>
      <c r="CM221" s="0" t="inlineStr">
        <is>
          <t>13行 19列，源：None 备：</t>
        </is>
      </c>
      <c r="DA221" s="0" t="inlineStr">
        <is>
          <t>13行 11列，源：None 备：</t>
        </is>
      </c>
      <c r="DL221" s="0" t="inlineStr">
        <is>
          <t>29行 2列，源：12:00:00.100000 备：12:30:45.1</t>
        </is>
      </c>
      <c r="DX221" s="0" t="inlineStr">
        <is>
          <t>14行 15列，源：nan 备：0.0000000000000</t>
        </is>
      </c>
      <c r="EH221" s="0" t="inlineStr">
        <is>
          <t>14行 15列，源：nan 备：</t>
        </is>
      </c>
      <c r="EP221" s="0" t="inlineStr">
        <is>
          <t>14行 15列，源：nan 备：0.0000000000000</t>
        </is>
      </c>
      <c r="ES221" s="0" t="inlineStr">
        <is>
          <t>14行 15列，源：nan 备：</t>
        </is>
      </c>
    </row>
    <row r="222">
      <c r="B222" s="0" t="inlineStr">
        <is>
          <t>NULL</t>
        </is>
      </c>
      <c r="C222" s="0" t="inlineStr">
        <is>
          <t>NULL</t>
        </is>
      </c>
      <c r="D222" s="0" t="inlineStr">
        <is>
          <t>NULL</t>
        </is>
      </c>
      <c r="E222" s="0" t="inlineStr">
        <is>
          <t>NULL</t>
        </is>
      </c>
      <c r="F222" s="0" t="inlineStr">
        <is>
          <t>NULL</t>
        </is>
      </c>
      <c r="G222" s="0" t="inlineStr">
        <is>
          <t>NULL</t>
        </is>
      </c>
      <c r="H222" s="0" t="inlineStr">
        <is>
          <t>NULL</t>
        </is>
      </c>
      <c r="I222" s="0" t="inlineStr">
        <is>
          <t>NULL</t>
        </is>
      </c>
      <c r="J222" s="0" t="inlineStr">
        <is>
          <t>NULL</t>
        </is>
      </c>
      <c r="K222" s="0" t="inlineStr">
        <is>
          <t xml:space="preserve"> NO!  	 c_bit列源备映射错误，源端为bit None位	期望更改为text	实际备端为bit None位</t>
        </is>
      </c>
      <c r="AM222" s="0" t="inlineStr">
        <is>
          <t>18行 16列，源：1.2345669834560371e-20 备：0.000000</t>
        </is>
      </c>
      <c r="AS222" s="0" t="inlineStr">
        <is>
          <t>18行 11列，源：None 备：</t>
        </is>
      </c>
      <c r="BE222" s="0" t="inlineStr">
        <is>
          <t>26行 3列，源：9999-12-31 23:59:59.990000 备：2065-05-11 14:30:45.12</t>
        </is>
      </c>
      <c r="BJ222" s="0" t="inlineStr">
        <is>
          <t>14行 16列，源：3.4028230607370965e+38 备：</t>
        </is>
      </c>
      <c r="BX222" s="0" t="inlineStr">
        <is>
          <t>24行 4列，源：2025-05-12 00:00:00.000 -14:00 备：1971-05-11 00:00:00.000 +14:00</t>
        </is>
      </c>
      <c r="CB222" s="0" t="inlineStr">
        <is>
          <t>28行 0列，源：107 备：58</t>
        </is>
      </c>
      <c r="CM222" s="0" t="inlineStr">
        <is>
          <t>14行 0列，源：15 备：23</t>
        </is>
      </c>
      <c r="DA222" s="0" t="inlineStr">
        <is>
          <t>13行 12列，源：None 备：</t>
        </is>
      </c>
      <c r="DL222" s="0" t="inlineStr">
        <is>
          <t>29行 3列，源：None 备：12:30:45.10</t>
        </is>
      </c>
      <c r="DX222" s="0" t="inlineStr">
        <is>
          <t>14行 16列，源：nan 备：299792448.000000</t>
        </is>
      </c>
      <c r="EH222" s="0" t="inlineStr">
        <is>
          <t>14行 16列，源：nan 备：</t>
        </is>
      </c>
      <c r="EP222" s="0" t="inlineStr">
        <is>
          <t>14行 16列，源：nan 备：299792448.000000</t>
        </is>
      </c>
      <c r="ES222" s="0" t="inlineStr">
        <is>
          <t>14行 16列，源：nan 备：</t>
        </is>
      </c>
    </row>
    <row r="223">
      <c r="K223" s="0" t="inlineStr">
        <is>
          <t>~ 空表</t>
        </is>
      </c>
      <c r="AM223" s="0" t="inlineStr">
        <is>
          <t>18行 19列，源：False 备：0</t>
        </is>
      </c>
      <c r="AS223" s="0" t="inlineStr">
        <is>
          <t>18行 12列，源：None 备：</t>
        </is>
      </c>
      <c r="BE223" s="0" t="inlineStr">
        <is>
          <t>26行 4列，源：9999-12-31 23:59:59.999000 备：2065-05-11 14:30:45.123</t>
        </is>
      </c>
      <c r="BJ223" s="0" t="inlineStr">
        <is>
          <t>14行 19列，源：True 备：</t>
        </is>
      </c>
      <c r="BX223" s="0" t="inlineStr">
        <is>
          <t>24行 5列，源：2025-05-12 00:00:00.0000 -14:00 备：1971-05-11 00:00:00.0000 +14:00</t>
        </is>
      </c>
      <c r="CB223" s="0" t="inlineStr">
        <is>
          <t>28行 1列，源：1933-05-11 15:30:45 +01:00 备：2000-05-11 00:30:45 +09:00</t>
        </is>
      </c>
      <c r="CM223" s="0" t="inlineStr">
        <is>
          <t>14行 1列，源：nan 备：</t>
        </is>
      </c>
      <c r="DA223" s="0" t="inlineStr">
        <is>
          <t>13行 13列，源：None 备：</t>
        </is>
      </c>
      <c r="DL223" s="0" t="inlineStr">
        <is>
          <t>29行 4列，源：12:00:00.123000 备：12:30:45.100</t>
        </is>
      </c>
      <c r="DX223" s="0" t="inlineStr">
        <is>
          <t>14行 17列，源：None 备：-500000.0000</t>
        </is>
      </c>
      <c r="EH223" s="0" t="inlineStr">
        <is>
          <t>14行 17列，源：None 备：</t>
        </is>
      </c>
      <c r="EP223" s="0" t="inlineStr">
        <is>
          <t>14行 17列，源：None 备：-500000.0000</t>
        </is>
      </c>
      <c r="ES223" s="0" t="inlineStr">
        <is>
          <t>14行 17列，源：None 备：</t>
        </is>
      </c>
    </row>
    <row r="224">
      <c r="A224" s="0" t="inlineStr">
        <is>
          <t>info_geometry_dml_single_pk_drp</t>
        </is>
      </c>
      <c r="K224" s="0" t="inlineStr">
        <is>
          <t>[0;34m info_geometry_dml_single_pk_drp [0m源备字段数相同，源端字段：2 	备端字段2</t>
        </is>
      </c>
      <c r="W224" s="0" t="inlineStr">
        <is>
          <t>YES 源备无差异</t>
        </is>
      </c>
      <c r="X224" s="0">
        <f>A224</f>
        <v/>
      </c>
      <c r="AM224" s="0" t="inlineStr">
        <is>
          <t>19行 0列，源：20 备：9</t>
        </is>
      </c>
      <c r="AS224" s="0" t="inlineStr">
        <is>
          <t>18行 13列，源：None 备：</t>
        </is>
      </c>
      <c r="BE224" s="0" t="inlineStr">
        <is>
          <t>26行 5列，源：9999-12-31 23:59:59.999900 备：2065-05-11 14:30:45.1235</t>
        </is>
      </c>
      <c r="BJ224" s="0" t="inlineStr">
        <is>
          <t>15行 0列，源：17 备：6</t>
        </is>
      </c>
      <c r="BX224" s="0" t="inlineStr">
        <is>
          <t>24行 6列，源：2025-05-12 00:00:00.00000 -14:00 备：1971-05-11 00:00:00.00000 +14:00</t>
        </is>
      </c>
      <c r="CB224" s="0" t="inlineStr">
        <is>
          <t>28行 2列，源：1933-05-11 15:30:45.1 +01:00 备：2000-05-11 00:30:45.1 +09:00</t>
        </is>
      </c>
      <c r="CM224" s="0" t="inlineStr">
        <is>
          <t>14行 2列，源：nan 备：</t>
        </is>
      </c>
      <c r="DA224" s="0" t="inlineStr">
        <is>
          <t>13行 14列，源：None 备：</t>
        </is>
      </c>
      <c r="DL224" s="0" t="inlineStr">
        <is>
          <t>29行 5列，源：None 备：12:30:45.1000</t>
        </is>
      </c>
      <c r="DX224" s="0" t="inlineStr">
        <is>
          <t>14行 18列，源：None 备：1234.5678</t>
        </is>
      </c>
      <c r="EH224" s="0" t="inlineStr">
        <is>
          <t>14行 18列，源：None 备：</t>
        </is>
      </c>
      <c r="EP224" s="0" t="inlineStr">
        <is>
          <t>14行 18列，源：None 备：1234.5678</t>
        </is>
      </c>
      <c r="ES224" s="0" t="inlineStr">
        <is>
          <t>14行 18列，源：None 备：</t>
        </is>
      </c>
    </row>
    <row r="225">
      <c r="B225" s="0" t="inlineStr">
        <is>
          <t>YES</t>
        </is>
      </c>
      <c r="C225" s="0" t="inlineStr">
        <is>
          <t>NULL</t>
        </is>
      </c>
      <c r="D225" s="0" t="inlineStr">
        <is>
          <t>NULL</t>
        </is>
      </c>
      <c r="E225" s="0" t="inlineStr">
        <is>
          <t>NULL</t>
        </is>
      </c>
      <c r="F225" s="0" t="inlineStr">
        <is>
          <t>NULL</t>
        </is>
      </c>
      <c r="G225" s="0" t="inlineStr">
        <is>
          <t>NULL</t>
        </is>
      </c>
      <c r="H225" s="0" t="inlineStr">
        <is>
          <t>NULL</t>
        </is>
      </c>
      <c r="I225" s="0" t="inlineStr">
        <is>
          <t>YES!PK__info_geo__3213E83FE0A4EF05</t>
        </is>
      </c>
      <c r="J225" s="0" t="inlineStr">
        <is>
          <t>YES! 主键相关索引</t>
        </is>
      </c>
      <c r="K225" s="0" t="inlineStr">
        <is>
          <t xml:space="preserve"> NO!  	 id列源备映射错误，源端为int None位	期望更改为text	实际备端为int None位</t>
        </is>
      </c>
      <c r="AM225" s="0" t="inlineStr">
        <is>
          <t>19行 2列，源：nan 备：12345</t>
        </is>
      </c>
      <c r="AS225" s="0" t="inlineStr">
        <is>
          <t>18行 14列，源：None 备：</t>
        </is>
      </c>
      <c r="BE225" s="0" t="inlineStr">
        <is>
          <t>26行 6列，源：9999-12-31 23:59:59.999990 备：2065-05-11 14:30:45.12346</t>
        </is>
      </c>
      <c r="BJ225" s="0" t="inlineStr">
        <is>
          <t>15行 1列，源：nan 备：127</t>
        </is>
      </c>
      <c r="BX225" s="0" t="inlineStr">
        <is>
          <t>24行 7列，源：2025-05-12 00:00:00.000000 -14:00 备：1971-05-11 00:00:00.000000 +14:00</t>
        </is>
      </c>
      <c r="CB225" s="0" t="inlineStr">
        <is>
          <t>28行 3列，源：1933-05-11 15:30:45.12 +01:00 备：2000-05-11 00:30:45.12 +09:00</t>
        </is>
      </c>
      <c r="CM225" s="0" t="inlineStr">
        <is>
          <t>14行 3列，源：nan 备：</t>
        </is>
      </c>
      <c r="DA225" s="0" t="inlineStr">
        <is>
          <t>13行 15列，源：nan 备：</t>
        </is>
      </c>
      <c r="DL225" s="0" t="inlineStr">
        <is>
          <t>29行 6列，源：12:00:00.123460 备：12:30:45.10000</t>
        </is>
      </c>
      <c r="DX225" s="0" t="inlineStr">
        <is>
          <t>14行 19列，源：None 备：1</t>
        </is>
      </c>
      <c r="EH225" s="0" t="inlineStr">
        <is>
          <t>14行 19列，源：None 备：</t>
        </is>
      </c>
      <c r="EP225" s="0" t="inlineStr">
        <is>
          <t>14行 19列，源：None 备：1</t>
        </is>
      </c>
      <c r="ES225" s="0" t="inlineStr">
        <is>
          <t>14行 19列，源：None 备：</t>
        </is>
      </c>
    </row>
    <row r="226">
      <c r="B226" s="0" t="inlineStr">
        <is>
          <t>NULL</t>
        </is>
      </c>
      <c r="C226" s="0" t="inlineStr">
        <is>
          <t>NULL</t>
        </is>
      </c>
      <c r="D226" s="0" t="inlineStr">
        <is>
          <t>NULL</t>
        </is>
      </c>
      <c r="E226" s="0" t="inlineStr">
        <is>
          <t>NULL</t>
        </is>
      </c>
      <c r="F226" s="0" t="inlineStr">
        <is>
          <t>NULL</t>
        </is>
      </c>
      <c r="G226" s="0" t="inlineStr">
        <is>
          <t>NULL</t>
        </is>
      </c>
      <c r="H226" s="0" t="inlineStr">
        <is>
          <t>NULL</t>
        </is>
      </c>
      <c r="I226" s="0" t="inlineStr">
        <is>
          <t>NULL</t>
        </is>
      </c>
      <c r="J226" s="0" t="inlineStr">
        <is>
          <t>NULL</t>
        </is>
      </c>
      <c r="K226" s="0" t="inlineStr">
        <is>
          <t xml:space="preserve"> NO!  	 c_geometry列源备映射错误，源端为geometry -1位	期望更改为text	实际备端为geometry -1位</t>
        </is>
      </c>
      <c r="AM226" s="0" t="inlineStr">
        <is>
          <t>19行 5列，源：None 备：</t>
        </is>
      </c>
      <c r="AS226" s="0" t="inlineStr">
        <is>
          <t>18行 15列，源：123.456789 备：123.4567890000000</t>
        </is>
      </c>
      <c r="BE226" s="0" t="inlineStr">
        <is>
          <t>26行 7列，源：9999-12-31 23:59:59.999999 备：2065-05-11 14:30:45.123457</t>
        </is>
      </c>
      <c r="BJ226" s="0" t="inlineStr">
        <is>
          <t>15行 2列，源：nan 备：0</t>
        </is>
      </c>
      <c r="BX226" s="0" t="inlineStr">
        <is>
          <t>24行 8列，源：2025-05-11 23:59:59.9999999 -14:00 备：1971-05-11 00:00:00.0000001 +14:00</t>
        </is>
      </c>
      <c r="CB226" s="0" t="inlineStr">
        <is>
          <t>28行 4列，源：1933-05-11 15:30:45.123 +01:00 备：2000-05-11 00:30:45.123 +09:00</t>
        </is>
      </c>
      <c r="CM226" s="0" t="inlineStr">
        <is>
          <t>14行 4列，源：nan 备：-223456789012</t>
        </is>
      </c>
      <c r="DA226" s="0" t="inlineStr">
        <is>
          <t>13行 16列，源：nan 备：</t>
        </is>
      </c>
      <c r="DL226" s="0" t="inlineStr">
        <is>
          <t>29行 7列，源：None 备：12:30:45.100000</t>
        </is>
      </c>
      <c r="DX226" s="0" t="inlineStr">
        <is>
          <t>15行 0列，源：16 备：5</t>
        </is>
      </c>
      <c r="EH226" s="0" t="inlineStr">
        <is>
          <t>15行 0列，源：16 备：113</t>
        </is>
      </c>
      <c r="EP226" s="0" t="inlineStr">
        <is>
          <t>15行 0列，源：16 备：5</t>
        </is>
      </c>
      <c r="ES226" s="0" t="inlineStr">
        <is>
          <t>15行 0列，源：16 备：113</t>
        </is>
      </c>
    </row>
    <row r="227">
      <c r="A227" s="0" t="inlineStr">
        <is>
          <t>info_geometry_dml_single_pk</t>
        </is>
      </c>
      <c r="K227" s="0" t="inlineStr">
        <is>
          <t>[0;34m info_geometry_dml_single_pk [0m源备字段数相同，源端字段：2 	备端字段2</t>
        </is>
      </c>
      <c r="W227" s="2">
        <f>HYPERLINK("#2026041905hbase4!AW2","NO 源备存在差异，共2个")</f>
        <v/>
      </c>
      <c r="X227" s="0">
        <f>A227</f>
        <v/>
      </c>
      <c r="AM227" s="0" t="inlineStr">
        <is>
          <t>19行 6列，源：None 备：</t>
        </is>
      </c>
      <c r="AS227" s="0" t="inlineStr">
        <is>
          <t>18行 16列，源：1.2345669834560371e-20 备：0.000000</t>
        </is>
      </c>
      <c r="BE227" s="0" t="inlineStr">
        <is>
          <t>26行 8列，源：9999-12-31 23:59:59.999999 备：2065-05-11 14:30:45.1234567</t>
        </is>
      </c>
      <c r="BJ227" s="0" t="inlineStr">
        <is>
          <t>15行 3列，源：nan 备：0</t>
        </is>
      </c>
      <c r="BX227" s="0" t="inlineStr">
        <is>
          <t>25行 0列，源：33 备：2</t>
        </is>
      </c>
      <c r="CB227" s="0" t="inlineStr">
        <is>
          <t>28行 5列，源：1933-05-11 15:30:45.1235 +01:00 备：2000-05-11 00:30:45.1235 +09:00</t>
        </is>
      </c>
      <c r="CM227" s="0" t="inlineStr">
        <is>
          <t>14行 5列，源：None 备：</t>
        </is>
      </c>
      <c r="DA227" s="0" t="inlineStr">
        <is>
          <t>13行 19列，源：None 备：</t>
        </is>
      </c>
      <c r="DL227" s="0" t="inlineStr">
        <is>
          <t>29行 8列，源：12:00:00.123456 备：12:30:45.1000000</t>
        </is>
      </c>
      <c r="DX227" s="0" t="inlineStr">
        <is>
          <t>15行 1列，源：nan 备：0</t>
        </is>
      </c>
      <c r="EH227" s="0" t="inlineStr">
        <is>
          <t>15行 1列，源：nan 备：</t>
        </is>
      </c>
      <c r="EP227" s="0" t="inlineStr">
        <is>
          <t>15行 1列，源：nan 备：0</t>
        </is>
      </c>
      <c r="ES227" s="0" t="inlineStr">
        <is>
          <t>15行 1列，源：nan 备：</t>
        </is>
      </c>
    </row>
    <row r="228">
      <c r="B228" s="0" t="inlineStr">
        <is>
          <t>YES</t>
        </is>
      </c>
      <c r="C228" s="0" t="inlineStr">
        <is>
          <t>NULL</t>
        </is>
      </c>
      <c r="D228" s="0" t="inlineStr">
        <is>
          <t>NULL</t>
        </is>
      </c>
      <c r="E228" s="0" t="inlineStr">
        <is>
          <t>NULL</t>
        </is>
      </c>
      <c r="F228" s="0" t="inlineStr">
        <is>
          <t>NULL</t>
        </is>
      </c>
      <c r="G228" s="0" t="inlineStr">
        <is>
          <t>NULL</t>
        </is>
      </c>
      <c r="H228" s="0" t="inlineStr">
        <is>
          <t>NULL</t>
        </is>
      </c>
      <c r="I228" s="0" t="inlineStr">
        <is>
          <t>YES!PK__info_geo__3213E83F16C71C15</t>
        </is>
      </c>
      <c r="J228" s="0" t="inlineStr">
        <is>
          <t>YES! 主键相关索引</t>
        </is>
      </c>
      <c r="K228" s="0" t="inlineStr">
        <is>
          <t xml:space="preserve"> NO!  	 id列源备映射错误，源端为int None位	期望更改为text	实际备端为int None位</t>
        </is>
      </c>
      <c r="AM228" s="0" t="inlineStr">
        <is>
          <t>19行 7列，源：None 备：</t>
        </is>
      </c>
      <c r="AS228" s="0" t="inlineStr">
        <is>
          <t>18行 19列，源：True 备：1</t>
        </is>
      </c>
      <c r="BE228" s="0" t="inlineStr">
        <is>
          <t>27行 0列，源：227 备：4</t>
        </is>
      </c>
      <c r="BJ228" s="0" t="inlineStr">
        <is>
          <t>15行 4列，源：nan 备：0</t>
        </is>
      </c>
      <c r="BX228" s="0" t="inlineStr">
        <is>
          <t>25行 1列，源：1971-05-11 00:00:00 +14:00 备：1900-01-01 00:00:00 +00:00</t>
        </is>
      </c>
      <c r="CB228" s="0" t="inlineStr">
        <is>
          <t>28行 6列，源：1933-05-11 15:30:45.12346 +01:00 备：2000-05-11 00:30:45.12346 +09:00</t>
        </is>
      </c>
      <c r="CM228" s="0" t="inlineStr">
        <is>
          <t>14行 6列，源：None 备：</t>
        </is>
      </c>
      <c r="DA228" s="0" t="inlineStr">
        <is>
          <t>14行 0列，源：19 备：24</t>
        </is>
      </c>
      <c r="DL228" s="0" t="inlineStr">
        <is>
          <t>30行 0列，源：35 备：6</t>
        </is>
      </c>
      <c r="DX228" s="0" t="inlineStr">
        <is>
          <t>15行 2列，源：nan 备：0</t>
        </is>
      </c>
      <c r="EH228" s="0" t="inlineStr">
        <is>
          <t>15行 2列，源：nan 备：</t>
        </is>
      </c>
      <c r="EP228" s="0" t="inlineStr">
        <is>
          <t>15行 2列，源：nan 备：0</t>
        </is>
      </c>
      <c r="ES228" s="0" t="inlineStr">
        <is>
          <t>15行 2列，源：nan 备：</t>
        </is>
      </c>
    </row>
    <row r="229">
      <c r="B229" s="0" t="inlineStr">
        <is>
          <t>NULL</t>
        </is>
      </c>
      <c r="C229" s="0" t="inlineStr">
        <is>
          <t>NULL</t>
        </is>
      </c>
      <c r="D229" s="0" t="inlineStr">
        <is>
          <t>NULL</t>
        </is>
      </c>
      <c r="E229" s="0" t="inlineStr">
        <is>
          <t>NULL</t>
        </is>
      </c>
      <c r="F229" s="0" t="inlineStr">
        <is>
          <t>NULL</t>
        </is>
      </c>
      <c r="G229" s="0" t="inlineStr">
        <is>
          <t>NULL</t>
        </is>
      </c>
      <c r="H229" s="0" t="inlineStr">
        <is>
          <t>NULL</t>
        </is>
      </c>
      <c r="I229" s="0" t="inlineStr">
        <is>
          <t>NULL</t>
        </is>
      </c>
      <c r="J229" s="0" t="inlineStr">
        <is>
          <t>NULL</t>
        </is>
      </c>
      <c r="K229" s="0" t="inlineStr">
        <is>
          <t xml:space="preserve"> NO!  	 c_geometry列源备映射错误，源端为geometry -1位	期望更改为text	实际备端为geometry -1位</t>
        </is>
      </c>
      <c r="AM229" s="0" t="inlineStr">
        <is>
          <t>19行 8列，源：None 备：</t>
        </is>
      </c>
      <c r="AS229" s="0" t="inlineStr">
        <is>
          <t>19行 0列，源：20 备：9</t>
        </is>
      </c>
      <c r="BE229" s="0" t="inlineStr">
        <is>
          <t>27行 1列，源：2065-05-11 14:30:45 备：0001-01-01 00:00:00</t>
        </is>
      </c>
      <c r="BJ229" s="0" t="inlineStr">
        <is>
          <t>15行 5列，源：None 备：</t>
        </is>
      </c>
      <c r="BX229" s="0" t="inlineStr">
        <is>
          <t>25行 2列，源：1971-05-11 00:00:00.0 +14:00 备：1900-01-01 00:00:00.0 +00:00</t>
        </is>
      </c>
      <c r="CB229" s="0" t="inlineStr">
        <is>
          <t>28行 7列，源：1933-05-11 15:30:45.123457 +01:00 备：2000-05-11 00:30:45.123457 +09:00</t>
        </is>
      </c>
      <c r="CM229" s="0" t="inlineStr">
        <is>
          <t>14行 7列，源：None 备：</t>
        </is>
      </c>
      <c r="DA229" s="0" t="inlineStr">
        <is>
          <t>14行 1列，源：nan 备：</t>
        </is>
      </c>
      <c r="DL229" s="0" t="inlineStr">
        <is>
          <t>30行 1列，源：00:00:01 备：12:30:45</t>
        </is>
      </c>
      <c r="DX229" s="0" t="inlineStr">
        <is>
          <t>15行 3列，源：nan 备：0</t>
        </is>
      </c>
      <c r="EH229" s="0" t="inlineStr">
        <is>
          <t>15行 3列，源：nan 备：</t>
        </is>
      </c>
      <c r="EP229" s="0" t="inlineStr">
        <is>
          <t>15行 3列，源：nan 备：0</t>
        </is>
      </c>
      <c r="ES229" s="0" t="inlineStr">
        <is>
          <t>15行 3列，源：nan 备：</t>
        </is>
      </c>
    </row>
    <row r="230">
      <c r="A230" s="0" t="inlineStr">
        <is>
          <t>info_datetime_dml_batch1_pk_urp2</t>
        </is>
      </c>
      <c r="K230" s="0" t="inlineStr">
        <is>
          <t>[0;34m info_datetime_dml_batch1_pk_urp2 [0m源备字段数相同，源端字段：2 	备端字段2</t>
        </is>
      </c>
      <c r="W230" s="2">
        <f>HYPERLINK("#2026041905hbase4!AX2","NO 源备存在差异，共41个")</f>
        <v/>
      </c>
      <c r="X230" s="0">
        <f>A230</f>
        <v/>
      </c>
      <c r="AM230" s="0" t="inlineStr">
        <is>
          <t>19行 10列，源：None 备：</t>
        </is>
      </c>
      <c r="AS230" s="0" t="inlineStr">
        <is>
          <t>19行 2列，源：0.0 备：0</t>
        </is>
      </c>
      <c r="BE230" s="0" t="inlineStr">
        <is>
          <t>27行 2列，源：2065-05-11 14:30:45.100000 备：0001-01-01 00:00:00.0</t>
        </is>
      </c>
      <c r="BJ230" s="0" t="inlineStr">
        <is>
          <t>15行 6列，源：None 备：</t>
        </is>
      </c>
      <c r="BX230" s="0" t="inlineStr">
        <is>
          <t>25行 3列，源：1971-05-11 00:00:00.00 +14:00 备：1900-01-01 00:00:00.00 +00:00</t>
        </is>
      </c>
      <c r="CB230" s="0" t="inlineStr">
        <is>
          <t>28行 8列，源：1933-05-11 15:30:45.1234567 +01:00 备：2000-05-11 00:30:45.1234567 +09:00</t>
        </is>
      </c>
      <c r="CM230" s="0" t="inlineStr">
        <is>
          <t>14行 8列，源：None 备：</t>
        </is>
      </c>
      <c r="DA230" s="0" t="inlineStr">
        <is>
          <t>14行 2列，源：nan 备：</t>
        </is>
      </c>
      <c r="DL230" s="0" t="inlineStr">
        <is>
          <t>30行 2列，源：None 备：12:30:45.1</t>
        </is>
      </c>
      <c r="DX230" s="0" t="inlineStr">
        <is>
          <t>15行 4列，源：nan 备：0</t>
        </is>
      </c>
      <c r="EH230" s="0" t="inlineStr">
        <is>
          <t>15行 4列，源：nan 备：</t>
        </is>
      </c>
      <c r="EP230" s="0" t="inlineStr">
        <is>
          <t>15行 4列，源：nan 备：0</t>
        </is>
      </c>
      <c r="ES230" s="0" t="inlineStr">
        <is>
          <t>15行 4列，源：nan 备：</t>
        </is>
      </c>
    </row>
    <row r="231">
      <c r="B231" s="0" t="inlineStr">
        <is>
          <t>YES</t>
        </is>
      </c>
      <c r="C231" s="0" t="inlineStr">
        <is>
          <t>NULL</t>
        </is>
      </c>
      <c r="D231" s="0" t="inlineStr">
        <is>
          <t>NULL</t>
        </is>
      </c>
      <c r="E231" s="0" t="inlineStr">
        <is>
          <t>NULL</t>
        </is>
      </c>
      <c r="F231" s="0" t="inlineStr">
        <is>
          <t>NULL</t>
        </is>
      </c>
      <c r="G231" s="0" t="inlineStr">
        <is>
          <t>NULL</t>
        </is>
      </c>
      <c r="H231" s="0" t="inlineStr">
        <is>
          <t>NULL</t>
        </is>
      </c>
      <c r="I231" s="0" t="inlineStr">
        <is>
          <t>YES!PK__info_dat__3213E83F7F24FA34</t>
        </is>
      </c>
      <c r="J231" s="0" t="inlineStr">
        <is>
          <t>YES! 主键相关索引</t>
        </is>
      </c>
      <c r="K231" s="0" t="inlineStr">
        <is>
          <t xml:space="preserve"> NO!  	 id列源备映射错误，源端为int None位	期望更改为text	实际备端为int None位</t>
        </is>
      </c>
      <c r="AM231" s="0" t="inlineStr">
        <is>
          <t>19行 11列，源：None 备：</t>
        </is>
      </c>
      <c r="AS231" s="0" t="inlineStr">
        <is>
          <t>19行 5列，源：None 备：</t>
        </is>
      </c>
      <c r="BE231" s="0" t="inlineStr">
        <is>
          <t>27行 3列，源：2065-05-11 14:30:45.120000 备：0001-01-01 00:00:00.00</t>
        </is>
      </c>
      <c r="BJ231" s="0" t="inlineStr">
        <is>
          <t>15行 7列，源：None 备：</t>
        </is>
      </c>
      <c r="BX231" s="0" t="inlineStr">
        <is>
          <t>25行 4列，源：1971-05-11 00:00:00.000 +14:00 备：1900-01-01 00:00:00.000 +00:00</t>
        </is>
      </c>
      <c r="CB231" s="0" t="inlineStr">
        <is>
          <t>29行 0列，源：108 备：59</t>
        </is>
      </c>
      <c r="CM231" s="0" t="inlineStr">
        <is>
          <t>14行 9列，源：None 备：</t>
        </is>
      </c>
      <c r="DA231" s="0" t="inlineStr">
        <is>
          <t>14行 3列，源：nan 备：</t>
        </is>
      </c>
      <c r="DL231" s="0" t="inlineStr">
        <is>
          <t>30行 3列，源：00:00:01.120000 备：12:30:45.12</t>
        </is>
      </c>
      <c r="DX231" s="0" t="inlineStr">
        <is>
          <t>15行 5列，源：None 备：</t>
        </is>
      </c>
      <c r="EH231" s="0" t="inlineStr">
        <is>
          <t>15行 5列，源：None 备：-457</t>
        </is>
      </c>
      <c r="EP231" s="0" t="inlineStr">
        <is>
          <t>15行 5列，源：None 备：</t>
        </is>
      </c>
      <c r="ES231" s="0" t="inlineStr">
        <is>
          <t>15行 5列，源：None 备：-457</t>
        </is>
      </c>
    </row>
    <row r="232">
      <c r="B232" s="0" t="inlineStr">
        <is>
          <t>NULL</t>
        </is>
      </c>
      <c r="C232" s="0" t="inlineStr">
        <is>
          <t>NULL</t>
        </is>
      </c>
      <c r="D232" s="0" t="inlineStr">
        <is>
          <t>NULL</t>
        </is>
      </c>
      <c r="E232" s="0" t="inlineStr">
        <is>
          <t>NULL</t>
        </is>
      </c>
      <c r="F232" s="0" t="inlineStr">
        <is>
          <t>NULL</t>
        </is>
      </c>
      <c r="G232" s="0" t="inlineStr">
        <is>
          <t>NULL</t>
        </is>
      </c>
      <c r="H232" s="0" t="inlineStr">
        <is>
          <t>NULL</t>
        </is>
      </c>
      <c r="I232" s="0" t="inlineStr">
        <is>
          <t>NULL</t>
        </is>
      </c>
      <c r="J232" s="0" t="inlineStr">
        <is>
          <t>NULL</t>
        </is>
      </c>
      <c r="K232" s="0" t="inlineStr">
        <is>
          <t xml:space="preserve"> NO!  	 c_datetime列源备映射错误，源端为datetime None位	期望更改为text	实际备端为datetime None位</t>
        </is>
      </c>
      <c r="AM232" s="0" t="inlineStr">
        <is>
          <t>19行 12列，源：None 备：</t>
        </is>
      </c>
      <c r="AS232" s="0" t="inlineStr">
        <is>
          <t>19行 6列，源：None 备：</t>
        </is>
      </c>
      <c r="BE232" s="0" t="inlineStr">
        <is>
          <t>27行 4列，源：2065-05-11 14:30:45.123000 备：0001-01-01 00:00:00.000</t>
        </is>
      </c>
      <c r="BJ232" s="0" t="inlineStr">
        <is>
          <t>15行 8列，源：None 备：</t>
        </is>
      </c>
      <c r="BX232" s="0" t="inlineStr">
        <is>
          <t>25行 5列，源：1971-05-11 00:00:00.0000 +14:00 备：1900-01-01 00:00:00.0000 +00:00</t>
        </is>
      </c>
      <c r="CB232" s="0" t="inlineStr">
        <is>
          <t>29行 1列，源：2000-05-11 00:30:45 +09:00 备：1999-05-16 01:30:45 +10:15</t>
        </is>
      </c>
      <c r="CM232" s="0" t="inlineStr">
        <is>
          <t>14行 10列，源：None 备：</t>
        </is>
      </c>
      <c r="DA232" s="0" t="inlineStr">
        <is>
          <t>14行 4列，源：nan 备：</t>
        </is>
      </c>
      <c r="DL232" s="0" t="inlineStr">
        <is>
          <t>30行 4列，源：None 备：12:30:45.120</t>
        </is>
      </c>
      <c r="DX232" s="0" t="inlineStr">
        <is>
          <t>15行 6列，源：None 备：</t>
        </is>
      </c>
      <c r="EH232" s="0" t="inlineStr">
        <is>
          <t>15行 6列，源：None 备：-123456780123456781234589012345678</t>
        </is>
      </c>
      <c r="EP232" s="0" t="inlineStr">
        <is>
          <t>15行 6列，源：None 备：</t>
        </is>
      </c>
      <c r="ES232" s="0" t="inlineStr">
        <is>
          <t>15行 6列，源：None 备：-123456780123456781234589012345678</t>
        </is>
      </c>
    </row>
    <row r="233">
      <c r="A233" s="0" t="inlineStr">
        <is>
          <t>info_varchar_dml_batch1_pk</t>
        </is>
      </c>
      <c r="K233" s="0" t="inlineStr">
        <is>
          <t>[0;34m info_varchar_dml_batch1_pk [0m源备字段数相同，源端字段：4 	备端字段4</t>
        </is>
      </c>
      <c r="W233" s="2">
        <f>HYPERLINK("#2026041905hbase4!AY2","NO 源备存在差异，共6个")</f>
        <v/>
      </c>
      <c r="X233" s="0">
        <f>A233</f>
        <v/>
      </c>
      <c r="AM233" s="0" t="inlineStr">
        <is>
          <t>19行 13列，源：None 备：</t>
        </is>
      </c>
      <c r="AS233" s="0" t="inlineStr">
        <is>
          <t>19行 7列，源：None 备：</t>
        </is>
      </c>
      <c r="BE233" s="0" t="inlineStr">
        <is>
          <t>27行 5列，源：2065-05-11 14:30:45.123500 备：0001-01-01 00:00:00.0000</t>
        </is>
      </c>
      <c r="BJ233" s="0" t="inlineStr">
        <is>
          <t>15行 9列，源：None 备：</t>
        </is>
      </c>
      <c r="BX233" s="0" t="inlineStr">
        <is>
          <t>25行 6列，源：1971-05-11 00:00:00.00000 +14:00 备：1900-01-01 00:00:00.00000 +00:00</t>
        </is>
      </c>
      <c r="CB233" s="0" t="inlineStr">
        <is>
          <t>29行 2列，源：2000-05-11 00:30:45.1 +09:00 备：1999-05-16 01:30:45.1 +10:15</t>
        </is>
      </c>
      <c r="CM233" s="0" t="inlineStr">
        <is>
          <t>14行 11列，源：None 备：</t>
        </is>
      </c>
      <c r="DA233" s="0" t="inlineStr">
        <is>
          <t>14行 5列，源：None 备：</t>
        </is>
      </c>
      <c r="DL233" s="0" t="inlineStr">
        <is>
          <t>30行 5列，源：00:00:01.123500 备：12:30:45.1200</t>
        </is>
      </c>
      <c r="DX233" s="0" t="inlineStr">
        <is>
          <t>15行 7列，源：None 备：</t>
        </is>
      </c>
      <c r="EH233" s="0" t="inlineStr">
        <is>
          <t>15行 7列，源：None 备：-0.45678901234792345678901456789010000000</t>
        </is>
      </c>
      <c r="EP233" s="0" t="inlineStr">
        <is>
          <t>15行 7列，源：None 备：</t>
        </is>
      </c>
      <c r="ES233" s="0" t="inlineStr">
        <is>
          <t>15行 7列，源：None 备：-0.45678901234792345678901456789010000000</t>
        </is>
      </c>
    </row>
    <row r="234">
      <c r="B234" s="0" t="inlineStr">
        <is>
          <t>YES</t>
        </is>
      </c>
      <c r="C234" s="0" t="inlineStr">
        <is>
          <t>NULL</t>
        </is>
      </c>
      <c r="D234" s="0" t="inlineStr">
        <is>
          <t>NULL</t>
        </is>
      </c>
      <c r="E234" s="0" t="inlineStr">
        <is>
          <t>NULL</t>
        </is>
      </c>
      <c r="F234" s="0" t="inlineStr">
        <is>
          <t>NULL</t>
        </is>
      </c>
      <c r="G234" s="0" t="inlineStr">
        <is>
          <t>NULL</t>
        </is>
      </c>
      <c r="H234" s="0" t="inlineStr">
        <is>
          <t>NULL</t>
        </is>
      </c>
      <c r="I234" s="0" t="inlineStr">
        <is>
          <t>YES!PK__info_var__3213E83FCF95CDDA</t>
        </is>
      </c>
      <c r="J234" s="0" t="inlineStr">
        <is>
          <t>YES! 主键相关索引</t>
        </is>
      </c>
      <c r="K234" s="0" t="inlineStr">
        <is>
          <t xml:space="preserve"> NO!  	 id列源备映射错误，源端为int None位	期望更改为text	实际备端为int None位</t>
        </is>
      </c>
      <c r="AM234" s="0" t="inlineStr">
        <is>
          <t>19行 14列，源：None 备：</t>
        </is>
      </c>
      <c r="AS234" s="0" t="inlineStr">
        <is>
          <t>19行 8列，源：None 备：</t>
        </is>
      </c>
      <c r="BE234" s="0" t="inlineStr">
        <is>
          <t>27行 6列，源：2065-05-11 14:30:45.123460 备：0001-01-01 00:00:00.00000</t>
        </is>
      </c>
      <c r="BJ234" s="0" t="inlineStr">
        <is>
          <t>15行 10列，源：None 备：</t>
        </is>
      </c>
      <c r="BX234" s="0" t="inlineStr">
        <is>
          <t>25行 7列，源：1971-05-11 00:00:00.000000 +14:00 备：1900-01-01 00:00:00.000000 +00:00</t>
        </is>
      </c>
      <c r="CB234" s="0" t="inlineStr">
        <is>
          <t>29行 3列，源：2000-05-11 00:30:45.12 +09:00 备：1999-05-16 01:30:45.12 +10:15</t>
        </is>
      </c>
      <c r="CM234" s="0" t="inlineStr">
        <is>
          <t>14行 12列，源：None 备：</t>
        </is>
      </c>
      <c r="DA234" s="0" t="inlineStr">
        <is>
          <t>14行 6列，源：None 备：</t>
        </is>
      </c>
      <c r="DL234" s="0" t="inlineStr">
        <is>
          <t>30行 6列，源：None 备：12:30:45.12000</t>
        </is>
      </c>
      <c r="DX234" s="0" t="inlineStr">
        <is>
          <t>15行 8列，源：None 备：</t>
        </is>
      </c>
      <c r="EH234" s="0" t="inlineStr">
        <is>
          <t>15行 8列，源：None 备：-123456789012347890345678.9874321000</t>
        </is>
      </c>
      <c r="EP234" s="0" t="inlineStr">
        <is>
          <t>15行 8列，源：None 备：</t>
        </is>
      </c>
      <c r="ES234" s="0" t="inlineStr">
        <is>
          <t>15行 8列，源：None 备：-123456789012347890345678.9874321000</t>
        </is>
      </c>
    </row>
    <row r="235">
      <c r="B235" s="0" t="inlineStr">
        <is>
          <t>NULL</t>
        </is>
      </c>
      <c r="C235" s="0" t="inlineStr">
        <is>
          <t>NULL</t>
        </is>
      </c>
      <c r="D235" s="0" t="inlineStr">
        <is>
          <t>NULL</t>
        </is>
      </c>
      <c r="E235" s="0" t="inlineStr">
        <is>
          <t>NULL</t>
        </is>
      </c>
      <c r="F235" s="0" t="inlineStr">
        <is>
          <t>NULL</t>
        </is>
      </c>
      <c r="G235" s="0" t="inlineStr">
        <is>
          <t>NULL</t>
        </is>
      </c>
      <c r="H235" s="0" t="inlineStr">
        <is>
          <t>NULL</t>
        </is>
      </c>
      <c r="I235" s="0" t="inlineStr">
        <is>
          <t>NULL</t>
        </is>
      </c>
      <c r="J235" s="0" t="inlineStr">
        <is>
          <t>NULL</t>
        </is>
      </c>
      <c r="K235" s="0" t="inlineStr">
        <is>
          <t xml:space="preserve"> NO!  	 c_varchar列源备映射错误，源端为varchar 1位	期望更改为text	实际备端为varchar 1位</t>
        </is>
      </c>
      <c r="AM235" s="0" t="inlineStr">
        <is>
          <t>19行 15列，源：1.23456789012345e-30 备：0.0000000000000</t>
        </is>
      </c>
      <c r="AS235" s="0" t="inlineStr">
        <is>
          <t>19行 10列，源：None 备：</t>
        </is>
      </c>
      <c r="BE235" s="0" t="inlineStr">
        <is>
          <t>27行 7列，源：2065-05-11 14:30:45.123457 备：0001-01-01 00:00:00.000000</t>
        </is>
      </c>
      <c r="BJ235" s="0" t="inlineStr">
        <is>
          <t>15行 11列，源：None 备：</t>
        </is>
      </c>
      <c r="BX235" s="0" t="inlineStr">
        <is>
          <t>25行 8列，源：1971-05-11 00:00:00.0000001 +14:00 备：1900-01-01 00:00:00.0000000 +00:00</t>
        </is>
      </c>
      <c r="CB235" s="0" t="inlineStr">
        <is>
          <t>29行 4列，源：2000-05-11 00:30:45.123 +09:00 备：1999-05-16 01:30:45.123 +10:15</t>
        </is>
      </c>
      <c r="CM235" s="0" t="inlineStr">
        <is>
          <t>14行 13列，源：None 备：</t>
        </is>
      </c>
      <c r="DA235" s="0" t="inlineStr">
        <is>
          <t>14行 7列，源：None 备：</t>
        </is>
      </c>
      <c r="DL235" s="0" t="inlineStr">
        <is>
          <t>30行 7列，源：00:00:01.123457 备：12:30:45.120000</t>
        </is>
      </c>
      <c r="DX235" s="0" t="inlineStr">
        <is>
          <t>15行 9列，源：None 备：</t>
        </is>
      </c>
      <c r="EH235" s="0" t="inlineStr">
        <is>
          <t>15行 9列，源：None 备：-98743298765.4321</t>
        </is>
      </c>
      <c r="EP235" s="0" t="inlineStr">
        <is>
          <t>15行 9列，源：None 备：</t>
        </is>
      </c>
      <c r="ES235" s="0" t="inlineStr">
        <is>
          <t>15行 9列，源：None 备：-98743298765.4321</t>
        </is>
      </c>
    </row>
    <row r="236">
      <c r="B236" s="0" t="inlineStr">
        <is>
          <t>NULL</t>
        </is>
      </c>
      <c r="C236" s="0" t="inlineStr">
        <is>
          <t>NULL</t>
        </is>
      </c>
      <c r="D236" s="0" t="inlineStr">
        <is>
          <t>NULL</t>
        </is>
      </c>
      <c r="E236" s="0" t="inlineStr">
        <is>
          <t>NULL</t>
        </is>
      </c>
      <c r="F236" s="0" t="inlineStr">
        <is>
          <t>NULL</t>
        </is>
      </c>
      <c r="G236" s="0" t="inlineStr">
        <is>
          <t>NULL</t>
        </is>
      </c>
      <c r="H236" s="0" t="inlineStr">
        <is>
          <t>NULL</t>
        </is>
      </c>
      <c r="I236" s="0" t="inlineStr">
        <is>
          <t>NULL</t>
        </is>
      </c>
      <c r="J236" s="0" t="inlineStr">
        <is>
          <t>NULL</t>
        </is>
      </c>
      <c r="K236" s="0" t="inlineStr">
        <is>
          <t xml:space="preserve"> NO!  	 c_varchar20列源备映射错误，源端为varchar 20位	期望更改为text	实际备端为varchar 20位</t>
        </is>
      </c>
      <c r="AM236" s="0" t="inlineStr">
        <is>
          <t>19行 16列，源：1.2345669834560371e-20 备：0.000000</t>
        </is>
      </c>
      <c r="AS236" s="0" t="inlineStr">
        <is>
          <t>19行 11列，源：None 备：</t>
        </is>
      </c>
      <c r="BE236" s="0" t="inlineStr">
        <is>
          <t>27行 8列，源：2065-05-11 14:30:45.123456 备：0001-01-01 00:00:00.0000000</t>
        </is>
      </c>
      <c r="BJ236" s="0" t="inlineStr">
        <is>
          <t>15行 12列，源：None 备：</t>
        </is>
      </c>
      <c r="BX236" s="0" t="inlineStr">
        <is>
          <t>26行 0列，源：72 备：21</t>
        </is>
      </c>
      <c r="CB236" s="0" t="inlineStr">
        <is>
          <t>29行 5列，源：2000-05-11 00:30:45.1235 +09:00 备：1999-05-16 01:30:45.1235 +10:15</t>
        </is>
      </c>
      <c r="CM236" s="0" t="inlineStr">
        <is>
          <t>14行 14列，源：None 备：</t>
        </is>
      </c>
      <c r="DA236" s="0" t="inlineStr">
        <is>
          <t>14行 8列，源：None 备：</t>
        </is>
      </c>
      <c r="DL236" s="0" t="inlineStr">
        <is>
          <t>30行 8列，源：None 备：12:30:45.1200000</t>
        </is>
      </c>
      <c r="DX236" s="0" t="inlineStr">
        <is>
          <t>15行 10列，源：None 备：</t>
        </is>
      </c>
      <c r="EH236" s="0" t="inlineStr">
        <is>
          <t>15行 10列，源：None 备：-321</t>
        </is>
      </c>
      <c r="EP236" s="0" t="inlineStr">
        <is>
          <t>15行 10列，源：None 备：</t>
        </is>
      </c>
      <c r="ES236" s="0" t="inlineStr">
        <is>
          <t>15行 10列，源：None 备：-321</t>
        </is>
      </c>
    </row>
    <row r="237">
      <c r="B237" s="0" t="inlineStr">
        <is>
          <t>NULL</t>
        </is>
      </c>
      <c r="C237" s="0" t="inlineStr">
        <is>
          <t>NULL</t>
        </is>
      </c>
      <c r="D237" s="0" t="inlineStr">
        <is>
          <t>NULL</t>
        </is>
      </c>
      <c r="E237" s="0" t="inlineStr">
        <is>
          <t>NULL</t>
        </is>
      </c>
      <c r="F237" s="0" t="inlineStr">
        <is>
          <t>NULL</t>
        </is>
      </c>
      <c r="G237" s="0" t="inlineStr">
        <is>
          <t>NULL</t>
        </is>
      </c>
      <c r="H237" s="0" t="inlineStr">
        <is>
          <t>NULL</t>
        </is>
      </c>
      <c r="I237" s="0" t="inlineStr">
        <is>
          <t>NULL</t>
        </is>
      </c>
      <c r="J237" s="0" t="inlineStr">
        <is>
          <t>NULL</t>
        </is>
      </c>
      <c r="K237" s="0" t="inlineStr">
        <is>
          <t xml:space="preserve"> NO!  	 c_varchar7000列源备映射错误，源端为varchar 7000位	期望更改为text	实际备端为varchar 7000位</t>
        </is>
      </c>
      <c r="AM237" s="0" t="inlineStr">
        <is>
          <t>19行 19列，源：False 备：0</t>
        </is>
      </c>
      <c r="AS237" s="0" t="inlineStr">
        <is>
          <t>19行 12列，源：None 备：</t>
        </is>
      </c>
      <c r="BE237" s="0" t="inlineStr">
        <is>
          <t>28行 0列，源：275 备：5</t>
        </is>
      </c>
      <c r="BJ237" s="0" t="inlineStr">
        <is>
          <t>15行 13列，源：None 备：</t>
        </is>
      </c>
      <c r="BX237" s="0" t="inlineStr">
        <is>
          <t>26行 1列，源：1900-01-01 00:00:00 +00:00 备：</t>
        </is>
      </c>
      <c r="CB237" s="0" t="inlineStr">
        <is>
          <t>29行 6列，源：2000-05-11 00:30:45.12346 +09:00 备：1999-05-16 01:30:45.12346 +10:15</t>
        </is>
      </c>
      <c r="CM237" s="0" t="inlineStr">
        <is>
          <t>14行 15列，源：nan 备：</t>
        </is>
      </c>
      <c r="DA237" s="0" t="inlineStr">
        <is>
          <t>14行 9列，源：None 备：</t>
        </is>
      </c>
      <c r="DL237" s="0" t="inlineStr">
        <is>
          <t>31行 0列，源：36 备：7</t>
        </is>
      </c>
      <c r="DX237" s="0" t="inlineStr">
        <is>
          <t>15行 11列，源：None 备：</t>
        </is>
      </c>
      <c r="EH237" s="0" t="inlineStr">
        <is>
          <t>15行 11列，源：None 备：-987654321096543210987654321098765432</t>
        </is>
      </c>
      <c r="EP237" s="0" t="inlineStr">
        <is>
          <t>15行 11列，源：None 备：</t>
        </is>
      </c>
      <c r="ES237" s="0" t="inlineStr">
        <is>
          <t>15行 11列，源：None 备：-987654321096543210987654321098765432</t>
        </is>
      </c>
    </row>
    <row r="238">
      <c r="A238" s="0" t="inlineStr">
        <is>
          <t>info_nchar_dml_single_pk_drp</t>
        </is>
      </c>
      <c r="K238" s="0" t="inlineStr">
        <is>
          <t>[0;34m info_nchar_dml_single_pk_drp [0m源备字段数相同，源端字段：4 	备端字段4</t>
        </is>
      </c>
      <c r="W238" s="0" t="inlineStr">
        <is>
          <t>YES 源备无差异</t>
        </is>
      </c>
      <c r="X238" s="0">
        <f>A238</f>
        <v/>
      </c>
      <c r="AS238" s="0" t="inlineStr">
        <is>
          <t>19行 13列，源：None 备：</t>
        </is>
      </c>
      <c r="BE238" s="0" t="inlineStr">
        <is>
          <t>28行 2列，源：9999-12-31 23:59:59.900000 备：9999-12-31 23:59:59.9</t>
        </is>
      </c>
      <c r="BJ238" s="0" t="inlineStr">
        <is>
          <t>15行 14列，源：None 备：</t>
        </is>
      </c>
      <c r="BX238" s="0" t="inlineStr">
        <is>
          <t>26行 1列，源：1900-01-01 00:00:00 +00:00 备：</t>
        </is>
      </c>
      <c r="CB238" s="0" t="inlineStr">
        <is>
          <t>29行 7列，源：2000-05-11 00:30:45.123457 +09:00 备：1999-05-16 01:30:45.123457 +10:15</t>
        </is>
      </c>
      <c r="CM238" s="0" t="inlineStr">
        <is>
          <t>14行 16列，源：nan 备：</t>
        </is>
      </c>
      <c r="DA238" s="0" t="inlineStr">
        <is>
          <t>14行 10列，源：None 备：</t>
        </is>
      </c>
      <c r="DL238" s="0" t="inlineStr">
        <is>
          <t>31行 1列，源：12:00:00 备：12:30:45</t>
        </is>
      </c>
      <c r="DX238" s="0" t="inlineStr">
        <is>
          <t>15行 12列，源：None 备：</t>
        </is>
      </c>
      <c r="EH238" s="0" t="inlineStr">
        <is>
          <t>15行 12列，源：None 备：-0.12345690123456712345678901234567800000</t>
        </is>
      </c>
      <c r="EP238" s="0" t="inlineStr">
        <is>
          <t>15行 12列，源：None 备：</t>
        </is>
      </c>
      <c r="ES238" s="0" t="inlineStr">
        <is>
          <t>15行 12列，源：None 备：-0.12345690123456712345678901234567800000</t>
        </is>
      </c>
    </row>
    <row r="239">
      <c r="B239" s="0" t="inlineStr">
        <is>
          <t>YES</t>
        </is>
      </c>
      <c r="C239" s="0" t="inlineStr">
        <is>
          <t>NULL</t>
        </is>
      </c>
      <c r="D239" s="0" t="inlineStr">
        <is>
          <t>NULL</t>
        </is>
      </c>
      <c r="E239" s="0" t="inlineStr">
        <is>
          <t>NULL</t>
        </is>
      </c>
      <c r="F239" s="0" t="inlineStr">
        <is>
          <t>NULL</t>
        </is>
      </c>
      <c r="G239" s="0" t="inlineStr">
        <is>
          <t>NULL</t>
        </is>
      </c>
      <c r="H239" s="0" t="inlineStr">
        <is>
          <t>NULL</t>
        </is>
      </c>
      <c r="I239" s="0" t="inlineStr">
        <is>
          <t>YES!PK__info_nch__3213E83FAA8E480E</t>
        </is>
      </c>
      <c r="J239" s="0" t="inlineStr">
        <is>
          <t>YES! 主键相关索引</t>
        </is>
      </c>
      <c r="K239" s="0" t="inlineStr">
        <is>
          <t xml:space="preserve"> NO!  	 id列源备映射错误，源端为int None位	期望更改为text	实际备端为int None位</t>
        </is>
      </c>
      <c r="AS239" s="0" t="inlineStr">
        <is>
          <t>19行 14列，源：None 备：</t>
        </is>
      </c>
      <c r="BE239" s="0" t="inlineStr">
        <is>
          <t>28行 3列，源：9999-12-31 23:59:59.990000 备：9999-12-31 23:59:59.99</t>
        </is>
      </c>
      <c r="BJ239" s="0" t="inlineStr">
        <is>
          <t>15行 15列，源：-1.23456789e+38 备：</t>
        </is>
      </c>
      <c r="BX239" s="0" t="inlineStr">
        <is>
          <t>26行 2列，源：1900-01-01 00:00:00.0 +00:00 备：</t>
        </is>
      </c>
      <c r="CB239" s="0" t="inlineStr">
        <is>
          <t>29行 8列，源：2000-05-11 00:30:45.1234567 +09:00 备：1999-05-16 01:30:45.1234567 +10:15</t>
        </is>
      </c>
      <c r="CM239" s="0" t="inlineStr">
        <is>
          <t>14行 19列，源：None 备：</t>
        </is>
      </c>
      <c r="DA239" s="0" t="inlineStr">
        <is>
          <t>14行 11列，源：None 备：</t>
        </is>
      </c>
      <c r="DL239" s="0" t="inlineStr">
        <is>
          <t>31行 2列，源：None 备：12:30:45.1</t>
        </is>
      </c>
      <c r="DX239" s="0" t="inlineStr">
        <is>
          <t>15行 13列，源：None 备：</t>
        </is>
      </c>
      <c r="EH239" s="0" t="inlineStr">
        <is>
          <t>15行 13列，源：None 备：-6543210976543287654321.0987654321</t>
        </is>
      </c>
      <c r="EP239" s="0" t="inlineStr">
        <is>
          <t>15行 13列，源：None 备：</t>
        </is>
      </c>
      <c r="ES239" s="0" t="inlineStr">
        <is>
          <t>15行 13列，源：None 备：-6543210976543287654321.0987654321</t>
        </is>
      </c>
    </row>
    <row r="240">
      <c r="B240" s="0" t="inlineStr">
        <is>
          <t>NULL</t>
        </is>
      </c>
      <c r="C240" s="0" t="inlineStr">
        <is>
          <t>NULL</t>
        </is>
      </c>
      <c r="D240" s="0" t="inlineStr">
        <is>
          <t>NULL</t>
        </is>
      </c>
      <c r="E240" s="0" t="inlineStr">
        <is>
          <t>NULL</t>
        </is>
      </c>
      <c r="F240" s="0" t="inlineStr">
        <is>
          <t>NULL</t>
        </is>
      </c>
      <c r="G240" s="0" t="inlineStr">
        <is>
          <t>NULL</t>
        </is>
      </c>
      <c r="H240" s="0" t="inlineStr">
        <is>
          <t>NULL</t>
        </is>
      </c>
      <c r="I240" s="0" t="inlineStr">
        <is>
          <t>NULL</t>
        </is>
      </c>
      <c r="J240" s="0" t="inlineStr">
        <is>
          <t>NULL</t>
        </is>
      </c>
      <c r="K240" s="0" t="inlineStr">
        <is>
          <t xml:space="preserve"> NO!  	 c_nchar列源备映射错误，源端为nchar 2位	期望更改为text	实际备端为nchar 2位</t>
        </is>
      </c>
      <c r="AS240" s="0" t="inlineStr">
        <is>
          <t>19行 15列，源：1.23456789012345e-30 备：0.0000000000000</t>
        </is>
      </c>
      <c r="BE240" s="0" t="inlineStr">
        <is>
          <t>28行 4列，源：9999-12-31 23:59:59.999000 备：9999-12-31 23:59:59.999</t>
        </is>
      </c>
      <c r="BJ240" s="0" t="inlineStr">
        <is>
          <t>15行 16列，源：-3.4028230607370965e+38 备：</t>
        </is>
      </c>
      <c r="BX240" s="0" t="inlineStr">
        <is>
          <t>26行 2列，源：1900-01-01 00:00:00.0 +00:00 备：</t>
        </is>
      </c>
      <c r="CB240" s="0" t="inlineStr">
        <is>
          <t>30行 0列，源：109 备：6</t>
        </is>
      </c>
      <c r="CM240" s="0" t="inlineStr">
        <is>
          <t>15行 0列，源：16 备：24</t>
        </is>
      </c>
      <c r="DA240" s="0" t="inlineStr">
        <is>
          <t>14行 12列，源：None 备：</t>
        </is>
      </c>
      <c r="DL240" s="0" t="inlineStr">
        <is>
          <t>31行 3列，源：12:00:00.120000 备：12:30:45.12</t>
        </is>
      </c>
      <c r="DX240" s="0" t="inlineStr">
        <is>
          <t>15行 14列，源：None 备：</t>
        </is>
      </c>
      <c r="EH240" s="0" t="inlineStr">
        <is>
          <t>15行 14列，源：None 备：-9876543210954.32</t>
        </is>
      </c>
      <c r="EP240" s="0" t="inlineStr">
        <is>
          <t>15行 14列，源：None 备：</t>
        </is>
      </c>
      <c r="ES240" s="0" t="inlineStr">
        <is>
          <t>15行 14列，源：None 备：-9876543210954.32</t>
        </is>
      </c>
    </row>
    <row r="241">
      <c r="B241" s="0" t="inlineStr">
        <is>
          <t>NULL</t>
        </is>
      </c>
      <c r="C241" s="0" t="inlineStr">
        <is>
          <t>NULL</t>
        </is>
      </c>
      <c r="D241" s="0" t="inlineStr">
        <is>
          <t>NULL</t>
        </is>
      </c>
      <c r="E241" s="0" t="inlineStr">
        <is>
          <t>NULL</t>
        </is>
      </c>
      <c r="F241" s="0" t="inlineStr">
        <is>
          <t>NULL</t>
        </is>
      </c>
      <c r="G241" s="0" t="inlineStr">
        <is>
          <t>NULL</t>
        </is>
      </c>
      <c r="H241" s="0" t="inlineStr">
        <is>
          <t>NULL</t>
        </is>
      </c>
      <c r="I241" s="0" t="inlineStr">
        <is>
          <t>NULL</t>
        </is>
      </c>
      <c r="J241" s="0" t="inlineStr">
        <is>
          <t>NULL</t>
        </is>
      </c>
      <c r="K241" s="0" t="inlineStr">
        <is>
          <t xml:space="preserve"> NO!  	 c_nchar20列源备映射错误，源端为nchar 40位	期望更改为text	实际备端为nchar 40位</t>
        </is>
      </c>
      <c r="AS241" s="0" t="inlineStr">
        <is>
          <t>19行 16列，源：1.2345669834560371e-20 备：0.000000</t>
        </is>
      </c>
      <c r="BE241" s="0" t="inlineStr">
        <is>
          <t>28行 5列，源：9999-12-31 23:59:59.999900 备：9999-12-31 23:59:59.9999</t>
        </is>
      </c>
      <c r="BJ241" s="0" t="inlineStr">
        <is>
          <t>15行 19列，源：False 备：</t>
        </is>
      </c>
      <c r="BX241" s="0" t="inlineStr">
        <is>
          <t>26行 3列，源：1900-01-01 00:00:00.00 +00:00 备：</t>
        </is>
      </c>
      <c r="CB241" s="0" t="inlineStr">
        <is>
          <t>30行 1列，源：1999-05-16 01:30:45 +10:15 备：2063-05-11 10:30:45 -04:00</t>
        </is>
      </c>
      <c r="CM241" s="0" t="inlineStr">
        <is>
          <t>15行 1列，源：nan 备：</t>
        </is>
      </c>
      <c r="DA241" s="0" t="inlineStr">
        <is>
          <t>14行 13列，源：None 备：</t>
        </is>
      </c>
      <c r="DL241" s="0" t="inlineStr">
        <is>
          <t>31行 4列，源：None 备：12:30:45.123</t>
        </is>
      </c>
      <c r="DX241" s="0" t="inlineStr">
        <is>
          <t>15行 15列，源：1.23456789e+38 备：</t>
        </is>
      </c>
      <c r="EH241" s="0" t="inlineStr">
        <is>
          <t>15行 15列，源：1.23456789e+38 备：</t>
        </is>
      </c>
      <c r="EP241" s="0" t="inlineStr">
        <is>
          <t>15行 15列，源：1.23456789e+38 备：</t>
        </is>
      </c>
      <c r="ES241" s="0" t="inlineStr">
        <is>
          <t>15行 15列，源：1.23456789e+38 备：</t>
        </is>
      </c>
    </row>
    <row r="242">
      <c r="B242" s="0" t="inlineStr">
        <is>
          <t>NULL</t>
        </is>
      </c>
      <c r="C242" s="0" t="inlineStr">
        <is>
          <t>NULL</t>
        </is>
      </c>
      <c r="D242" s="0" t="inlineStr">
        <is>
          <t>NULL</t>
        </is>
      </c>
      <c r="E242" s="0" t="inlineStr">
        <is>
          <t>NULL</t>
        </is>
      </c>
      <c r="F242" s="0" t="inlineStr">
        <is>
          <t>NULL</t>
        </is>
      </c>
      <c r="G242" s="0" t="inlineStr">
        <is>
          <t>NULL</t>
        </is>
      </c>
      <c r="H242" s="0" t="inlineStr">
        <is>
          <t>NULL</t>
        </is>
      </c>
      <c r="I242" s="0" t="inlineStr">
        <is>
          <t>NULL</t>
        </is>
      </c>
      <c r="J242" s="0" t="inlineStr">
        <is>
          <t>NULL</t>
        </is>
      </c>
      <c r="K242" s="0" t="inlineStr">
        <is>
          <t xml:space="preserve"> NO!  	 c_nchar3500列源备映射错误，源端为nchar 7000位	期望更改为text	实际备端为nchar 7000位</t>
        </is>
      </c>
      <c r="AS242" s="0" t="inlineStr">
        <is>
          <t>19行 19列，源：False 备：0</t>
        </is>
      </c>
      <c r="BE242" s="0" t="inlineStr">
        <is>
          <t>28行 6列，源：9999-12-31 23:59:59.999990 备：9999-12-31 23:59:59.99999</t>
        </is>
      </c>
      <c r="BJ242" s="0" t="inlineStr">
        <is>
          <t>16行 0列，源：18 备：7</t>
        </is>
      </c>
      <c r="BX242" s="0" t="inlineStr">
        <is>
          <t>26行 3列，源：1900-01-01 00:00:00.00 +00:00 备：</t>
        </is>
      </c>
      <c r="CB242" s="0" t="inlineStr">
        <is>
          <t>30行 2列，源：1999-05-16 01:30:45.1 +10:15 备：2063-05-11 10:30:45.1 -04:00</t>
        </is>
      </c>
      <c r="CM242" s="0" t="inlineStr">
        <is>
          <t>15行 2列，源：nan 备：</t>
        </is>
      </c>
      <c r="DA242" s="0" t="inlineStr">
        <is>
          <t>14行 14列，源：None 备：</t>
        </is>
      </c>
      <c r="DL242" s="0" t="inlineStr">
        <is>
          <t>31行 5列，源：12:00:00.123500 备：12:30:45.1230</t>
        </is>
      </c>
      <c r="DX242" s="0" t="inlineStr">
        <is>
          <t>15行 16列，源：3.4028230607370965e+38 备：</t>
        </is>
      </c>
      <c r="EH242" s="0" t="inlineStr">
        <is>
          <t>15行 16列，源：3.4028230607370965e+38 备：</t>
        </is>
      </c>
      <c r="EP242" s="0" t="inlineStr">
        <is>
          <t>15行 16列，源：3.4028230607370965e+38 备：</t>
        </is>
      </c>
      <c r="ES242" s="0" t="inlineStr">
        <is>
          <t>15行 16列，源：3.4028230607370965e+38 备：</t>
        </is>
      </c>
    </row>
    <row r="243">
      <c r="A243" s="0" t="inlineStr">
        <is>
          <t>info_nchar_dml_batch1_pk_irp1</t>
        </is>
      </c>
      <c r="K243" s="0" t="inlineStr">
        <is>
          <t>[0;34m info_nchar_dml_batch1_pk_irp1 [0m源备字段数相同，源端字段：4 	备端字段4</t>
        </is>
      </c>
      <c r="W243" s="2">
        <f>HYPERLINK("#2026041905hbase4!AZ2","NO 源备存在差异，共108个")</f>
        <v/>
      </c>
      <c r="X243" s="0">
        <f>A243</f>
        <v/>
      </c>
      <c r="BE243" s="0" t="inlineStr">
        <is>
          <t>29行 0列，源：277 备：6</t>
        </is>
      </c>
      <c r="BJ243" s="0" t="inlineStr">
        <is>
          <t>16行 1列，源：nan 备：255</t>
        </is>
      </c>
      <c r="BX243" s="0" t="inlineStr">
        <is>
          <t>26行 4列，源：1900-01-01 00:00:00.000 +00:00 备：</t>
        </is>
      </c>
      <c r="CB243" s="0" t="inlineStr">
        <is>
          <t>30行 3列，源：1999-05-16 01:30:45.12 +10:15 备：2063-05-11 10:30:45.12 -04:00</t>
        </is>
      </c>
      <c r="CM243" s="0" t="inlineStr">
        <is>
          <t>15行 3列，源：nan 备：</t>
        </is>
      </c>
      <c r="DA243" s="0" t="inlineStr">
        <is>
          <t>14行 15列，源：nan 备：</t>
        </is>
      </c>
      <c r="DL243" s="0" t="inlineStr">
        <is>
          <t>31行 6列，源：None 备：12:30:45.12300</t>
        </is>
      </c>
      <c r="DX243" s="0" t="inlineStr">
        <is>
          <t>15行 19列，源：True 备：</t>
        </is>
      </c>
      <c r="EH243" s="0" t="inlineStr">
        <is>
          <t>15行 19列，源：True 备：</t>
        </is>
      </c>
      <c r="EP243" s="0" t="inlineStr">
        <is>
          <t>15行 19列，源：True 备：</t>
        </is>
      </c>
      <c r="ES243" s="0" t="inlineStr">
        <is>
          <t>15行 19列，源：True 备：</t>
        </is>
      </c>
    </row>
    <row r="244">
      <c r="B244" s="0" t="inlineStr">
        <is>
          <t>YES</t>
        </is>
      </c>
      <c r="C244" s="0" t="inlineStr">
        <is>
          <t>NULL</t>
        </is>
      </c>
      <c r="D244" s="0" t="inlineStr">
        <is>
          <t>NULL</t>
        </is>
      </c>
      <c r="E244" s="0" t="inlineStr">
        <is>
          <t>NULL</t>
        </is>
      </c>
      <c r="F244" s="0" t="inlineStr">
        <is>
          <t>NULL</t>
        </is>
      </c>
      <c r="G244" s="0" t="inlineStr">
        <is>
          <t>NULL</t>
        </is>
      </c>
      <c r="H244" s="0" t="inlineStr">
        <is>
          <t>NULL</t>
        </is>
      </c>
      <c r="I244" s="0" t="inlineStr">
        <is>
          <t>YES!PK__info_nch__3213E83FF431AA93</t>
        </is>
      </c>
      <c r="J244" s="0" t="inlineStr">
        <is>
          <t>YES! 主键相关索引</t>
        </is>
      </c>
      <c r="K244" s="0" t="inlineStr">
        <is>
          <t xml:space="preserve"> NO!  	 id列源备映射错误，源端为int None位	期望更改为text	实际备端为int None位</t>
        </is>
      </c>
      <c r="BE244" s="0" t="inlineStr">
        <is>
          <t>29行 1列，源：2065-05-11 14:30:45 备：1945-05-11 14:30:45</t>
        </is>
      </c>
      <c r="BJ244" s="0" t="inlineStr">
        <is>
          <t>16行 2列，源：nan 备：0</t>
        </is>
      </c>
      <c r="BX244" s="0" t="inlineStr">
        <is>
          <t>26行 4列，源：1900-01-01 00:00:00.000 +00:00 备：</t>
        </is>
      </c>
      <c r="CB244" s="0" t="inlineStr">
        <is>
          <t>30行 4列，源：1999-05-16 01:30:45.123 +10:15 备：2063-05-11 10:30:45.123 -04:00</t>
        </is>
      </c>
      <c r="CM244" s="0" t="inlineStr">
        <is>
          <t>15行 4列，源：nan 备：</t>
        </is>
      </c>
      <c r="DA244" s="0" t="inlineStr">
        <is>
          <t>14行 16列，源：nan 备：</t>
        </is>
      </c>
      <c r="DL244" s="0" t="inlineStr">
        <is>
          <t>31行 7列，源：12:00:00.123457 备：12:30:45.123000</t>
        </is>
      </c>
      <c r="DX244" s="0" t="inlineStr">
        <is>
          <t>16行 0列，源：17 备：6</t>
        </is>
      </c>
      <c r="EH244" s="0" t="inlineStr">
        <is>
          <t>16行 0列，源：17 备：114</t>
        </is>
      </c>
      <c r="EP244" s="0" t="inlineStr">
        <is>
          <t>16行 0列，源：17 备：6</t>
        </is>
      </c>
      <c r="ES244" s="0" t="inlineStr">
        <is>
          <t>16行 0列，源：17 备：114</t>
        </is>
      </c>
    </row>
    <row r="245">
      <c r="B245" s="0" t="inlineStr">
        <is>
          <t>NULL</t>
        </is>
      </c>
      <c r="C245" s="0" t="inlineStr">
        <is>
          <t>NULL</t>
        </is>
      </c>
      <c r="D245" s="0" t="inlineStr">
        <is>
          <t>NULL</t>
        </is>
      </c>
      <c r="E245" s="0" t="inlineStr">
        <is>
          <t>NULL</t>
        </is>
      </c>
      <c r="F245" s="0" t="inlineStr">
        <is>
          <t>NULL</t>
        </is>
      </c>
      <c r="G245" s="0" t="inlineStr">
        <is>
          <t>NULL</t>
        </is>
      </c>
      <c r="H245" s="0" t="inlineStr">
        <is>
          <t>NULL</t>
        </is>
      </c>
      <c r="I245" s="0" t="inlineStr">
        <is>
          <t>NULL</t>
        </is>
      </c>
      <c r="J245" s="0" t="inlineStr">
        <is>
          <t>NULL</t>
        </is>
      </c>
      <c r="K245" s="0" t="inlineStr">
        <is>
          <t xml:space="preserve"> NO!  	 c_nchar列源备映射错误，源端为nchar 2位	期望更改为text	实际备端为nchar 2位</t>
        </is>
      </c>
      <c r="BE245" s="0" t="inlineStr">
        <is>
          <t>29行 2列，源：2065-05-11 14:30:45.100000 备：1945-05-11 14:30:45.1</t>
        </is>
      </c>
      <c r="BJ245" s="0" t="inlineStr">
        <is>
          <t>16行 3列，源：nan 备：0</t>
        </is>
      </c>
      <c r="BX245" s="0" t="inlineStr">
        <is>
          <t>26行 5列，源：1900-01-01 00:00:00.0000 +00:00 备：</t>
        </is>
      </c>
      <c r="CB245" s="0" t="inlineStr">
        <is>
          <t>30行 5列，源：1999-05-16 01:30:45.1235 +10:15 备：2063-05-11 10:30:45.1235 -04:00</t>
        </is>
      </c>
      <c r="CM245" s="0" t="inlineStr">
        <is>
          <t>15行 5列，源：None 备：</t>
        </is>
      </c>
      <c r="DA245" s="0" t="inlineStr">
        <is>
          <t>14行 19列，源：None 备：1</t>
        </is>
      </c>
      <c r="DL245" s="0" t="inlineStr">
        <is>
          <t>31行 8列，源：None 备：12:30:45.1230000</t>
        </is>
      </c>
      <c r="DX245" s="0" t="inlineStr">
        <is>
          <t>16行 1列，源：nan 备：127</t>
        </is>
      </c>
      <c r="EH245" s="0" t="inlineStr">
        <is>
          <t>16行 1列，源：nan 备：</t>
        </is>
      </c>
      <c r="EP245" s="0" t="inlineStr">
        <is>
          <t>16行 1列，源：nan 备：127</t>
        </is>
      </c>
      <c r="ES245" s="0" t="inlineStr">
        <is>
          <t>16行 1列，源：nan 备：</t>
        </is>
      </c>
    </row>
    <row r="246">
      <c r="B246" s="0" t="inlineStr">
        <is>
          <t>NULL</t>
        </is>
      </c>
      <c r="C246" s="0" t="inlineStr">
        <is>
          <t>NULL</t>
        </is>
      </c>
      <c r="D246" s="0" t="inlineStr">
        <is>
          <t>NULL</t>
        </is>
      </c>
      <c r="E246" s="0" t="inlineStr">
        <is>
          <t>NULL</t>
        </is>
      </c>
      <c r="F246" s="0" t="inlineStr">
        <is>
          <t>NULL</t>
        </is>
      </c>
      <c r="G246" s="0" t="inlineStr">
        <is>
          <t>NULL</t>
        </is>
      </c>
      <c r="H246" s="0" t="inlineStr">
        <is>
          <t>NULL</t>
        </is>
      </c>
      <c r="I246" s="0" t="inlineStr">
        <is>
          <t>NULL</t>
        </is>
      </c>
      <c r="J246" s="0" t="inlineStr">
        <is>
          <t>NULL</t>
        </is>
      </c>
      <c r="K246" s="0" t="inlineStr">
        <is>
          <t xml:space="preserve"> NO!  	 c_nchar20列源备映射错误，源端为nchar 40位	期望更改为text	实际备端为nchar 40位</t>
        </is>
      </c>
      <c r="BE246" s="0" t="inlineStr">
        <is>
          <t>29行 3列，源：2065-05-11 14:30:45.120000 备：1945-05-11 14:30:45.12</t>
        </is>
      </c>
      <c r="BJ246" s="0" t="inlineStr">
        <is>
          <t>16行 4列，源：nan 备：0</t>
        </is>
      </c>
      <c r="BX246" s="0" t="inlineStr">
        <is>
          <t>26行 5列，源：1900-01-01 00:00:00.0000 +00:00 备：</t>
        </is>
      </c>
      <c r="CB246" s="0" t="inlineStr">
        <is>
          <t>30行 6列，源：1999-05-16 01:30:45.12346 +10:15 备：2063-05-11 10:30:45.12346 -04:00</t>
        </is>
      </c>
      <c r="CM246" s="0" t="inlineStr">
        <is>
          <t>15行 6列，源：None 备：</t>
        </is>
      </c>
      <c r="DA246" s="0" t="inlineStr">
        <is>
          <t>15行 0列，源：20 备：5</t>
        </is>
      </c>
      <c r="DL246" s="0" t="inlineStr">
        <is>
          <t>35行 0列，源：80 备：8</t>
        </is>
      </c>
      <c r="DX246" s="0" t="inlineStr">
        <is>
          <t>16行 2列，源：nan 备：255</t>
        </is>
      </c>
      <c r="EH246" s="0" t="inlineStr">
        <is>
          <t>16行 2列，源：nan 备：</t>
        </is>
      </c>
      <c r="EP246" s="0" t="inlineStr">
        <is>
          <t>16行 2列，源：nan 备：255</t>
        </is>
      </c>
      <c r="ES246" s="0" t="inlineStr">
        <is>
          <t>16行 2列，源：nan 备：</t>
        </is>
      </c>
    </row>
    <row r="247">
      <c r="B247" s="0" t="inlineStr">
        <is>
          <t>NULL</t>
        </is>
      </c>
      <c r="C247" s="0" t="inlineStr">
        <is>
          <t>NULL</t>
        </is>
      </c>
      <c r="D247" s="0" t="inlineStr">
        <is>
          <t>NULL</t>
        </is>
      </c>
      <c r="E247" s="0" t="inlineStr">
        <is>
          <t>NULL</t>
        </is>
      </c>
      <c r="F247" s="0" t="inlineStr">
        <is>
          <t>NULL</t>
        </is>
      </c>
      <c r="G247" s="0" t="inlineStr">
        <is>
          <t>NULL</t>
        </is>
      </c>
      <c r="H247" s="0" t="inlineStr">
        <is>
          <t>NULL</t>
        </is>
      </c>
      <c r="I247" s="0" t="inlineStr">
        <is>
          <t>NULL</t>
        </is>
      </c>
      <c r="J247" s="0" t="inlineStr">
        <is>
          <t>NULL</t>
        </is>
      </c>
      <c r="K247" s="0" t="inlineStr">
        <is>
          <t xml:space="preserve"> NO!  	 c_nchar4000列源备映射错误，源端为nchar 8000位	期望更改为text	实际备端为nchar 8000位</t>
        </is>
      </c>
      <c r="BE247" s="0" t="inlineStr">
        <is>
          <t>29行 4列，源：2065-05-11 14:30:45.123000 备：1945-05-11 14:30:45.123</t>
        </is>
      </c>
      <c r="BJ247" s="0" t="inlineStr">
        <is>
          <t>16行 5列，源：None 备：99999</t>
        </is>
      </c>
      <c r="BX247" s="0" t="inlineStr">
        <is>
          <t>26行 6列，源：1900-01-01 00:00:00.00000 +00:00 备：</t>
        </is>
      </c>
      <c r="CB247" s="0" t="inlineStr">
        <is>
          <t>30行 7列，源：1999-05-16 01:30:45.123457 +10:15 备：2063-05-11 10:30:45.123457 -04:00</t>
        </is>
      </c>
      <c r="CM247" s="0" t="inlineStr">
        <is>
          <t>15行 7列，源：None 备：</t>
        </is>
      </c>
      <c r="DA247" s="0" t="inlineStr">
        <is>
          <t>15行 1列，源：222.0 备：123</t>
        </is>
      </c>
      <c r="DL247" s="0" t="inlineStr">
        <is>
          <t>36行 0列，源：81 备：80</t>
        </is>
      </c>
      <c r="DX247" s="0" t="inlineStr">
        <is>
          <t>16行 3列，源：nan 备：65535</t>
        </is>
      </c>
      <c r="EH247" s="0" t="inlineStr">
        <is>
          <t>16行 3列，源：nan 备：</t>
        </is>
      </c>
      <c r="EP247" s="0" t="inlineStr">
        <is>
          <t>16行 3列，源：nan 备：65535</t>
        </is>
      </c>
      <c r="ES247" s="0" t="inlineStr">
        <is>
          <t>16行 3列，源：nan 备：</t>
        </is>
      </c>
    </row>
    <row r="248">
      <c r="A248" s="0" t="inlineStr">
        <is>
          <t>info_datetime_dml_batch1_pk_drp1</t>
        </is>
      </c>
      <c r="K248" s="0" t="inlineStr">
        <is>
          <t>[0;34m info_datetime_dml_batch1_pk_drp1 [0m源备字段数相同，源端字段：2 	备端字段2</t>
        </is>
      </c>
      <c r="W248" s="0" t="inlineStr">
        <is>
          <t>YES 源备无差异</t>
        </is>
      </c>
      <c r="X248" s="0">
        <f>A248</f>
        <v/>
      </c>
      <c r="BE248" s="0" t="inlineStr">
        <is>
          <t>29行 5列，源：2065-05-11 14:30:45.123500 备：1945-05-11 14:30:45.1235</t>
        </is>
      </c>
      <c r="BJ248" s="0" t="inlineStr">
        <is>
          <t>16行 6列，源：None 备：</t>
        </is>
      </c>
      <c r="BX248" s="0" t="inlineStr">
        <is>
          <t>26行 6列，源：1900-01-01 00:00:00.00000 +00:00 备：</t>
        </is>
      </c>
      <c r="CB248" s="0" t="inlineStr">
        <is>
          <t>30行 8列，源：1999-05-16 01:30:45.1234567 +10:15 备：2063-05-11 10:30:45.1234567 -04:00</t>
        </is>
      </c>
      <c r="CM248" s="0" t="inlineStr">
        <is>
          <t>15行 8列，源：None 备：</t>
        </is>
      </c>
      <c r="DA248" s="0" t="inlineStr">
        <is>
          <t>15行 2列，源：nan 备：12345</t>
        </is>
      </c>
      <c r="DL248" s="0" t="inlineStr">
        <is>
          <t>37行 0列，源：82 备：81</t>
        </is>
      </c>
      <c r="DX248" s="0" t="inlineStr">
        <is>
          <t>16行 4列，源：nan 备：4294967295</t>
        </is>
      </c>
      <c r="EH248" s="0" t="inlineStr">
        <is>
          <t>16行 4列，源：nan 备：</t>
        </is>
      </c>
      <c r="EP248" s="0" t="inlineStr">
        <is>
          <t>16行 4列，源：nan 备：4294967295</t>
        </is>
      </c>
      <c r="ES248" s="0" t="inlineStr">
        <is>
          <t>16行 4列，源：nan 备：</t>
        </is>
      </c>
    </row>
    <row r="249">
      <c r="B249" s="0" t="inlineStr">
        <is>
          <t>YES</t>
        </is>
      </c>
      <c r="C249" s="0" t="inlineStr">
        <is>
          <t>NULL</t>
        </is>
      </c>
      <c r="D249" s="0" t="inlineStr">
        <is>
          <t>NULL</t>
        </is>
      </c>
      <c r="E249" s="0" t="inlineStr">
        <is>
          <t>NULL</t>
        </is>
      </c>
      <c r="F249" s="0" t="inlineStr">
        <is>
          <t>NULL</t>
        </is>
      </c>
      <c r="G249" s="0" t="inlineStr">
        <is>
          <t>NULL</t>
        </is>
      </c>
      <c r="H249" s="0" t="inlineStr">
        <is>
          <t>NULL</t>
        </is>
      </c>
      <c r="I249" s="0" t="inlineStr">
        <is>
          <t>YES!PK__info_dat__3213E83FFEC2FB48</t>
        </is>
      </c>
      <c r="J249" s="0" t="inlineStr">
        <is>
          <t>YES! 主键相关索引</t>
        </is>
      </c>
      <c r="K249" s="0" t="inlineStr">
        <is>
          <t xml:space="preserve"> NO!  	 id列源备映射错误，源端为int None位	期望更改为text	实际备端为int None位</t>
        </is>
      </c>
      <c r="BE249" s="0" t="inlineStr">
        <is>
          <t>29行 6列，源：2065-05-11 14:30:45.123460 备：1945-05-11 14:30:45.12346</t>
        </is>
      </c>
      <c r="BJ249" s="0" t="inlineStr">
        <is>
          <t>16行 7列，源：None 备：</t>
        </is>
      </c>
      <c r="BX249" s="0" t="inlineStr">
        <is>
          <t>26行 7列，源：1900-01-01 00:00:00.000000 +00:00 备：</t>
        </is>
      </c>
      <c r="CB249" s="0" t="inlineStr">
        <is>
          <t>31行 0列，源：110 备：60</t>
        </is>
      </c>
      <c r="CM249" s="0" t="inlineStr">
        <is>
          <t>15行 9列，源：None 备：</t>
        </is>
      </c>
      <c r="DA249" s="0" t="inlineStr">
        <is>
          <t>15行 3列，源：nan 备：1234567890</t>
        </is>
      </c>
      <c r="DL249" s="0" t="inlineStr">
        <is>
          <t>37行 1列，源：23:59:59 备：12:30:45</t>
        </is>
      </c>
      <c r="DX249" s="0" t="inlineStr">
        <is>
          <t>16行 5列，源：None 备：</t>
        </is>
      </c>
      <c r="EH249" s="0" t="inlineStr">
        <is>
          <t>16行 5列，源：None 备：1000000000000000</t>
        </is>
      </c>
      <c r="EP249" s="0" t="inlineStr">
        <is>
          <t>16行 5列，源：None 备：</t>
        </is>
      </c>
      <c r="ES249" s="0" t="inlineStr">
        <is>
          <t>16行 5列，源：None 备：1000000000000000</t>
        </is>
      </c>
    </row>
    <row r="250">
      <c r="B250" s="0" t="inlineStr">
        <is>
          <t>NULL</t>
        </is>
      </c>
      <c r="C250" s="0" t="inlineStr">
        <is>
          <t>NULL</t>
        </is>
      </c>
      <c r="D250" s="0" t="inlineStr">
        <is>
          <t>NULL</t>
        </is>
      </c>
      <c r="E250" s="0" t="inlineStr">
        <is>
          <t>NULL</t>
        </is>
      </c>
      <c r="F250" s="0" t="inlineStr">
        <is>
          <t>NULL</t>
        </is>
      </c>
      <c r="G250" s="0" t="inlineStr">
        <is>
          <t>NULL</t>
        </is>
      </c>
      <c r="H250" s="0" t="inlineStr">
        <is>
          <t>NULL</t>
        </is>
      </c>
      <c r="I250" s="0" t="inlineStr">
        <is>
          <t>NULL</t>
        </is>
      </c>
      <c r="J250" s="0" t="inlineStr">
        <is>
          <t>NULL</t>
        </is>
      </c>
      <c r="K250" s="0" t="inlineStr">
        <is>
          <t xml:space="preserve"> NO!  	 c_datetime列源备映射错误，源端为datetime None位	期望更改为text	实际备端为datetime None位</t>
        </is>
      </c>
      <c r="BE250" s="0" t="inlineStr">
        <is>
          <t>29行 7列，源：2065-05-11 14:30:45.123457 备：1945-05-11 14:30:45.123457</t>
        </is>
      </c>
      <c r="BJ250" s="0" t="inlineStr">
        <is>
          <t>16行 8列，源：None 备：</t>
        </is>
      </c>
      <c r="BX250" s="0" t="inlineStr">
        <is>
          <t>26行 7列，源：1900-01-01 00:00:00.000000 +00:00 备：</t>
        </is>
      </c>
      <c r="CB250" s="0" t="inlineStr">
        <is>
          <t>32行 0列，源：111 备：61</t>
        </is>
      </c>
      <c r="CM250" s="0" t="inlineStr">
        <is>
          <t>15行 10列，源：None 备：</t>
        </is>
      </c>
      <c r="DA250" s="0" t="inlineStr">
        <is>
          <t>15行 4列，源：nan 备：1234567890123456</t>
        </is>
      </c>
      <c r="DL250" s="0" t="inlineStr">
        <is>
          <t>37行 2列，源：23:59:59.100000 备：12:30:45.1</t>
        </is>
      </c>
      <c r="DX250" s="0" t="inlineStr">
        <is>
          <t>16行 6列，源：None 备：</t>
        </is>
      </c>
      <c r="EH250" s="0" t="inlineStr">
        <is>
          <t>16行 6列，源：None 备：99999999999999999999999999999999</t>
        </is>
      </c>
      <c r="EP250" s="0" t="inlineStr">
        <is>
          <t>16行 6列，源：None 备：</t>
        </is>
      </c>
      <c r="ES250" s="0" t="inlineStr">
        <is>
          <t>16行 6列，源：None 备：99999999999999999999999999999999</t>
        </is>
      </c>
    </row>
    <row r="251">
      <c r="K251" s="0" t="inlineStr">
        <is>
          <t>~ 空表</t>
        </is>
      </c>
      <c r="BE251" s="0" t="inlineStr">
        <is>
          <t>29行 8列，源：2065-05-11 14:30:45.123456 备：1945-05-11 14:30:45.1234567</t>
        </is>
      </c>
      <c r="BJ251" s="0" t="inlineStr">
        <is>
          <t>16行 9列，源：None 备：-11111.3400</t>
        </is>
      </c>
      <c r="BX251" s="0" t="inlineStr">
        <is>
          <t>26行 8列，源：1900-01-01 00:00:00.0000000 +00:00 备：</t>
        </is>
      </c>
      <c r="CB251" s="0" t="inlineStr">
        <is>
          <t>33行 0列，源：112 备：62</t>
        </is>
      </c>
      <c r="CM251" s="0" t="inlineStr">
        <is>
          <t>15行 11列，源：None 备：</t>
        </is>
      </c>
      <c r="DA251" s="0" t="inlineStr">
        <is>
          <t>15行 5列，源：None 备：123456789123456789</t>
        </is>
      </c>
      <c r="DL251" s="0" t="inlineStr">
        <is>
          <t>37行 3列，源：23:59:59.120000 备：12:30:45.12</t>
        </is>
      </c>
      <c r="DX251" s="0" t="inlineStr">
        <is>
          <t>16行 7列，源：None 备：</t>
        </is>
      </c>
      <c r="EH251" s="0" t="inlineStr">
        <is>
          <t>16行 7列，源：None 备：0.99999999999999999999999999999900000000</t>
        </is>
      </c>
      <c r="EP251" s="0" t="inlineStr">
        <is>
          <t>16行 7列，源：None 备：</t>
        </is>
      </c>
      <c r="ES251" s="0" t="inlineStr">
        <is>
          <t>16行 7列，源：None 备：0.99999999999999999999999999999900000000</t>
        </is>
      </c>
    </row>
    <row r="252">
      <c r="A252" s="0" t="inlineStr">
        <is>
          <t>info_nvarchar_dml_batch1_pk</t>
        </is>
      </c>
      <c r="K252" s="0" t="inlineStr">
        <is>
          <t>[0;34m info_nvarchar_dml_batch1_pk [0m源备字段数相同，源端字段：4 	备端字段4</t>
        </is>
      </c>
      <c r="W252" s="0" t="inlineStr">
        <is>
          <t>YES 源备无差异</t>
        </is>
      </c>
      <c r="X252" s="0">
        <f>A252</f>
        <v/>
      </c>
      <c r="BE252" s="0" t="inlineStr">
        <is>
          <t>30行 0列，源：323 备：7</t>
        </is>
      </c>
      <c r="BJ252" s="0" t="inlineStr">
        <is>
          <t>16行 10列，源：None 备：</t>
        </is>
      </c>
      <c r="BX252" s="0" t="inlineStr">
        <is>
          <t>26行 8列，源：1900-01-01 00:00:00.0000000 +00:00 备：</t>
        </is>
      </c>
      <c r="CB252" s="0" t="inlineStr">
        <is>
          <t>34行 0列，源：113 备：63</t>
        </is>
      </c>
      <c r="CM252" s="0" t="inlineStr">
        <is>
          <t>15行 12列，源：None 备：</t>
        </is>
      </c>
      <c r="DA252" s="0" t="inlineStr">
        <is>
          <t>15行 6列，源：None 备：-1234567890123456789012345</t>
        </is>
      </c>
      <c r="DL252" s="0" t="inlineStr">
        <is>
          <t>37行 4列，源：23:59:59.123000 备：12:30:45.123</t>
        </is>
      </c>
      <c r="DX252" s="0" t="inlineStr">
        <is>
          <t>16行 8列，源：None 备：</t>
        </is>
      </c>
      <c r="EH252" s="0" t="inlineStr">
        <is>
          <t>16行 8列，源：None 备：9999999999999999999999.9999990000</t>
        </is>
      </c>
      <c r="EP252" s="0" t="inlineStr">
        <is>
          <t>16行 8列，源：None 备：</t>
        </is>
      </c>
      <c r="ES252" s="0" t="inlineStr">
        <is>
          <t>16行 8列，源：None 备：9999999999999999999999.9999990000</t>
        </is>
      </c>
    </row>
    <row r="253">
      <c r="B253" s="0" t="inlineStr">
        <is>
          <t>YES</t>
        </is>
      </c>
      <c r="C253" s="0" t="inlineStr">
        <is>
          <t>NULL</t>
        </is>
      </c>
      <c r="D253" s="0" t="inlineStr">
        <is>
          <t>NULL</t>
        </is>
      </c>
      <c r="E253" s="0" t="inlineStr">
        <is>
          <t>NULL</t>
        </is>
      </c>
      <c r="F253" s="0" t="inlineStr">
        <is>
          <t>NULL</t>
        </is>
      </c>
      <c r="G253" s="0" t="inlineStr">
        <is>
          <t>NULL</t>
        </is>
      </c>
      <c r="H253" s="0" t="inlineStr">
        <is>
          <t>NULL</t>
        </is>
      </c>
      <c r="I253" s="0" t="inlineStr">
        <is>
          <t>YES!PK__info_nva__3213E83F7D35E066</t>
        </is>
      </c>
      <c r="J253" s="0" t="inlineStr">
        <is>
          <t>YES! 主键相关索引</t>
        </is>
      </c>
      <c r="K253" s="0" t="inlineStr">
        <is>
          <t xml:space="preserve"> NO!  	 id列源备映射错误，源端为int None位	期望更改为text	实际备端为int None位</t>
        </is>
      </c>
      <c r="BE253" s="0" t="inlineStr">
        <is>
          <t>30行 1列，源：2026-04-17 17:17:25 备：2065-05-11 14:30:45</t>
        </is>
      </c>
      <c r="BJ253" s="0" t="inlineStr">
        <is>
          <t>16行 11列，源：None 备：</t>
        </is>
      </c>
      <c r="BX253" s="0" t="inlineStr">
        <is>
          <t>27行 0列，源：73 备：22</t>
        </is>
      </c>
      <c r="CB253" s="0" t="inlineStr">
        <is>
          <t>35行 0列，源：203 备：7</t>
        </is>
      </c>
      <c r="CM253" s="0" t="inlineStr">
        <is>
          <t>15行 13列，源：None 备：</t>
        </is>
      </c>
      <c r="DA253" s="0" t="inlineStr">
        <is>
          <t>15行 7列，源：None 备：0.00000000000000000000000080000000000000</t>
        </is>
      </c>
      <c r="DL253" s="0" t="inlineStr">
        <is>
          <t>37行 5列，源：23:59:59.123500 备：12:30:45.1235</t>
        </is>
      </c>
      <c r="DX253" s="0" t="inlineStr">
        <is>
          <t>16行 9列，源：None 备：</t>
        </is>
      </c>
      <c r="EH253" s="0" t="inlineStr">
        <is>
          <t>16行 9列，源：None 备：999999999999.9990</t>
        </is>
      </c>
      <c r="EP253" s="0" t="inlineStr">
        <is>
          <t>16行 9列，源：None 备：</t>
        </is>
      </c>
      <c r="ES253" s="0" t="inlineStr">
        <is>
          <t>16行 9列，源：None 备：999999999999.9990</t>
        </is>
      </c>
    </row>
    <row r="254">
      <c r="B254" s="0" t="inlineStr">
        <is>
          <t>NULL</t>
        </is>
      </c>
      <c r="C254" s="0" t="inlineStr">
        <is>
          <t>NULL</t>
        </is>
      </c>
      <c r="D254" s="0" t="inlineStr">
        <is>
          <t>NULL</t>
        </is>
      </c>
      <c r="E254" s="0" t="inlineStr">
        <is>
          <t>NULL</t>
        </is>
      </c>
      <c r="F254" s="0" t="inlineStr">
        <is>
          <t>NULL</t>
        </is>
      </c>
      <c r="G254" s="0" t="inlineStr">
        <is>
          <t>NULL</t>
        </is>
      </c>
      <c r="H254" s="0" t="inlineStr">
        <is>
          <t>NULL</t>
        </is>
      </c>
      <c r="I254" s="0" t="inlineStr">
        <is>
          <t>NULL</t>
        </is>
      </c>
      <c r="J254" s="0" t="inlineStr">
        <is>
          <t>NULL</t>
        </is>
      </c>
      <c r="K254" s="0" t="inlineStr">
        <is>
          <t xml:space="preserve"> NO!  	 c_nvarchar列源备映射错误，源端为nvarchar 2位	期望更改为text	实际备端为nvarchar 2位</t>
        </is>
      </c>
      <c r="BE254" s="0" t="inlineStr">
        <is>
          <t>30行 2列，源：2026-04-17 17:17:24.600000 备：2065-05-11 14:30:45.1</t>
        </is>
      </c>
      <c r="BJ254" s="0" t="inlineStr">
        <is>
          <t>16行 12列，源：None 备：</t>
        </is>
      </c>
      <c r="BX254" s="0" t="inlineStr">
        <is>
          <t>27行 1列，源：2026-04-17 17:18:23 +08:00 备：1900-01-01 00:00:00 +00:00</t>
        </is>
      </c>
      <c r="CB254" s="0" t="inlineStr">
        <is>
          <t>35行 1列，源：2026-04-17 17:18:32 +08:00 备：1933-05-11 15:30:45 +01:00</t>
        </is>
      </c>
      <c r="CM254" s="0" t="inlineStr">
        <is>
          <t>15行 14列，源：None 备：</t>
        </is>
      </c>
      <c r="DA254" s="0" t="inlineStr">
        <is>
          <t>15行 8列，源：None 备：1234567890123456789012345678.1234567890</t>
        </is>
      </c>
      <c r="DL254" s="0" t="inlineStr">
        <is>
          <t>37行 6列，源：23:59:59.123460 备：12:30:45.12346</t>
        </is>
      </c>
      <c r="DX254" s="0" t="inlineStr">
        <is>
          <t>16行 10列，源：None 备：</t>
        </is>
      </c>
      <c r="EH254" s="0" t="inlineStr">
        <is>
          <t>16行 10列，源：None 备：100000000000000</t>
        </is>
      </c>
      <c r="EP254" s="0" t="inlineStr">
        <is>
          <t>16行 10列，源：None 备：</t>
        </is>
      </c>
      <c r="ES254" s="0" t="inlineStr">
        <is>
          <t>16行 10列，源：None 备：100000000000000</t>
        </is>
      </c>
    </row>
    <row r="255">
      <c r="B255" s="0" t="inlineStr">
        <is>
          <t>NULL</t>
        </is>
      </c>
      <c r="C255" s="0" t="inlineStr">
        <is>
          <t>NULL</t>
        </is>
      </c>
      <c r="D255" s="0" t="inlineStr">
        <is>
          <t>NULL</t>
        </is>
      </c>
      <c r="E255" s="0" t="inlineStr">
        <is>
          <t>NULL</t>
        </is>
      </c>
      <c r="F255" s="0" t="inlineStr">
        <is>
          <t>NULL</t>
        </is>
      </c>
      <c r="G255" s="0" t="inlineStr">
        <is>
          <t>NULL</t>
        </is>
      </c>
      <c r="H255" s="0" t="inlineStr">
        <is>
          <t>NULL</t>
        </is>
      </c>
      <c r="I255" s="0" t="inlineStr">
        <is>
          <t>NULL</t>
        </is>
      </c>
      <c r="J255" s="0" t="inlineStr">
        <is>
          <t>NULL</t>
        </is>
      </c>
      <c r="K255" s="0" t="inlineStr">
        <is>
          <t xml:space="preserve"> NO!  	 c_nvarchar20列源备映射错误，源端为nvarchar 40位	期望更改为text	实际备端为nvarchar 40位</t>
        </is>
      </c>
      <c r="BE255" s="0" t="inlineStr">
        <is>
          <t>30行 3列，源：2026-04-17 17:17:24.630000 备：2065-05-11 14:30:45.12</t>
        </is>
      </c>
      <c r="BJ255" s="0" t="inlineStr">
        <is>
          <t>16行 13列，源：None 备：</t>
        </is>
      </c>
      <c r="BX255" s="0" t="inlineStr">
        <is>
          <t>27行 2列，源：2026-04-17 17:18:22.8 +08:00 备：1900-01-01 00:00:00.0 +00:00</t>
        </is>
      </c>
      <c r="CB255" s="0" t="inlineStr">
        <is>
          <t>35行 2列，源：2026-04-17 17:18:31.5 +08:00 备：1933-05-11 15:30:45.1 +01:00</t>
        </is>
      </c>
      <c r="CM255" s="0" t="inlineStr">
        <is>
          <t>15行 15列，源：nan 备：</t>
        </is>
      </c>
      <c r="DA255" s="0" t="inlineStr">
        <is>
          <t>15行 9列，源：None 备：-123456789012.1234</t>
        </is>
      </c>
      <c r="DL255" s="0" t="inlineStr">
        <is>
          <t>37行 7列，源：23:59:59.123457 备：12:30:45.123457</t>
        </is>
      </c>
      <c r="DX255" s="0" t="inlineStr">
        <is>
          <t>16行 11列，源：None 备：</t>
        </is>
      </c>
      <c r="EH255" s="0" t="inlineStr">
        <is>
          <t>16行 11列，源：None 备：999999999999999999999</t>
        </is>
      </c>
      <c r="EP255" s="0" t="inlineStr">
        <is>
          <t>16行 11列，源：None 备：</t>
        </is>
      </c>
      <c r="ES255" s="0" t="inlineStr">
        <is>
          <t>16行 11列，源：None 备：999999999999999999999</t>
        </is>
      </c>
    </row>
    <row r="256">
      <c r="B256" s="0" t="inlineStr">
        <is>
          <t>NULL</t>
        </is>
      </c>
      <c r="C256" s="0" t="inlineStr">
        <is>
          <t>NULL</t>
        </is>
      </c>
      <c r="D256" s="0" t="inlineStr">
        <is>
          <t>NULL</t>
        </is>
      </c>
      <c r="E256" s="0" t="inlineStr">
        <is>
          <t>NULL</t>
        </is>
      </c>
      <c r="F256" s="0" t="inlineStr">
        <is>
          <t>NULL</t>
        </is>
      </c>
      <c r="G256" s="0" t="inlineStr">
        <is>
          <t>NULL</t>
        </is>
      </c>
      <c r="H256" s="0" t="inlineStr">
        <is>
          <t>NULL</t>
        </is>
      </c>
      <c r="I256" s="0" t="inlineStr">
        <is>
          <t>NULL</t>
        </is>
      </c>
      <c r="J256" s="0" t="inlineStr">
        <is>
          <t>NULL</t>
        </is>
      </c>
      <c r="K256" s="0" t="inlineStr">
        <is>
          <t xml:space="preserve"> NO!  	 c_nvarchar3500列源备映射错误，源端为nchar 7000位	期望更改为text	实际备端为nchar 7000位</t>
        </is>
      </c>
      <c r="BE256" s="0" t="inlineStr">
        <is>
          <t>30行 4列，源：2026-04-17 17:17:24.631000 备：2065-05-11 14:30:45.123</t>
        </is>
      </c>
      <c r="BJ256" s="0" t="inlineStr">
        <is>
          <t>16行 14列，源：None 备：</t>
        </is>
      </c>
      <c r="BX256" s="0" t="inlineStr">
        <is>
          <t>27行 3列，源：2026-04-17 17:18:22.75 +08:00 备：1900-01-01 00:00:00.00 +00:00</t>
        </is>
      </c>
      <c r="CB256" s="0" t="inlineStr">
        <is>
          <t>35行 3列，源：2026-04-17 17:18:31.54 +08:00 备：1933-05-11 15:30:45.12 +01:00</t>
        </is>
      </c>
      <c r="CM256" s="0" t="inlineStr">
        <is>
          <t>15行 16列，源：nan 备：</t>
        </is>
      </c>
      <c r="DA256" s="0" t="inlineStr">
        <is>
          <t>15行 10列，源：None 备：123456789123456789</t>
        </is>
      </c>
      <c r="DL256" s="0" t="inlineStr">
        <is>
          <t>37行 8列，源：23:59:59.123456 备：12:30:45.1234567</t>
        </is>
      </c>
      <c r="DX256" s="0" t="inlineStr">
        <is>
          <t>16行 12列，源：None 备：</t>
        </is>
      </c>
      <c r="EH256" s="0" t="inlineStr">
        <is>
          <t>16行 12列，源：None 备：0.99999999999999999999999999900000000000</t>
        </is>
      </c>
      <c r="EP256" s="0" t="inlineStr">
        <is>
          <t>16行 12列，源：None 备：</t>
        </is>
      </c>
      <c r="ES256" s="0" t="inlineStr">
        <is>
          <t>16行 12列，源：None 备：0.99999999999999999999999999900000000000</t>
        </is>
      </c>
    </row>
    <row r="257">
      <c r="A257" s="0" t="inlineStr">
        <is>
          <t>info_datetime_dml_batch1_pk_drp2</t>
        </is>
      </c>
      <c r="K257" s="0" t="inlineStr">
        <is>
          <t>[0;34m info_datetime_dml_batch1_pk_drp2 [0m源备字段数相同，源端字段：2 	备端字段2</t>
        </is>
      </c>
      <c r="W257" s="2">
        <f>HYPERLINK("#2026041905hbase4!BA2","NO 源备存在差异，共12个")</f>
        <v/>
      </c>
      <c r="X257" s="0">
        <f>A257</f>
        <v/>
      </c>
      <c r="BE257" s="0" t="inlineStr">
        <is>
          <t>30行 5列，源：2026-04-17 17:17:24.630600 备：2065-05-11 14:30:45.1235</t>
        </is>
      </c>
      <c r="BJ257" s="0" t="inlineStr">
        <is>
          <t>16行 15列，源：1.23456789e-38 备：123.4567890000000</t>
        </is>
      </c>
      <c r="BX257" s="0" t="inlineStr">
        <is>
          <t>27行 4列，源：2026-04-17 17:18:22.755 +08:00 备：1900-01-01 00:00:00.000 +00:00</t>
        </is>
      </c>
      <c r="CB257" s="0" t="inlineStr">
        <is>
          <t>35行 4列，源：2026-04-17 17:18:31.537 +08:00 备：1933-05-11 15:30:45.123 +01:00</t>
        </is>
      </c>
      <c r="CM257" s="0" t="inlineStr">
        <is>
          <t>15行 19列，源：None 备：1</t>
        </is>
      </c>
      <c r="DA257" s="0" t="inlineStr">
        <is>
          <t>15行 11列，源：None 备：-1234567890123456789012345</t>
        </is>
      </c>
      <c r="DL257" s="0" t="inlineStr">
        <is>
          <t>38行 0列，源：83 备：82</t>
        </is>
      </c>
      <c r="DX257" s="0" t="inlineStr">
        <is>
          <t>16行 13列，源：None 备：</t>
        </is>
      </c>
      <c r="EH257" s="0" t="inlineStr">
        <is>
          <t>16行 13列，源：None 备：999999999999999999999.9999990000</t>
        </is>
      </c>
      <c r="EP257" s="0" t="inlineStr">
        <is>
          <t>16行 13列，源：None 备：</t>
        </is>
      </c>
      <c r="ES257" s="0" t="inlineStr">
        <is>
          <t>16行 13列，源：None 备：999999999999999999999.9999990000</t>
        </is>
      </c>
    </row>
    <row r="258">
      <c r="B258" s="0" t="inlineStr">
        <is>
          <t>YES</t>
        </is>
      </c>
      <c r="C258" s="0" t="inlineStr">
        <is>
          <t>NULL</t>
        </is>
      </c>
      <c r="D258" s="0" t="inlineStr">
        <is>
          <t>NULL</t>
        </is>
      </c>
      <c r="E258" s="0" t="inlineStr">
        <is>
          <t>NULL</t>
        </is>
      </c>
      <c r="F258" s="0" t="inlineStr">
        <is>
          <t>NULL</t>
        </is>
      </c>
      <c r="G258" s="0" t="inlineStr">
        <is>
          <t>NULL</t>
        </is>
      </c>
      <c r="H258" s="0" t="inlineStr">
        <is>
          <t>NULL</t>
        </is>
      </c>
      <c r="I258" s="0" t="inlineStr">
        <is>
          <t>YES!PK__info_dat__3213E83FD636B077</t>
        </is>
      </c>
      <c r="J258" s="0" t="inlineStr">
        <is>
          <t>YES! 主键相关索引</t>
        </is>
      </c>
      <c r="K258" s="0" t="inlineStr">
        <is>
          <t xml:space="preserve"> NO!  	 id列源备映射错误，源端为int None位	期望更改为text	实际备端为int None位</t>
        </is>
      </c>
      <c r="BE258" s="0" t="inlineStr">
        <is>
          <t>30行 6列，源：2026-04-17 17:17:24.630650 备：2065-05-11 14:30:45.12346</t>
        </is>
      </c>
      <c r="BJ258" s="0" t="inlineStr">
        <is>
          <t>16行 16列，源：1.1754939304327482e-38 备：</t>
        </is>
      </c>
      <c r="BX258" s="0" t="inlineStr">
        <is>
          <t>27行 5列，源：2026-04-17 17:18:22.7550 +08:00 备：1900-01-01 00:00:00.0000 +00:00</t>
        </is>
      </c>
      <c r="CB258" s="0" t="inlineStr">
        <is>
          <t>35行 5列，源：2026-04-17 17:18:31.5370 +08:00 备：1933-05-11 15:30:45.1235 +01:00</t>
        </is>
      </c>
      <c r="CM258" s="0" t="inlineStr">
        <is>
          <t>16行 0列，源：17 备：3</t>
        </is>
      </c>
      <c r="DA258" s="0" t="inlineStr">
        <is>
          <t>15行 12列，源：None 备：0.00000000000000000000000080000000000000</t>
        </is>
      </c>
      <c r="DL258" s="0" t="inlineStr">
        <is>
          <t>38行 1列，源：None 备：23:59:59</t>
        </is>
      </c>
      <c r="DX258" s="0" t="inlineStr">
        <is>
          <t>16行 14列，源：None 备：</t>
        </is>
      </c>
      <c r="EH258" s="0" t="inlineStr">
        <is>
          <t>16行 14列，源：None 备：9999999999.99</t>
        </is>
      </c>
      <c r="EP258" s="0" t="inlineStr">
        <is>
          <t>16行 14列，源：None 备：</t>
        </is>
      </c>
      <c r="ES258" s="0" t="inlineStr">
        <is>
          <t>16行 14列，源：None 备：9999999999.99</t>
        </is>
      </c>
    </row>
    <row r="259">
      <c r="B259" s="0" t="inlineStr">
        <is>
          <t>NULL</t>
        </is>
      </c>
      <c r="C259" s="0" t="inlineStr">
        <is>
          <t>NULL</t>
        </is>
      </c>
      <c r="D259" s="0" t="inlineStr">
        <is>
          <t>NULL</t>
        </is>
      </c>
      <c r="E259" s="0" t="inlineStr">
        <is>
          <t>NULL</t>
        </is>
      </c>
      <c r="F259" s="0" t="inlineStr">
        <is>
          <t>NULL</t>
        </is>
      </c>
      <c r="G259" s="0" t="inlineStr">
        <is>
          <t>NULL</t>
        </is>
      </c>
      <c r="H259" s="0" t="inlineStr">
        <is>
          <t>NULL</t>
        </is>
      </c>
      <c r="I259" s="0" t="inlineStr">
        <is>
          <t>NULL</t>
        </is>
      </c>
      <c r="J259" s="0" t="inlineStr">
        <is>
          <t>NULL</t>
        </is>
      </c>
      <c r="K259" s="0" t="inlineStr">
        <is>
          <t xml:space="preserve"> NO!  	 c_datetime列源备映射错误，源端为datetime None位	期望更改为text	实际备端为datetime None位</t>
        </is>
      </c>
      <c r="BE259" s="0" t="inlineStr">
        <is>
          <t>30行 7列，源：2026-04-17 17:17:24.630647 备：2065-05-11 14:30:45.123457</t>
        </is>
      </c>
      <c r="BJ259" s="0" t="inlineStr">
        <is>
          <t>16行 19列，源：True 备：1</t>
        </is>
      </c>
      <c r="BX259" s="0" t="inlineStr">
        <is>
          <t>27行 6列，源：2026-04-17 17:18:22.75495 +08:00 备：1900-01-01 00:00:00.00000 +00:00</t>
        </is>
      </c>
      <c r="CB259" s="0" t="inlineStr">
        <is>
          <t>35行 6列，源：2026-04-17 17:18:31.53698 +08:00 备：1933-05-11 15:30:45.12346 +01:00</t>
        </is>
      </c>
      <c r="CM259" s="0" t="inlineStr">
        <is>
          <t>16行 1列，源：nan 备：0</t>
        </is>
      </c>
      <c r="DA259" s="0" t="inlineStr">
        <is>
          <t>15行 13列，源：None 备：1234567890123456789012345678.1234567890</t>
        </is>
      </c>
      <c r="DL259" s="0" t="inlineStr">
        <is>
          <t>38行 2列，源：00:00:01.100000 备：23:59:59.1</t>
        </is>
      </c>
      <c r="DX259" s="0" t="inlineStr">
        <is>
          <t>16行 15列，源：-1.23456789e+38 备：</t>
        </is>
      </c>
      <c r="EH259" s="0" t="inlineStr">
        <is>
          <t>16行 15列，源：-1.23456789e+38 备：</t>
        </is>
      </c>
      <c r="EP259" s="0" t="inlineStr">
        <is>
          <t>16行 15列，源：-1.23456789e+38 备：</t>
        </is>
      </c>
      <c r="ES259" s="0" t="inlineStr">
        <is>
          <t>16行 15列，源：-1.23456789e+38 备：</t>
        </is>
      </c>
    </row>
    <row r="260">
      <c r="A260" s="0" t="inlineStr">
        <is>
          <t>info_datetime_dml_batch1_pk</t>
        </is>
      </c>
      <c r="K260" s="0" t="inlineStr">
        <is>
          <t>[0;34m info_datetime_dml_batch1_pk [0m源备字段数相同，源端字段：2 	备端字段2</t>
        </is>
      </c>
      <c r="W260" s="2">
        <f>HYPERLINK("#2026041905hbase4!BB2","NO 源备存在差异，共4个")</f>
        <v/>
      </c>
      <c r="X260" s="0">
        <f>A260</f>
        <v/>
      </c>
      <c r="BE260" s="0" t="inlineStr">
        <is>
          <t>30行 8列，源：2026-04-17 17:17:24.630646 备：2065-05-11 14:30:45.1234567</t>
        </is>
      </c>
      <c r="BJ260" s="0" t="inlineStr">
        <is>
          <t>17行 0列，源：19 备：8</t>
        </is>
      </c>
      <c r="BX260" s="0" t="inlineStr">
        <is>
          <t>27行 7列，源：2026-04-17 17:18:22.754952 +08:00 备：1900-01-01 00:00:00.000000 +00:00</t>
        </is>
      </c>
      <c r="CB260" s="0" t="inlineStr">
        <is>
          <t>35行 7列，源：2026-04-17 17:18:31.536981 +08:00 备：1933-05-11 15:30:45.123457 +01:00</t>
        </is>
      </c>
      <c r="CM260" s="0" t="inlineStr">
        <is>
          <t>16行 2列，源：nan 备：0</t>
        </is>
      </c>
      <c r="DA260" s="0" t="inlineStr">
        <is>
          <t>15行 14列，源：None 备：-123456789012.12</t>
        </is>
      </c>
      <c r="DL260" s="0" t="inlineStr">
        <is>
          <t>38行 3列，源：None 备：23:59:59.12</t>
        </is>
      </c>
      <c r="DX260" s="0" t="inlineStr">
        <is>
          <t>16行 16列，源：-3.4028230607370965e+38 备：</t>
        </is>
      </c>
      <c r="EH260" s="0" t="inlineStr">
        <is>
          <t>16行 16列，源：-3.4028230607370965e+38 备：</t>
        </is>
      </c>
      <c r="EP260" s="0" t="inlineStr">
        <is>
          <t>16行 16列，源：-3.4028230607370965e+38 备：</t>
        </is>
      </c>
      <c r="ES260" s="0" t="inlineStr">
        <is>
          <t>16行 16列，源：-3.4028230607370965e+38 备：</t>
        </is>
      </c>
    </row>
    <row r="261">
      <c r="B261" s="0" t="inlineStr">
        <is>
          <t>YES</t>
        </is>
      </c>
      <c r="C261" s="0" t="inlineStr">
        <is>
          <t>NULL</t>
        </is>
      </c>
      <c r="D261" s="0" t="inlineStr">
        <is>
          <t>NULL</t>
        </is>
      </c>
      <c r="E261" s="0" t="inlineStr">
        <is>
          <t>NULL</t>
        </is>
      </c>
      <c r="F261" s="0" t="inlineStr">
        <is>
          <t>NULL</t>
        </is>
      </c>
      <c r="G261" s="0" t="inlineStr">
        <is>
          <t>NULL</t>
        </is>
      </c>
      <c r="H261" s="0" t="inlineStr">
        <is>
          <t>NULL</t>
        </is>
      </c>
      <c r="I261" s="0" t="inlineStr">
        <is>
          <t>YES!PK__info_dat__3213E83F11968B32</t>
        </is>
      </c>
      <c r="J261" s="0" t="inlineStr">
        <is>
          <t>YES! 主键相关索引</t>
        </is>
      </c>
      <c r="K261" s="0" t="inlineStr">
        <is>
          <t xml:space="preserve"> NO!  	 id列源备映射错误，源端为int None位	期望更改为text	实际备端为int None位</t>
        </is>
      </c>
      <c r="BE261" s="0" t="inlineStr">
        <is>
          <t>31行 0列，源：325 备：74</t>
        </is>
      </c>
      <c r="BJ261" s="0" t="inlineStr">
        <is>
          <t>17行 1列，源：nan 备：0</t>
        </is>
      </c>
      <c r="BX261" s="0" t="inlineStr">
        <is>
          <t>27行 8列，源：2026-04-17 17:18:22.7549521 +08:00 备：1900-01-01 00:00:00.0000000 +00:00</t>
        </is>
      </c>
      <c r="CB261" s="0" t="inlineStr">
        <is>
          <t>35行 8列，源：2026-04-17 17:18:31.5369809 +08:00 备：1933-05-11 15:30:45.1234567 +01:00</t>
        </is>
      </c>
      <c r="CM261" s="0" t="inlineStr">
        <is>
          <t>16行 3列，源：nan 备：0</t>
        </is>
      </c>
      <c r="DA261" s="0" t="inlineStr">
        <is>
          <t>15行 15列，源：nan 备：0.0000000000000</t>
        </is>
      </c>
      <c r="DL261" s="0" t="inlineStr">
        <is>
          <t>38行 4列，源：00:00:01.123000 备：23:59:59.123</t>
        </is>
      </c>
      <c r="DX261" s="0" t="inlineStr">
        <is>
          <t>16行 19列，源：False 备：</t>
        </is>
      </c>
      <c r="EH261" s="0" t="inlineStr">
        <is>
          <t>16行 19列，源：False 备：</t>
        </is>
      </c>
      <c r="EP261" s="0" t="inlineStr">
        <is>
          <t>16行 19列，源：False 备：</t>
        </is>
      </c>
      <c r="ES261" s="0" t="inlineStr">
        <is>
          <t>16行 19列，源：False 备：</t>
        </is>
      </c>
    </row>
    <row r="262">
      <c r="B262" s="0" t="inlineStr">
        <is>
          <t>NULL</t>
        </is>
      </c>
      <c r="C262" s="0" t="inlineStr">
        <is>
          <t>NULL</t>
        </is>
      </c>
      <c r="D262" s="0" t="inlineStr">
        <is>
          <t>NULL</t>
        </is>
      </c>
      <c r="E262" s="0" t="inlineStr">
        <is>
          <t>NULL</t>
        </is>
      </c>
      <c r="F262" s="0" t="inlineStr">
        <is>
          <t>NULL</t>
        </is>
      </c>
      <c r="G262" s="0" t="inlineStr">
        <is>
          <t>NULL</t>
        </is>
      </c>
      <c r="H262" s="0" t="inlineStr">
        <is>
          <t>NULL</t>
        </is>
      </c>
      <c r="I262" s="0" t="inlineStr">
        <is>
          <t>NULL</t>
        </is>
      </c>
      <c r="J262" s="0" t="inlineStr">
        <is>
          <t>NULL</t>
        </is>
      </c>
      <c r="K262" s="0" t="inlineStr">
        <is>
          <t xml:space="preserve"> NO!  	 c_datetime列源备映射错误，源端为datetime None位	期望更改为text	实际备端为datetime None位</t>
        </is>
      </c>
      <c r="BE262" s="0" t="inlineStr">
        <is>
          <t>31行 1列，源：9999-12-31 23:59:59 备：0001-01-01 00:00:00</t>
        </is>
      </c>
      <c r="BJ262" s="0" t="inlineStr">
        <is>
          <t>17行 2列，源：nan 备：0</t>
        </is>
      </c>
      <c r="BX262" s="0" t="inlineStr">
        <is>
          <t>28行 0列，源：74 备：223</t>
        </is>
      </c>
      <c r="CB262" s="0" t="inlineStr">
        <is>
          <t>36行 0列，源：205 备：8</t>
        </is>
      </c>
      <c r="CM262" s="0" t="inlineStr">
        <is>
          <t>16行 4列，源：nan 备：0</t>
        </is>
      </c>
      <c r="DA262" s="0" t="inlineStr">
        <is>
          <t>15行 16列，源：nan 备：299792448.000000</t>
        </is>
      </c>
      <c r="DL262" s="0" t="inlineStr">
        <is>
          <t>38行 5列，源：None 备：23:59:59.1235</t>
        </is>
      </c>
      <c r="DX262" s="0" t="inlineStr">
        <is>
          <t>17行 0列，源：18 备：7</t>
        </is>
      </c>
      <c r="EH262" s="0" t="inlineStr">
        <is>
          <t>17行 0列，源：18 备：115</t>
        </is>
      </c>
      <c r="EP262" s="0" t="inlineStr">
        <is>
          <t>17行 0列，源：18 备：7</t>
        </is>
      </c>
      <c r="ES262" s="0" t="inlineStr">
        <is>
          <t>17行 0列，源：18 备：115</t>
        </is>
      </c>
    </row>
    <row r="263">
      <c r="A263" s="0" t="inlineStr">
        <is>
          <t>info_char_dml_batch1_pk_irp2</t>
        </is>
      </c>
      <c r="K263" s="0" t="inlineStr">
        <is>
          <t>[0;34m info_char_dml_batch1_pk_irp2 [0m源备字段数相同，源端字段：4 	备端字段4</t>
        </is>
      </c>
      <c r="W263" s="0" t="inlineStr">
        <is>
          <t>YES 源备无差异</t>
        </is>
      </c>
      <c r="X263" s="0">
        <f>A263</f>
        <v/>
      </c>
      <c r="BE263" s="0" t="inlineStr">
        <is>
          <t>31行 2列，源：9999-12-31 23:59:59.900000 备：0001-01-01 00:00:00.0</t>
        </is>
      </c>
      <c r="BJ263" s="0" t="inlineStr">
        <is>
          <t>17行 3列，源：nan 备：0</t>
        </is>
      </c>
      <c r="BX263" s="0" t="inlineStr">
        <is>
          <t>28行 1列，源：0001-01-01 00:00:00 +00:00 备：2026-04-17 17:18:23 +08:00</t>
        </is>
      </c>
      <c r="CB263" s="0" t="inlineStr">
        <is>
          <t>36行 1列，源：9999-12-31 23:59:59 +00:00 备：2000-05-11 00:30:45 +09:00</t>
        </is>
      </c>
      <c r="CM263" s="0" t="inlineStr">
        <is>
          <t>16行 5列，源：None 备：0</t>
        </is>
      </c>
      <c r="DA263" s="0" t="inlineStr">
        <is>
          <t>15行 17列，源：None 备：-500000.0000</t>
        </is>
      </c>
      <c r="DL263" s="0" t="inlineStr">
        <is>
          <t>38行 6列，源：00:00:01.123460 备：23:59:59.12346</t>
        </is>
      </c>
      <c r="DX263" s="0" t="inlineStr">
        <is>
          <t>17行 1列，源：nan 备：255</t>
        </is>
      </c>
      <c r="EH263" s="0" t="inlineStr">
        <is>
          <t>17行 1列，源：nan 备：</t>
        </is>
      </c>
      <c r="EP263" s="0" t="inlineStr">
        <is>
          <t>17行 1列，源：nan 备：255</t>
        </is>
      </c>
      <c r="ES263" s="0" t="inlineStr">
        <is>
          <t>17行 1列，源：nan 备：</t>
        </is>
      </c>
    </row>
    <row r="264">
      <c r="B264" s="0" t="inlineStr">
        <is>
          <t>YES</t>
        </is>
      </c>
      <c r="C264" s="0" t="inlineStr">
        <is>
          <t>NULL</t>
        </is>
      </c>
      <c r="D264" s="0" t="inlineStr">
        <is>
          <t>NULL</t>
        </is>
      </c>
      <c r="E264" s="0" t="inlineStr">
        <is>
          <t>NULL</t>
        </is>
      </c>
      <c r="F264" s="0" t="inlineStr">
        <is>
          <t>NULL</t>
        </is>
      </c>
      <c r="G264" s="0" t="inlineStr">
        <is>
          <t>NULL</t>
        </is>
      </c>
      <c r="H264" s="0" t="inlineStr">
        <is>
          <t>NULL</t>
        </is>
      </c>
      <c r="I264" s="0" t="inlineStr">
        <is>
          <t>YES!PK__info_cha__3213E83F0503A303</t>
        </is>
      </c>
      <c r="J264" s="0" t="inlineStr">
        <is>
          <t>YES! 主键相关索引</t>
        </is>
      </c>
      <c r="K264" s="0" t="inlineStr">
        <is>
          <t xml:space="preserve"> NO!  	 id列源备映射错误，源端为int None位	期望更改为text	实际备端为int None位</t>
        </is>
      </c>
      <c r="BE264" s="0" t="inlineStr">
        <is>
          <t>31行 3列，源：9999-12-31 23:59:59.990000 备：0001-01-01 00:00:00.00</t>
        </is>
      </c>
      <c r="BJ264" s="0" t="inlineStr">
        <is>
          <t>17行 4列，源：nan 备：0</t>
        </is>
      </c>
      <c r="BX264" s="0" t="inlineStr">
        <is>
          <t>28行 2列，源：0001-01-01 00:00:00.0 +00:00 备：2026-04-17 17:18:22.8 +08:00</t>
        </is>
      </c>
      <c r="CB264" s="0" t="inlineStr">
        <is>
          <t>36行 2列，源：9999-12-31 23:59:59.9 +00:00 备：2000-05-11 00:30:45.1 +09:00</t>
        </is>
      </c>
      <c r="CM264" s="0" t="inlineStr">
        <is>
          <t>16行 6列，源：None 备：0</t>
        </is>
      </c>
      <c r="DA264" s="0" t="inlineStr">
        <is>
          <t>15行 18列，源：None 备：1234.5678</t>
        </is>
      </c>
      <c r="DL264" s="0" t="inlineStr">
        <is>
          <t>38行 7列，源：None 备：23:59:59.123457</t>
        </is>
      </c>
      <c r="DX264" s="0" t="inlineStr">
        <is>
          <t>17行 2列，源：nan 备：32767</t>
        </is>
      </c>
      <c r="EH264" s="0" t="inlineStr">
        <is>
          <t>17行 2列，源：nan 备：</t>
        </is>
      </c>
      <c r="EP264" s="0" t="inlineStr">
        <is>
          <t>17行 2列，源：nan 备：32767</t>
        </is>
      </c>
      <c r="ES264" s="0" t="inlineStr">
        <is>
          <t>17行 2列，源：nan 备：</t>
        </is>
      </c>
    </row>
    <row r="265">
      <c r="B265" s="0" t="inlineStr">
        <is>
          <t>NULL</t>
        </is>
      </c>
      <c r="C265" s="0" t="inlineStr">
        <is>
          <t>NULL</t>
        </is>
      </c>
      <c r="D265" s="0" t="inlineStr">
        <is>
          <t>NULL</t>
        </is>
      </c>
      <c r="E265" s="0" t="inlineStr">
        <is>
          <t>NULL</t>
        </is>
      </c>
      <c r="F265" s="0" t="inlineStr">
        <is>
          <t>NULL</t>
        </is>
      </c>
      <c r="G265" s="0" t="inlineStr">
        <is>
          <t>NULL</t>
        </is>
      </c>
      <c r="H265" s="0" t="inlineStr">
        <is>
          <t>NULL</t>
        </is>
      </c>
      <c r="I265" s="0" t="inlineStr">
        <is>
          <t>NULL</t>
        </is>
      </c>
      <c r="J265" s="0" t="inlineStr">
        <is>
          <t>NULL</t>
        </is>
      </c>
      <c r="K265" s="0" t="inlineStr">
        <is>
          <t xml:space="preserve"> NO!  	 c_char列源备映射错误，源端为char 1位	期望更改为text	实际备端为char 1位</t>
        </is>
      </c>
      <c r="BE265" s="0" t="inlineStr">
        <is>
          <t>31行 4列，源：9999-12-31 23:59:59.999000 备：0001-01-01 00:00:00.000</t>
        </is>
      </c>
      <c r="BJ265" s="0" t="inlineStr">
        <is>
          <t>17行 5列，源：None 备：99999</t>
        </is>
      </c>
      <c r="BX265" s="0" t="inlineStr">
        <is>
          <t>28行 3列，源：0001-01-01 00:00:00.00 +00:00 备：2026-04-17 17:18:22.75 +08:00</t>
        </is>
      </c>
      <c r="CB265" s="0" t="inlineStr">
        <is>
          <t>36行 3列，源：9999-12-31 23:59:59.99 +00:00 备：2000-05-11 00:30:45.12 +09:00</t>
        </is>
      </c>
      <c r="CM265" s="0" t="inlineStr">
        <is>
          <t>16行 7列，源：None 备：0.00000000000000000000000000000000000000</t>
        </is>
      </c>
      <c r="DA265" s="0" t="inlineStr">
        <is>
          <t>15行 19列，源：None 备：1</t>
        </is>
      </c>
      <c r="DL265" s="0" t="inlineStr">
        <is>
          <t>38行 8列，源：00:00:01.123456 备：23:59:59.1234567</t>
        </is>
      </c>
      <c r="DX265" s="0" t="inlineStr">
        <is>
          <t>17行 3列，源：nan 备：2147483647</t>
        </is>
      </c>
      <c r="EH265" s="0" t="inlineStr">
        <is>
          <t>17行 3列，源：nan 备：</t>
        </is>
      </c>
      <c r="EP265" s="0" t="inlineStr">
        <is>
          <t>17行 3列，源：nan 备：2147483647</t>
        </is>
      </c>
      <c r="ES265" s="0" t="inlineStr">
        <is>
          <t>17行 3列，源：nan 备：</t>
        </is>
      </c>
    </row>
    <row r="266">
      <c r="B266" s="0" t="inlineStr">
        <is>
          <t>NULL</t>
        </is>
      </c>
      <c r="C266" s="0" t="inlineStr">
        <is>
          <t>NULL</t>
        </is>
      </c>
      <c r="D266" s="0" t="inlineStr">
        <is>
          <t>NULL</t>
        </is>
      </c>
      <c r="E266" s="0" t="inlineStr">
        <is>
          <t>NULL</t>
        </is>
      </c>
      <c r="F266" s="0" t="inlineStr">
        <is>
          <t>NULL</t>
        </is>
      </c>
      <c r="G266" s="0" t="inlineStr">
        <is>
          <t>NULL</t>
        </is>
      </c>
      <c r="H266" s="0" t="inlineStr">
        <is>
          <t>NULL</t>
        </is>
      </c>
      <c r="I266" s="0" t="inlineStr">
        <is>
          <t>NULL</t>
        </is>
      </c>
      <c r="J266" s="0" t="inlineStr">
        <is>
          <t>NULL</t>
        </is>
      </c>
      <c r="K266" s="0" t="inlineStr">
        <is>
          <t xml:space="preserve"> NO!  	 c_char20列源备映射错误，源端为char 20位	期望更改为text	实际备端为char 20位</t>
        </is>
      </c>
      <c r="BE266" s="0" t="inlineStr">
        <is>
          <t>31行 5列，源：9999-12-31 23:59:59.999900 备：0001-01-01 00:00:00.0000</t>
        </is>
      </c>
      <c r="BJ266" s="0" t="inlineStr">
        <is>
          <t>17行 6列，源：None 备：</t>
        </is>
      </c>
      <c r="BX266" s="0" t="inlineStr">
        <is>
          <t>28行 4列，源：0001-01-01 00:00:00.000 +00:00 备：2026-04-17 17:18:22.755 +08:00</t>
        </is>
      </c>
      <c r="CB266" s="0" t="inlineStr">
        <is>
          <t>36行 4列，源：9999-12-31 23:59:59.999 +00:00 备：2000-05-11 00:30:45.123 +09:00</t>
        </is>
      </c>
      <c r="CM266" s="0" t="inlineStr">
        <is>
          <t>16行 8列，源：None 备：0.0000000000</t>
        </is>
      </c>
      <c r="DA266" s="0" t="inlineStr">
        <is>
          <t>16行 0列，源：21 备：7</t>
        </is>
      </c>
      <c r="DL266" s="0" t="inlineStr">
        <is>
          <t>39行 0列，源：84 备：83</t>
        </is>
      </c>
      <c r="DX266" s="0" t="inlineStr">
        <is>
          <t>17行 4列，源：nan 备：9223372036854775807</t>
        </is>
      </c>
      <c r="EH266" s="0" t="inlineStr">
        <is>
          <t>17行 4列，源：nan 备：</t>
        </is>
      </c>
      <c r="EP266" s="0" t="inlineStr">
        <is>
          <t>17行 4列，源：nan 备：9223372036854775807</t>
        </is>
      </c>
      <c r="ES266" s="0" t="inlineStr">
        <is>
          <t>17行 4列，源：nan 备：</t>
        </is>
      </c>
    </row>
    <row r="267">
      <c r="B267" s="0" t="inlineStr">
        <is>
          <t>NULL</t>
        </is>
      </c>
      <c r="C267" s="0" t="inlineStr">
        <is>
          <t>NULL</t>
        </is>
      </c>
      <c r="D267" s="0" t="inlineStr">
        <is>
          <t>NULL</t>
        </is>
      </c>
      <c r="E267" s="0" t="inlineStr">
        <is>
          <t>NULL</t>
        </is>
      </c>
      <c r="F267" s="0" t="inlineStr">
        <is>
          <t>NULL</t>
        </is>
      </c>
      <c r="G267" s="0" t="inlineStr">
        <is>
          <t>NULL</t>
        </is>
      </c>
      <c r="H267" s="0" t="inlineStr">
        <is>
          <t>NULL</t>
        </is>
      </c>
      <c r="I267" s="0" t="inlineStr">
        <is>
          <t>NULL</t>
        </is>
      </c>
      <c r="J267" s="0" t="inlineStr">
        <is>
          <t>NULL</t>
        </is>
      </c>
      <c r="K267" s="0" t="inlineStr">
        <is>
          <t xml:space="preserve"> NO!  	 c_char200列源备映射错误，源端为char 200位	期望更改为text	实际备端为char 200位</t>
        </is>
      </c>
      <c r="BE267" s="0" t="inlineStr">
        <is>
          <t>31行 6列，源：9999-12-31 23:59:59.999990 备：0001-01-01 00:00:00.00000</t>
        </is>
      </c>
      <c r="BJ267" s="0" t="inlineStr">
        <is>
          <t>17行 7列，源：None 备：</t>
        </is>
      </c>
      <c r="BX267" s="0" t="inlineStr">
        <is>
          <t>28行 5列，源：0001-01-01 00:00:00.0000 +00:00 备：2026-04-17 17:18:22.7550 +08:00</t>
        </is>
      </c>
      <c r="CB267" s="0" t="inlineStr">
        <is>
          <t>36行 5列，源：9999-12-31 23:59:59.9999 +00:00 备：2000-05-11 00:30:45.1235 +09:00</t>
        </is>
      </c>
      <c r="CM267" s="0" t="inlineStr">
        <is>
          <t>16行 9列，源：None 备：0.0000</t>
        </is>
      </c>
      <c r="DA267" s="0" t="inlineStr">
        <is>
          <t>16行 1列，源：nan 备：</t>
        </is>
      </c>
      <c r="DL267" s="0" t="inlineStr">
        <is>
          <t>39行 1列，源：None 备：</t>
        </is>
      </c>
      <c r="DX267" s="0" t="inlineStr">
        <is>
          <t>17行 5列，源：None 备：</t>
        </is>
      </c>
      <c r="EH267" s="0" t="inlineStr">
        <is>
          <t>17行 5列，源：None 备：0</t>
        </is>
      </c>
      <c r="EP267" s="0" t="inlineStr">
        <is>
          <t>17行 5列，源：None 备：</t>
        </is>
      </c>
      <c r="ES267" s="0" t="inlineStr">
        <is>
          <t>17行 5列，源：None 备：0</t>
        </is>
      </c>
    </row>
    <row r="268">
      <c r="K268" s="0" t="inlineStr">
        <is>
          <t>~ 空表</t>
        </is>
      </c>
      <c r="BE268" s="0" t="inlineStr">
        <is>
          <t>31行 7列，源：9999-12-31 23:59:59.999999 备：0001-01-01 00:00:00.000000</t>
        </is>
      </c>
      <c r="BJ268" s="0" t="inlineStr">
        <is>
          <t>17行 8列，源：None 备：</t>
        </is>
      </c>
      <c r="BX268" s="0" t="inlineStr">
        <is>
          <t>28行 6列，源：0001-01-01 00:00:00.00000 +00:00 备：2026-04-17 17:18:22.75495 +08:00</t>
        </is>
      </c>
      <c r="CB268" s="0" t="inlineStr">
        <is>
          <t>36行 6列，源：9999-12-31 23:59:59.99999 +00:00 备：2000-05-11 00:30:45.12346 +09:00</t>
        </is>
      </c>
      <c r="CM268" s="0" t="inlineStr">
        <is>
          <t>16行 10列，源：None 备：0</t>
        </is>
      </c>
      <c r="DA268" s="0" t="inlineStr">
        <is>
          <t>16行 2列，源：-22345.0 备：</t>
        </is>
      </c>
      <c r="DL268" s="0" t="inlineStr">
        <is>
          <t>39行 2列，源：12:00:00.100000 备：00:00:01.1</t>
        </is>
      </c>
      <c r="DX268" s="0" t="inlineStr">
        <is>
          <t>17行 6列，源：None 备：</t>
        </is>
      </c>
      <c r="EH268" s="0" t="inlineStr">
        <is>
          <t>17行 6列，源：None 备：1</t>
        </is>
      </c>
      <c r="EP268" s="0" t="inlineStr">
        <is>
          <t>17行 6列，源：None 备：</t>
        </is>
      </c>
      <c r="ES268" s="0" t="inlineStr">
        <is>
          <t>17行 6列，源：None 备：1</t>
        </is>
      </c>
    </row>
    <row r="269">
      <c r="A269" s="0" t="inlineStr">
        <is>
          <t>info_nchar_dml_single_pk</t>
        </is>
      </c>
      <c r="K269" s="0" t="inlineStr">
        <is>
          <t>[0;34m info_nchar_dml_single_pk [0m源备字段数相同，源端字段：4 	备端字段4</t>
        </is>
      </c>
      <c r="W269" s="0" t="inlineStr">
        <is>
          <t>YES 源备无差异</t>
        </is>
      </c>
      <c r="X269" s="0">
        <f>A269</f>
        <v/>
      </c>
      <c r="BE269" s="0" t="inlineStr">
        <is>
          <t>31行 8列，源：9999-12-31 23:59:59.999999 备：0001-01-01 00:00:00.0000000</t>
        </is>
      </c>
      <c r="BJ269" s="0" t="inlineStr">
        <is>
          <t>17行 9列，源：None 备：-11111.3400</t>
        </is>
      </c>
      <c r="BX269" s="0" t="inlineStr">
        <is>
          <t>28行 7列，源：0001-01-01 00:00:00.000000 +00:00 备：2026-04-17 17:18:22.754952 +08:00</t>
        </is>
      </c>
      <c r="CB269" s="0" t="inlineStr">
        <is>
          <t>36行 7列，源：9999-12-31 23:59:59.999999 +00:00 备：2000-05-11 00:30:45.123457 +09:00</t>
        </is>
      </c>
      <c r="CM269" s="0" t="inlineStr">
        <is>
          <t>16行 11列，源：None 备：0</t>
        </is>
      </c>
      <c r="DA269" s="0" t="inlineStr">
        <is>
          <t>16行 3列，源：nan 备：</t>
        </is>
      </c>
      <c r="DL269" s="0" t="inlineStr">
        <is>
          <t>39行 3列，源：None 备：</t>
        </is>
      </c>
      <c r="DX269" s="0" t="inlineStr">
        <is>
          <t>17行 7列，源：None 备：</t>
        </is>
      </c>
      <c r="EH269" s="0" t="inlineStr">
        <is>
          <t>17行 7列，源：None 备：0.00000000000000000000000000100000000000</t>
        </is>
      </c>
      <c r="EP269" s="0" t="inlineStr">
        <is>
          <t>17行 7列，源：None 备：</t>
        </is>
      </c>
      <c r="ES269" s="0" t="inlineStr">
        <is>
          <t>17行 7列，源：None 备：0.00000000000000000000000000100000000000</t>
        </is>
      </c>
    </row>
    <row r="270">
      <c r="B270" s="0" t="inlineStr">
        <is>
          <t>YES</t>
        </is>
      </c>
      <c r="C270" s="0" t="inlineStr">
        <is>
          <t>NULL</t>
        </is>
      </c>
      <c r="D270" s="0" t="inlineStr">
        <is>
          <t>NULL</t>
        </is>
      </c>
      <c r="E270" s="0" t="inlineStr">
        <is>
          <t>NULL</t>
        </is>
      </c>
      <c r="F270" s="0" t="inlineStr">
        <is>
          <t>NULL</t>
        </is>
      </c>
      <c r="G270" s="0" t="inlineStr">
        <is>
          <t>NULL</t>
        </is>
      </c>
      <c r="H270" s="0" t="inlineStr">
        <is>
          <t>NULL</t>
        </is>
      </c>
      <c r="I270" s="0" t="inlineStr">
        <is>
          <t>YES!PK__info_nch__3213E83FBBB178BC</t>
        </is>
      </c>
      <c r="J270" s="0" t="inlineStr">
        <is>
          <t>YES! 主键相关索引</t>
        </is>
      </c>
      <c r="K270" s="0" t="inlineStr">
        <is>
          <t xml:space="preserve"> NO!  	 id列源备映射错误，源端为int None位	期望更改为text	实际备端为int None位</t>
        </is>
      </c>
      <c r="BE270" s="0" t="inlineStr">
        <is>
          <t>32行 0列，源：327 备：75</t>
        </is>
      </c>
      <c r="BJ270" s="0" t="inlineStr">
        <is>
          <t>17行 10列，源：None 备：</t>
        </is>
      </c>
      <c r="BX270" s="0" t="inlineStr">
        <is>
          <t>28行 8列，源：0001-01-01 00:00:00.0000000 +00:00 备：2026-04-17 17:18:22.7549521 +08:00</t>
        </is>
      </c>
      <c r="CB270" s="0" t="inlineStr">
        <is>
          <t>36行 8列，源：9999-12-31 23:59:59.9999999 +00:00 备：2000-05-11 00:30:45.1234567 +09:00</t>
        </is>
      </c>
      <c r="CM270" s="0" t="inlineStr">
        <is>
          <t>16行 12列，源：None 备：0.00000000000000000000000000000000000000</t>
        </is>
      </c>
      <c r="DA270" s="0" t="inlineStr">
        <is>
          <t>16行 4列，源：nan 备：</t>
        </is>
      </c>
      <c r="DL270" s="0" t="inlineStr">
        <is>
          <t>39行 4列，源：12:00:00.123000 备：00:00:01.123</t>
        </is>
      </c>
      <c r="DX270" s="0" t="inlineStr">
        <is>
          <t>17行 8列，源：None 备：</t>
        </is>
      </c>
      <c r="EH270" s="0" t="inlineStr">
        <is>
          <t>17行 8列，源：None 备：0.0000000010</t>
        </is>
      </c>
      <c r="EP270" s="0" t="inlineStr">
        <is>
          <t>17行 8列，源：None 备：</t>
        </is>
      </c>
      <c r="ES270" s="0" t="inlineStr">
        <is>
          <t>17行 8列，源：None 备：0.0000000010</t>
        </is>
      </c>
    </row>
    <row r="271">
      <c r="B271" s="0" t="inlineStr">
        <is>
          <t>NULL</t>
        </is>
      </c>
      <c r="C271" s="0" t="inlineStr">
        <is>
          <t>NULL</t>
        </is>
      </c>
      <c r="D271" s="0" t="inlineStr">
        <is>
          <t>NULL</t>
        </is>
      </c>
      <c r="E271" s="0" t="inlineStr">
        <is>
          <t>NULL</t>
        </is>
      </c>
      <c r="F271" s="0" t="inlineStr">
        <is>
          <t>NULL</t>
        </is>
      </c>
      <c r="G271" s="0" t="inlineStr">
        <is>
          <t>NULL</t>
        </is>
      </c>
      <c r="H271" s="0" t="inlineStr">
        <is>
          <t>NULL</t>
        </is>
      </c>
      <c r="I271" s="0" t="inlineStr">
        <is>
          <t>NULL</t>
        </is>
      </c>
      <c r="J271" s="0" t="inlineStr">
        <is>
          <t>NULL</t>
        </is>
      </c>
      <c r="K271" s="0" t="inlineStr">
        <is>
          <t xml:space="preserve"> NO!  	 c_nchar列源备映射错误，源端为nchar 2位	期望更改为text	实际备端为nchar 2位</t>
        </is>
      </c>
      <c r="BE271" s="0" t="inlineStr">
        <is>
          <t>32行 1列，源：2065-05-11 14:30:45 备：9999-12-31 23:59:59</t>
        </is>
      </c>
      <c r="BJ271" s="0" t="inlineStr">
        <is>
          <t>17行 11列，源：None 备：</t>
        </is>
      </c>
      <c r="BX271" s="0" t="inlineStr">
        <is>
          <t>29行 0列，源：75 备：225</t>
        </is>
      </c>
      <c r="CB271" s="0" t="inlineStr">
        <is>
          <t>37行 0列，源：206 备：9</t>
        </is>
      </c>
      <c r="CM271" s="0" t="inlineStr">
        <is>
          <t>16行 13列，源：None 备：0.0000000000</t>
        </is>
      </c>
      <c r="DA271" s="0" t="inlineStr">
        <is>
          <t>16行 5列，源：None 备：</t>
        </is>
      </c>
      <c r="DL271" s="0" t="inlineStr">
        <is>
          <t>39行 5列，源：None 备：</t>
        </is>
      </c>
      <c r="DX271" s="0" t="inlineStr">
        <is>
          <t>17行 9列，源：None 备：</t>
        </is>
      </c>
      <c r="EH271" s="0" t="inlineStr">
        <is>
          <t>17行 9列，源：None 备：0.0001</t>
        </is>
      </c>
      <c r="EP271" s="0" t="inlineStr">
        <is>
          <t>17行 9列，源：None 备：</t>
        </is>
      </c>
      <c r="ES271" s="0" t="inlineStr">
        <is>
          <t>17行 9列，源：None 备：0.0001</t>
        </is>
      </c>
    </row>
    <row r="272">
      <c r="B272" s="0" t="inlineStr">
        <is>
          <t>NULL</t>
        </is>
      </c>
      <c r="C272" s="0" t="inlineStr">
        <is>
          <t>NULL</t>
        </is>
      </c>
      <c r="D272" s="0" t="inlineStr">
        <is>
          <t>NULL</t>
        </is>
      </c>
      <c r="E272" s="0" t="inlineStr">
        <is>
          <t>NULL</t>
        </is>
      </c>
      <c r="F272" s="0" t="inlineStr">
        <is>
          <t>NULL</t>
        </is>
      </c>
      <c r="G272" s="0" t="inlineStr">
        <is>
          <t>NULL</t>
        </is>
      </c>
      <c r="H272" s="0" t="inlineStr">
        <is>
          <t>NULL</t>
        </is>
      </c>
      <c r="I272" s="0" t="inlineStr">
        <is>
          <t>NULL</t>
        </is>
      </c>
      <c r="J272" s="0" t="inlineStr">
        <is>
          <t>NULL</t>
        </is>
      </c>
      <c r="K272" s="0" t="inlineStr">
        <is>
          <t xml:space="preserve"> NO!  	 c_nchar20列源备映射错误，源端为nchar 40位	期望更改为text	实际备端为nchar 40位</t>
        </is>
      </c>
      <c r="BE272" s="0" t="inlineStr">
        <is>
          <t>32行 2列，源：2065-05-11 14:30:45.100000 备：9999-12-31 23:59:59.9</t>
        </is>
      </c>
      <c r="BJ272" s="0" t="inlineStr">
        <is>
          <t>17行 12列，源：None 备：</t>
        </is>
      </c>
      <c r="BX272" s="0" t="inlineStr">
        <is>
          <t>30行 0列，源：76 备：226</t>
        </is>
      </c>
      <c r="CB272" s="0" t="inlineStr">
        <is>
          <t>37行 1列，源：2063-05-11 10:30:45 -04:00 备：1999-05-16 01:30:45 +10:15</t>
        </is>
      </c>
      <c r="CM272" s="0" t="inlineStr">
        <is>
          <t>16行 14列，源：None 备：0.00</t>
        </is>
      </c>
      <c r="DA272" s="0" t="inlineStr">
        <is>
          <t>16行 6列，源：None 备：</t>
        </is>
      </c>
      <c r="DL272" s="0" t="inlineStr">
        <is>
          <t>39行 6列，源：12:00:00.123460 备：00:00:01.12346</t>
        </is>
      </c>
      <c r="DX272" s="0" t="inlineStr">
        <is>
          <t>17行 10列，源：None 备：</t>
        </is>
      </c>
      <c r="EH272" s="0" t="inlineStr">
        <is>
          <t>17行 10列，源：None 备：0</t>
        </is>
      </c>
      <c r="EP272" s="0" t="inlineStr">
        <is>
          <t>17行 10列，源：None 备：</t>
        </is>
      </c>
      <c r="ES272" s="0" t="inlineStr">
        <is>
          <t>17行 10列，源：None 备：0</t>
        </is>
      </c>
    </row>
    <row r="273">
      <c r="B273" s="0" t="inlineStr">
        <is>
          <t>NULL</t>
        </is>
      </c>
      <c r="C273" s="0" t="inlineStr">
        <is>
          <t>NULL</t>
        </is>
      </c>
      <c r="D273" s="0" t="inlineStr">
        <is>
          <t>NULL</t>
        </is>
      </c>
      <c r="E273" s="0" t="inlineStr">
        <is>
          <t>NULL</t>
        </is>
      </c>
      <c r="F273" s="0" t="inlineStr">
        <is>
          <t>NULL</t>
        </is>
      </c>
      <c r="G273" s="0" t="inlineStr">
        <is>
          <t>NULL</t>
        </is>
      </c>
      <c r="H273" s="0" t="inlineStr">
        <is>
          <t>NULL</t>
        </is>
      </c>
      <c r="I273" s="0" t="inlineStr">
        <is>
          <t>NULL</t>
        </is>
      </c>
      <c r="J273" s="0" t="inlineStr">
        <is>
          <t>NULL</t>
        </is>
      </c>
      <c r="K273" s="0" t="inlineStr">
        <is>
          <t xml:space="preserve"> NO!  	 c_nchar3500列源备映射错误，源端为nchar 7000位	期望更改为text	实际备端为nchar 7000位</t>
        </is>
      </c>
      <c r="BE273" s="0" t="inlineStr">
        <is>
          <t>32行 3列，源：2065-05-11 14:30:45.120000 备：9999-12-31 23:59:59.99</t>
        </is>
      </c>
      <c r="BJ273" s="0" t="inlineStr">
        <is>
          <t>17行 13列，源：None 备：</t>
        </is>
      </c>
      <c r="BX273" s="0" t="inlineStr">
        <is>
          <t>31行 0列，源：77 备：23</t>
        </is>
      </c>
      <c r="CB273" s="0" t="inlineStr">
        <is>
          <t>37行 2列，源：2063-05-11 10:30:45.1 -04:00 备：1999-05-16 01:30:45.1 +10:15</t>
        </is>
      </c>
      <c r="CM273" s="0" t="inlineStr">
        <is>
          <t>16行 15列，源：nan 备：0.0000000000000</t>
        </is>
      </c>
      <c r="DA273" s="0" t="inlineStr">
        <is>
          <t>16行 7列，源：None 备：-0.00000000000000000000000000000000000001</t>
        </is>
      </c>
      <c r="DL273" s="0" t="inlineStr">
        <is>
          <t>39行 7列，源：None 备：</t>
        </is>
      </c>
      <c r="DX273" s="0" t="inlineStr">
        <is>
          <t>17行 11列，源：None 备：</t>
        </is>
      </c>
      <c r="EH273" s="0" t="inlineStr">
        <is>
          <t>17行 11列，源：None 备：1</t>
        </is>
      </c>
      <c r="EP273" s="0" t="inlineStr">
        <is>
          <t>17行 11列，源：None 备：</t>
        </is>
      </c>
      <c r="ES273" s="0" t="inlineStr">
        <is>
          <t>17行 11列，源：None 备：1</t>
        </is>
      </c>
    </row>
    <row r="274">
      <c r="A274" s="0" t="inlineStr">
        <is>
          <t>info_datetime2_dml_batch1_pk_irp1</t>
        </is>
      </c>
      <c r="K274" s="0" t="inlineStr">
        <is>
          <t>[0;34m info_datetime2_dml_batch1_pk_irp1 [0m源备字段数相同，源端字段：9 	备端字段9</t>
        </is>
      </c>
      <c r="W274" s="2">
        <f>HYPERLINK("#2026041905hbase4!BC2","NO 源备存在差异，共28个")</f>
        <v/>
      </c>
      <c r="X274" s="0">
        <f>A274</f>
        <v/>
      </c>
      <c r="BE274" s="0" t="inlineStr">
        <is>
          <t>32行 4列，源：2065-05-11 14:30:45.123000 备：9999-12-31 23:59:59.999</t>
        </is>
      </c>
      <c r="BJ274" s="0" t="inlineStr">
        <is>
          <t>17行 14列，源：None 备：</t>
        </is>
      </c>
      <c r="BX274" s="0" t="inlineStr">
        <is>
          <t>31行 1列，源：1933-05-11 15:30:45 +01:00 备：2026-04-17 17:18:23 +08:00</t>
        </is>
      </c>
      <c r="CB274" s="0" t="inlineStr">
        <is>
          <t>37行 3列，源：2063-05-11 10:30:45.12 -04:00 备：1999-05-16 01:30:45.12 +10:15</t>
        </is>
      </c>
      <c r="CM274" s="0" t="inlineStr">
        <is>
          <t>16行 16列，源：nan 备：0.000000</t>
        </is>
      </c>
      <c r="DA274" s="0" t="inlineStr">
        <is>
          <t>16行 8列，源：None 备：</t>
        </is>
      </c>
      <c r="DL274" s="0" t="inlineStr">
        <is>
          <t>39行 8列，源：12:00:00.123456 备：00:00:01.1234567</t>
        </is>
      </c>
      <c r="DX274" s="0" t="inlineStr">
        <is>
          <t>17行 12列，源：None 备：</t>
        </is>
      </c>
      <c r="EH274" s="0" t="inlineStr">
        <is>
          <t>17行 12列，源：None 备：0.00000000000000000000000000000100000000</t>
        </is>
      </c>
      <c r="EP274" s="0" t="inlineStr">
        <is>
          <t>17行 12列，源：None 备：</t>
        </is>
      </c>
      <c r="ES274" s="0" t="inlineStr">
        <is>
          <t>17行 12列，源：None 备：0.00000000000000000000000000000100000000</t>
        </is>
      </c>
    </row>
    <row r="275">
      <c r="B275" s="0" t="inlineStr">
        <is>
          <t>YES</t>
        </is>
      </c>
      <c r="C275" s="0" t="inlineStr">
        <is>
          <t>NULL</t>
        </is>
      </c>
      <c r="D275" s="0" t="inlineStr">
        <is>
          <t>NULL</t>
        </is>
      </c>
      <c r="E275" s="0" t="inlineStr">
        <is>
          <t>NULL</t>
        </is>
      </c>
      <c r="F275" s="0" t="inlineStr">
        <is>
          <t>NULL</t>
        </is>
      </c>
      <c r="G275" s="0" t="inlineStr">
        <is>
          <t>NULL</t>
        </is>
      </c>
      <c r="H275" s="0" t="inlineStr">
        <is>
          <t>NULL</t>
        </is>
      </c>
      <c r="I275" s="0" t="inlineStr">
        <is>
          <t>YES!PK__info_dat__3213E83F511BE672</t>
        </is>
      </c>
      <c r="J275" s="0" t="inlineStr">
        <is>
          <t>YES! 主键相关索引</t>
        </is>
      </c>
      <c r="K275" s="0" t="inlineStr">
        <is>
          <t xml:space="preserve"> NO!  	 id列源备映射错误，源端为int None位	期望更改为text	实际备端为int None位</t>
        </is>
      </c>
      <c r="BE275" s="0" t="inlineStr">
        <is>
          <t>32行 5列，源：2065-05-11 14:30:45.123500 备：9999-12-31 23:59:59.9999</t>
        </is>
      </c>
      <c r="BJ275" s="0" t="inlineStr">
        <is>
          <t>17行 15列，源：3.402823466e+38 备：123.4567890000000</t>
        </is>
      </c>
      <c r="BX275" s="0" t="inlineStr">
        <is>
          <t>31行 2列，源：1933-05-11 15:30:45.1 +01:00 备：2026-04-17 17:18:22.8 +08:00</t>
        </is>
      </c>
      <c r="CB275" s="0" t="inlineStr">
        <is>
          <t>37行 4列，源：2063-05-11 10:30:45.123 -04:00 备：1999-05-16 01:30:45.123 +10:15</t>
        </is>
      </c>
      <c r="CM275" s="0" t="inlineStr">
        <is>
          <t>16行 19列，源：None 备：0</t>
        </is>
      </c>
      <c r="DA275" s="0" t="inlineStr">
        <is>
          <t>16行 9列，源：None 备：</t>
        </is>
      </c>
      <c r="DL275" s="0" t="inlineStr">
        <is>
          <t>40行 0列，源：85 备：84</t>
        </is>
      </c>
      <c r="DX275" s="0" t="inlineStr">
        <is>
          <t>17行 13列，源：None 备：</t>
        </is>
      </c>
      <c r="EH275" s="0" t="inlineStr">
        <is>
          <t>17行 13列，源：None 备：0.0000010000</t>
        </is>
      </c>
      <c r="EP275" s="0" t="inlineStr">
        <is>
          <t>17行 13列，源：None 备：</t>
        </is>
      </c>
      <c r="ES275" s="0" t="inlineStr">
        <is>
          <t>17行 13列，源：None 备：0.0000010000</t>
        </is>
      </c>
    </row>
    <row r="276">
      <c r="B276" s="0" t="inlineStr">
        <is>
          <t>NULL</t>
        </is>
      </c>
      <c r="C276" s="0" t="inlineStr">
        <is>
          <t>NULL</t>
        </is>
      </c>
      <c r="D276" s="0" t="inlineStr">
        <is>
          <t>NULL</t>
        </is>
      </c>
      <c r="E276" s="0" t="inlineStr">
        <is>
          <t>NULL</t>
        </is>
      </c>
      <c r="F276" s="0" t="inlineStr">
        <is>
          <t>NULL</t>
        </is>
      </c>
      <c r="G276" s="0" t="inlineStr">
        <is>
          <t>NULL</t>
        </is>
      </c>
      <c r="H276" s="0" t="inlineStr">
        <is>
          <t>NULL</t>
        </is>
      </c>
      <c r="I276" s="0" t="inlineStr">
        <is>
          <t>NULL</t>
        </is>
      </c>
      <c r="J276" s="0" t="inlineStr">
        <is>
          <t>NULL</t>
        </is>
      </c>
      <c r="K276" s="0" t="inlineStr">
        <is>
          <t xml:space="preserve"> NO!  	 c_dt2_0列源备映射错误，源端为datetime2 None位	期望更改为text	实际备端为datetime2 None位</t>
        </is>
      </c>
      <c r="BE276" s="0" t="inlineStr">
        <is>
          <t>32行 6列，源：2065-05-11 14:30:45.123460 备：9999-12-31 23:59:59.99999</t>
        </is>
      </c>
      <c r="BJ276" s="0" t="inlineStr">
        <is>
          <t>17行 16列，源：3.4028230607370965e+38 备：</t>
        </is>
      </c>
      <c r="BX276" s="0" t="inlineStr">
        <is>
          <t>31行 3列，源：1933-05-11 15:30:45.12 +01:00 备：2026-04-17 17:18:22.75 +08:00</t>
        </is>
      </c>
      <c r="CB276" s="0" t="inlineStr">
        <is>
          <t>37行 5列，源：2063-05-11 10:30:45.1235 -04:00 备：1999-05-16 01:30:45.1235 +10:15</t>
        </is>
      </c>
      <c r="CM276" s="0" t="inlineStr">
        <is>
          <t>17行 0列，源：18 备：4</t>
        </is>
      </c>
      <c r="DA276" s="0" t="inlineStr">
        <is>
          <t>16行 10列，源：None 备：</t>
        </is>
      </c>
      <c r="DL276" s="0" t="inlineStr">
        <is>
          <t>40行 1列，源：00:00:01 备：</t>
        </is>
      </c>
      <c r="DX276" s="0" t="inlineStr">
        <is>
          <t>17行 14列，源：None 备：</t>
        </is>
      </c>
      <c r="EH276" s="0" t="inlineStr">
        <is>
          <t>17行 14列，源：None 备：0.01</t>
        </is>
      </c>
      <c r="EP276" s="0" t="inlineStr">
        <is>
          <t>17行 14列，源：None 备：</t>
        </is>
      </c>
      <c r="ES276" s="0" t="inlineStr">
        <is>
          <t>17行 14列，源：None 备：0.01</t>
        </is>
      </c>
    </row>
    <row r="277">
      <c r="B277" s="0" t="inlineStr">
        <is>
          <t>NULL</t>
        </is>
      </c>
      <c r="C277" s="0" t="inlineStr">
        <is>
          <t>NULL</t>
        </is>
      </c>
      <c r="D277" s="0" t="inlineStr">
        <is>
          <t>NULL</t>
        </is>
      </c>
      <c r="E277" s="0" t="inlineStr">
        <is>
          <t>NULL</t>
        </is>
      </c>
      <c r="F277" s="0" t="inlineStr">
        <is>
          <t>NULL</t>
        </is>
      </c>
      <c r="G277" s="0" t="inlineStr">
        <is>
          <t>NULL</t>
        </is>
      </c>
      <c r="H277" s="0" t="inlineStr">
        <is>
          <t>NULL</t>
        </is>
      </c>
      <c r="I277" s="0" t="inlineStr">
        <is>
          <t>NULL</t>
        </is>
      </c>
      <c r="J277" s="0" t="inlineStr">
        <is>
          <t>NULL</t>
        </is>
      </c>
      <c r="K277" s="0" t="inlineStr">
        <is>
          <t xml:space="preserve"> NO!  	 c_dt2_1列源备映射错误，源端为datetime2 None位	期望更改为text	实际备端为datetime2 None位</t>
        </is>
      </c>
      <c r="BE277" s="0" t="inlineStr">
        <is>
          <t>32行 7列，源：2065-05-11 14:30:45.123457 备：9999-12-31 23:59:59.999999</t>
        </is>
      </c>
      <c r="BJ277" s="0" t="inlineStr">
        <is>
          <t>17行 19列，源：True 备：1</t>
        </is>
      </c>
      <c r="BX277" s="0" t="inlineStr">
        <is>
          <t>31行 4列，源：1933-05-11 15:30:45.123 +01:00 备：2026-04-17 17:18:22.755 +08:00</t>
        </is>
      </c>
      <c r="CB277" s="0" t="inlineStr">
        <is>
          <t>37行 6列，源：2063-05-11 10:30:45.12346 -04:00 备：1999-05-16 01:30:45.12346 +10:15</t>
        </is>
      </c>
      <c r="CM277" s="0" t="inlineStr">
        <is>
          <t>17行 1列，源：nan 备：</t>
        </is>
      </c>
      <c r="DA277" s="0" t="inlineStr">
        <is>
          <t>16行 11列，源：None 备：</t>
        </is>
      </c>
      <c r="DL277" s="0" t="inlineStr">
        <is>
          <t>40行 2列，源：None 备：12:00:00.1</t>
        </is>
      </c>
      <c r="DX277" s="0" t="inlineStr">
        <is>
          <t>17行 15列，源：1.23456789e-38 备：</t>
        </is>
      </c>
      <c r="EH277" s="0" t="inlineStr">
        <is>
          <t>17行 15列，源：1.23456789e-38 备：</t>
        </is>
      </c>
      <c r="EP277" s="0" t="inlineStr">
        <is>
          <t>17行 15列，源：1.23456789e-38 备：</t>
        </is>
      </c>
      <c r="ES277" s="0" t="inlineStr">
        <is>
          <t>17行 15列，源：1.23456789e-38 备：</t>
        </is>
      </c>
    </row>
    <row r="278">
      <c r="B278" s="0" t="inlineStr">
        <is>
          <t>NULL</t>
        </is>
      </c>
      <c r="C278" s="0" t="inlineStr">
        <is>
          <t>NULL</t>
        </is>
      </c>
      <c r="D278" s="0" t="inlineStr">
        <is>
          <t>NULL</t>
        </is>
      </c>
      <c r="E278" s="0" t="inlineStr">
        <is>
          <t>NULL</t>
        </is>
      </c>
      <c r="F278" s="0" t="inlineStr">
        <is>
          <t>NULL</t>
        </is>
      </c>
      <c r="G278" s="0" t="inlineStr">
        <is>
          <t>NULL</t>
        </is>
      </c>
      <c r="H278" s="0" t="inlineStr">
        <is>
          <t>NULL</t>
        </is>
      </c>
      <c r="I278" s="0" t="inlineStr">
        <is>
          <t>NULL</t>
        </is>
      </c>
      <c r="J278" s="0" t="inlineStr">
        <is>
          <t>NULL</t>
        </is>
      </c>
      <c r="K278" s="0" t="inlineStr">
        <is>
          <t xml:space="preserve"> NO!  	 c_dt2_2列源备映射错误，源端为datetime2 None位	期望更改为text	实际备端为datetime2 None位</t>
        </is>
      </c>
      <c r="BE278" s="0" t="inlineStr">
        <is>
          <t>32行 8列，源：2065-05-11 14:30:45.123456 备：9999-12-31 23:59:59.9999999</t>
        </is>
      </c>
      <c r="BJ278" s="0" t="inlineStr">
        <is>
          <t>18行 0列，源：20 备：9</t>
        </is>
      </c>
      <c r="BX278" s="0" t="inlineStr">
        <is>
          <t>31行 5列，源：1933-05-11 15:30:45.1235 +01:00 备：2026-04-17 17:18:22.7550 +08:00</t>
        </is>
      </c>
      <c r="CB278" s="0" t="inlineStr">
        <is>
          <t>37行 7列，源：2063-05-11 10:30:45.123457 -04:00 备：1999-05-16 01:30:45.123457 +10:15</t>
        </is>
      </c>
      <c r="CM278" s="0" t="inlineStr">
        <is>
          <t>17行 2列，源：nan 备：</t>
        </is>
      </c>
      <c r="DA278" s="0" t="inlineStr">
        <is>
          <t>16行 12列，源：None 备：</t>
        </is>
      </c>
      <c r="DL278" s="0" t="inlineStr">
        <is>
          <t>40行 3列，源：00:00:01.120000 备：</t>
        </is>
      </c>
      <c r="DX278" s="0" t="inlineStr">
        <is>
          <t>17行 16列，源：1.1754939304327482e-38 备：</t>
        </is>
      </c>
      <c r="EH278" s="0" t="inlineStr">
        <is>
          <t>17行 16列，源：1.1754939304327482e-38 备：</t>
        </is>
      </c>
      <c r="EP278" s="0" t="inlineStr">
        <is>
          <t>17行 16列，源：1.1754939304327482e-38 备：</t>
        </is>
      </c>
      <c r="ES278" s="0" t="inlineStr">
        <is>
          <t>17行 16列，源：1.1754939304327482e-38 备：</t>
        </is>
      </c>
    </row>
    <row r="279">
      <c r="B279" s="0" t="inlineStr">
        <is>
          <t>NULL</t>
        </is>
      </c>
      <c r="C279" s="0" t="inlineStr">
        <is>
          <t>NULL</t>
        </is>
      </c>
      <c r="D279" s="0" t="inlineStr">
        <is>
          <t>NULL</t>
        </is>
      </c>
      <c r="E279" s="0" t="inlineStr">
        <is>
          <t>NULL</t>
        </is>
      </c>
      <c r="F279" s="0" t="inlineStr">
        <is>
          <t>NULL</t>
        </is>
      </c>
      <c r="G279" s="0" t="inlineStr">
        <is>
          <t>NULL</t>
        </is>
      </c>
      <c r="H279" s="0" t="inlineStr">
        <is>
          <t>NULL</t>
        </is>
      </c>
      <c r="I279" s="0" t="inlineStr">
        <is>
          <t>NULL</t>
        </is>
      </c>
      <c r="J279" s="0" t="inlineStr">
        <is>
          <t>NULL</t>
        </is>
      </c>
      <c r="K279" s="0" t="inlineStr">
        <is>
          <t xml:space="preserve"> NO!  	 c_dt2_3列源备映射错误，源端为datetime2 None位	期望更改为text	实际备端为datetime2 None位</t>
        </is>
      </c>
      <c r="BE279" s="0" t="inlineStr">
        <is>
          <t>33行 0列，源：375 备：76</t>
        </is>
      </c>
      <c r="BJ279" s="0" t="inlineStr">
        <is>
          <t>18行 1列，源：nan 备：42</t>
        </is>
      </c>
      <c r="BX279" s="0" t="inlineStr">
        <is>
          <t>31行 6列，源：1933-05-11 15:30:45.12346 +01:00 备：2026-04-17 17:18:22.75495 +08:00</t>
        </is>
      </c>
      <c r="CB279" s="0" t="inlineStr">
        <is>
          <t>37行 8列，源：2063-05-11 10:30:45.1234567 -04:00 备：1999-05-16 01:30:45.1234567 +10:15</t>
        </is>
      </c>
      <c r="CM279" s="0" t="inlineStr">
        <is>
          <t>17行 3列，源：nan 备：</t>
        </is>
      </c>
      <c r="DA279" s="0" t="inlineStr">
        <is>
          <t>16行 13列，源：None 备：</t>
        </is>
      </c>
      <c r="DL279" s="0" t="inlineStr">
        <is>
          <t>40行 4列，源：None 备：12:00:00.123</t>
        </is>
      </c>
      <c r="DX279" s="0" t="inlineStr">
        <is>
          <t>17行 19列，源：True 备：</t>
        </is>
      </c>
      <c r="EH279" s="0" t="inlineStr">
        <is>
          <t>17行 19列，源：True 备：</t>
        </is>
      </c>
      <c r="EP279" s="0" t="inlineStr">
        <is>
          <t>17行 19列，源：True 备：</t>
        </is>
      </c>
      <c r="ES279" s="0" t="inlineStr">
        <is>
          <t>17行 19列，源：True 备：</t>
        </is>
      </c>
    </row>
    <row r="280">
      <c r="B280" s="0" t="inlineStr">
        <is>
          <t>NULL</t>
        </is>
      </c>
      <c r="C280" s="0" t="inlineStr">
        <is>
          <t>NULL</t>
        </is>
      </c>
      <c r="D280" s="0" t="inlineStr">
        <is>
          <t>NULL</t>
        </is>
      </c>
      <c r="E280" s="0" t="inlineStr">
        <is>
          <t>NULL</t>
        </is>
      </c>
      <c r="F280" s="0" t="inlineStr">
        <is>
          <t>NULL</t>
        </is>
      </c>
      <c r="G280" s="0" t="inlineStr">
        <is>
          <t>NULL</t>
        </is>
      </c>
      <c r="H280" s="0" t="inlineStr">
        <is>
          <t>NULL</t>
        </is>
      </c>
      <c r="I280" s="0" t="inlineStr">
        <is>
          <t>NULL</t>
        </is>
      </c>
      <c r="J280" s="0" t="inlineStr">
        <is>
          <t>NULL</t>
        </is>
      </c>
      <c r="K280" s="0" t="inlineStr">
        <is>
          <t xml:space="preserve"> NO!  	 c_dt2_4列源备映射错误，源端为datetime2 None位	期望更改为text	实际备端为datetime2 None位</t>
        </is>
      </c>
      <c r="BE280" s="0" t="inlineStr">
        <is>
          <t>33行 1列，源：9999-12-31 23:59:59 备：1945-05-11 14:30:45</t>
        </is>
      </c>
      <c r="BJ280" s="0" t="inlineStr">
        <is>
          <t>18行 2列，源：nan 备：0</t>
        </is>
      </c>
      <c r="BX280" s="0" t="inlineStr">
        <is>
          <t>31行 7列，源：1933-05-11 15:30:45.123457 +01:00 备：2026-04-17 17:18:22.754952 +08:00</t>
        </is>
      </c>
      <c r="CM280" s="0" t="inlineStr">
        <is>
          <t>17行 4列，源：nan 备：</t>
        </is>
      </c>
      <c r="DA280" s="0" t="inlineStr">
        <is>
          <t>16行 14列，源：None 备：</t>
        </is>
      </c>
      <c r="DL280" s="0" t="inlineStr">
        <is>
          <t>40行 5列，源：00:00:01.123500 备：</t>
        </is>
      </c>
      <c r="DX280" s="0" t="inlineStr">
        <is>
          <t>18行 0列，源：19 备：8</t>
        </is>
      </c>
      <c r="EH280" s="0" t="inlineStr">
        <is>
          <t>18行 0列，源：19 备：116</t>
        </is>
      </c>
      <c r="EP280" s="0" t="inlineStr">
        <is>
          <t>18行 0列，源：19 备：8</t>
        </is>
      </c>
      <c r="ES280" s="0" t="inlineStr">
        <is>
          <t>18行 0列，源：19 备：116</t>
        </is>
      </c>
    </row>
    <row r="281">
      <c r="B281" s="0" t="inlineStr">
        <is>
          <t>NULL</t>
        </is>
      </c>
      <c r="C281" s="0" t="inlineStr">
        <is>
          <t>NULL</t>
        </is>
      </c>
      <c r="D281" s="0" t="inlineStr">
        <is>
          <t>NULL</t>
        </is>
      </c>
      <c r="E281" s="0" t="inlineStr">
        <is>
          <t>NULL</t>
        </is>
      </c>
      <c r="F281" s="0" t="inlineStr">
        <is>
          <t>NULL</t>
        </is>
      </c>
      <c r="G281" s="0" t="inlineStr">
        <is>
          <t>NULL</t>
        </is>
      </c>
      <c r="H281" s="0" t="inlineStr">
        <is>
          <t>NULL</t>
        </is>
      </c>
      <c r="I281" s="0" t="inlineStr">
        <is>
          <t>NULL</t>
        </is>
      </c>
      <c r="J281" s="0" t="inlineStr">
        <is>
          <t>NULL</t>
        </is>
      </c>
      <c r="K281" s="0" t="inlineStr">
        <is>
          <t xml:space="preserve"> NO!  	 c_dt2_5列源备映射错误，源端为datetime2 None位	期望更改为text	实际备端为datetime2 None位</t>
        </is>
      </c>
      <c r="BE281" s="0" t="inlineStr">
        <is>
          <t>33行 2列，源：9999-12-31 23:59:59.900000 备：1945-05-11 14:30:45.1</t>
        </is>
      </c>
      <c r="BJ281" s="0" t="inlineStr">
        <is>
          <t>18行 3列，源：nan 备：0</t>
        </is>
      </c>
      <c r="BX281" s="0" t="inlineStr">
        <is>
          <t>31行 8列，源：1933-05-11 15:30:45.1234567 +01:00 备：2026-04-17 17:18:22.7549521 +08:00</t>
        </is>
      </c>
      <c r="CM281" s="0" t="inlineStr">
        <is>
          <t>17行 5列，源：None 备：</t>
        </is>
      </c>
      <c r="DA281" s="0" t="inlineStr">
        <is>
          <t>16行 15列，源：nan 备：</t>
        </is>
      </c>
      <c r="DL281" s="0" t="inlineStr">
        <is>
          <t>40行 6列，源：None 备：12:00:00.12346</t>
        </is>
      </c>
      <c r="DX281" s="0" t="inlineStr">
        <is>
          <t>18行 1列，源：nan 备：0</t>
        </is>
      </c>
      <c r="EH281" s="0" t="inlineStr">
        <is>
          <t>18行 1列，源：nan 备：</t>
        </is>
      </c>
      <c r="EP281" s="0" t="inlineStr">
        <is>
          <t>18行 1列，源：nan 备：0</t>
        </is>
      </c>
      <c r="ES281" s="0" t="inlineStr">
        <is>
          <t>18行 1列，源：nan 备：</t>
        </is>
      </c>
    </row>
    <row r="282">
      <c r="B282" s="0" t="inlineStr">
        <is>
          <t>NULL</t>
        </is>
      </c>
      <c r="C282" s="0" t="inlineStr">
        <is>
          <t>NULL</t>
        </is>
      </c>
      <c r="D282" s="0" t="inlineStr">
        <is>
          <t>NULL</t>
        </is>
      </c>
      <c r="E282" s="0" t="inlineStr">
        <is>
          <t>NULL</t>
        </is>
      </c>
      <c r="F282" s="0" t="inlineStr">
        <is>
          <t>NULL</t>
        </is>
      </c>
      <c r="G282" s="0" t="inlineStr">
        <is>
          <t>NULL</t>
        </is>
      </c>
      <c r="H282" s="0" t="inlineStr">
        <is>
          <t>NULL</t>
        </is>
      </c>
      <c r="I282" s="0" t="inlineStr">
        <is>
          <t>NULL</t>
        </is>
      </c>
      <c r="J282" s="0" t="inlineStr">
        <is>
          <t>NULL</t>
        </is>
      </c>
      <c r="K282" s="0" t="inlineStr">
        <is>
          <t xml:space="preserve"> NO!  	 c_dt2_6列源备映射错误，源端为datetime2 None位	期望更改为text	实际备端为datetime2 None位</t>
        </is>
      </c>
      <c r="BE282" s="0" t="inlineStr">
        <is>
          <t>33行 3列，源：9999-12-31 23:59:59.990000 备：1945-05-11 14:30:45.12</t>
        </is>
      </c>
      <c r="BJ282" s="0" t="inlineStr">
        <is>
          <t>18行 4列，源：nan 备：0</t>
        </is>
      </c>
      <c r="BX282" s="0" t="inlineStr">
        <is>
          <t>32行 0列，源：78 备：24</t>
        </is>
      </c>
      <c r="CM282" s="0" t="inlineStr">
        <is>
          <t>17行 6列，源：None 备：</t>
        </is>
      </c>
      <c r="DA282" s="0" t="inlineStr">
        <is>
          <t>16行 16列，源：nan 备：</t>
        </is>
      </c>
      <c r="DL282" s="0" t="inlineStr">
        <is>
          <t>40行 7列，源：00:00:01.123457 备：</t>
        </is>
      </c>
      <c r="DX282" s="0" t="inlineStr">
        <is>
          <t>18行 2列，源：nan 备：-32768</t>
        </is>
      </c>
      <c r="EH282" s="0" t="inlineStr">
        <is>
          <t>18行 2列，源：nan 备：</t>
        </is>
      </c>
      <c r="EP282" s="0" t="inlineStr">
        <is>
          <t>18行 2列，源：nan 备：-32768</t>
        </is>
      </c>
      <c r="ES282" s="0" t="inlineStr">
        <is>
          <t>18行 2列，源：nan 备：</t>
        </is>
      </c>
    </row>
    <row r="283">
      <c r="B283" s="0" t="inlineStr">
        <is>
          <t>NULL</t>
        </is>
      </c>
      <c r="C283" s="0" t="inlineStr">
        <is>
          <t>NULL</t>
        </is>
      </c>
      <c r="D283" s="0" t="inlineStr">
        <is>
          <t>NULL</t>
        </is>
      </c>
      <c r="E283" s="0" t="inlineStr">
        <is>
          <t>NULL</t>
        </is>
      </c>
      <c r="F283" s="0" t="inlineStr">
        <is>
          <t>NULL</t>
        </is>
      </c>
      <c r="G283" s="0" t="inlineStr">
        <is>
          <t>NULL</t>
        </is>
      </c>
      <c r="H283" s="0" t="inlineStr">
        <is>
          <t>NULL</t>
        </is>
      </c>
      <c r="I283" s="0" t="inlineStr">
        <is>
          <t>NULL</t>
        </is>
      </c>
      <c r="J283" s="0" t="inlineStr">
        <is>
          <t>NULL</t>
        </is>
      </c>
      <c r="K283" s="0" t="inlineStr">
        <is>
          <t xml:space="preserve"> NO!  	 c_dt2列源备映射错误，源端为datetime2 None位	期望更改为text	实际备端为datetime2 None位</t>
        </is>
      </c>
      <c r="BE283" s="0" t="inlineStr">
        <is>
          <t>33行 4列，源：9999-12-31 23:59:59.999000 备：1945-05-11 14:30:45.123</t>
        </is>
      </c>
      <c r="BJ283" s="0" t="inlineStr">
        <is>
          <t>18行 5列，源：None 备：99999</t>
        </is>
      </c>
      <c r="BX283" s="0" t="inlineStr">
        <is>
          <t>32行 1列，源：2000-05-11 00:30:45 +09:00 备：0001-01-01 00:00:00 +00:00</t>
        </is>
      </c>
      <c r="CM283" s="0" t="inlineStr">
        <is>
          <t>17行 7列，源：None 备：</t>
        </is>
      </c>
      <c r="DA283" s="0" t="inlineStr">
        <is>
          <t>16行 17列，源：None 备：</t>
        </is>
      </c>
      <c r="DL283" s="0" t="inlineStr">
        <is>
          <t>40行 8列，源：None 备：12:00:00.1234567</t>
        </is>
      </c>
      <c r="DX283" s="0" t="inlineStr">
        <is>
          <t>18行 3列，源：nan 备：-2147483648</t>
        </is>
      </c>
      <c r="EH283" s="0" t="inlineStr">
        <is>
          <t>18行 3列，源：nan 备：</t>
        </is>
      </c>
      <c r="EP283" s="0" t="inlineStr">
        <is>
          <t>18行 3列，源：nan 备：-2147483648</t>
        </is>
      </c>
      <c r="ES283" s="0" t="inlineStr">
        <is>
          <t>18行 3列，源：nan 备：</t>
        </is>
      </c>
    </row>
    <row r="284">
      <c r="A284" s="0" t="inlineStr">
        <is>
          <t>info_date_dml_single_pk_irp</t>
        </is>
      </c>
      <c r="K284" s="0" t="inlineStr">
        <is>
          <t>[0;34m info_date_dml_single_pk_irp [0m源备字段数相同，源端字段：2 	备端字段2</t>
        </is>
      </c>
      <c r="W284" s="2">
        <f>HYPERLINK("#2026041905hbase4!BD2","NO 源备存在差异，共21个")</f>
        <v/>
      </c>
      <c r="X284" s="0">
        <f>A284</f>
        <v/>
      </c>
      <c r="BE284" s="0" t="inlineStr">
        <is>
          <t>33行 5列，源：9999-12-31 23:59:59.999900 备：1945-05-11 14:30:45.1235</t>
        </is>
      </c>
      <c r="BJ284" s="0" t="inlineStr">
        <is>
          <t>18行 6列，源：None 备：</t>
        </is>
      </c>
      <c r="BX284" s="0" t="inlineStr">
        <is>
          <t>32行 2列，源：2000-05-11 00:30:45.1 +09:00 备：0001-01-01 00:00:00.0 +00:00</t>
        </is>
      </c>
      <c r="CM284" s="0" t="inlineStr">
        <is>
          <t>17行 8列，源：None 备：</t>
        </is>
      </c>
      <c r="DA284" s="0" t="inlineStr">
        <is>
          <t>16行 18列，源：None 备：</t>
        </is>
      </c>
      <c r="DL284" s="0" t="inlineStr">
        <is>
          <t>41行 0列，源：86 备：85</t>
        </is>
      </c>
      <c r="DX284" s="0" t="inlineStr">
        <is>
          <t>18行 4列，源：nan 备：-9223372036854775808</t>
        </is>
      </c>
      <c r="EH284" s="0" t="inlineStr">
        <is>
          <t>18行 4列，源：nan 备：</t>
        </is>
      </c>
      <c r="EP284" s="0" t="inlineStr">
        <is>
          <t>18行 4列，源：nan 备：-9223372036854775808</t>
        </is>
      </c>
      <c r="ES284" s="0" t="inlineStr">
        <is>
          <t>18行 4列，源：nan 备：</t>
        </is>
      </c>
    </row>
    <row r="285">
      <c r="B285" s="0" t="inlineStr">
        <is>
          <t>YES</t>
        </is>
      </c>
      <c r="C285" s="0" t="inlineStr">
        <is>
          <t>NULL</t>
        </is>
      </c>
      <c r="D285" s="0" t="inlineStr">
        <is>
          <t>NULL</t>
        </is>
      </c>
      <c r="E285" s="0" t="inlineStr">
        <is>
          <t>NULL</t>
        </is>
      </c>
      <c r="F285" s="0" t="inlineStr">
        <is>
          <t>NULL</t>
        </is>
      </c>
      <c r="G285" s="0" t="inlineStr">
        <is>
          <t>NULL</t>
        </is>
      </c>
      <c r="H285" s="0" t="inlineStr">
        <is>
          <t>NULL</t>
        </is>
      </c>
      <c r="I285" s="0" t="inlineStr">
        <is>
          <t>YES!PK__info_dat__3213E83FF1779527</t>
        </is>
      </c>
      <c r="J285" s="0" t="inlineStr">
        <is>
          <t>YES! 主键相关索引</t>
        </is>
      </c>
      <c r="K285" s="0" t="inlineStr">
        <is>
          <t xml:space="preserve"> NO!  	 id列源备映射错误，源端为int None位	期望更改为text	实际备端为int None位</t>
        </is>
      </c>
      <c r="BE285" s="0" t="inlineStr">
        <is>
          <t>33行 6列，源：9999-12-31 23:59:59.999990 备：1945-05-11 14:30:45.12346</t>
        </is>
      </c>
      <c r="BJ285" s="0" t="inlineStr">
        <is>
          <t>18行 7列，源：None 备：</t>
        </is>
      </c>
      <c r="BX285" s="0" t="inlineStr">
        <is>
          <t>32行 3列，源：2000-05-11 00:30:45.12 +09:00 备：0001-01-01 00:00:00.00 +00:00</t>
        </is>
      </c>
      <c r="CM285" s="0" t="inlineStr">
        <is>
          <t>17行 9列，源：None 备：</t>
        </is>
      </c>
      <c r="DA285" s="0" t="inlineStr">
        <is>
          <t>16行 19列，源：None 备：</t>
        </is>
      </c>
      <c r="DL285" s="0" t="inlineStr">
        <is>
          <t>41行 1列，源：12:00:00 备：00:00:01</t>
        </is>
      </c>
      <c r="DX285" s="0" t="inlineStr">
        <is>
          <t>18行 5列，源：None 备：</t>
        </is>
      </c>
      <c r="EH285" s="0" t="inlineStr">
        <is>
          <t>18行 5列，源：None 备：</t>
        </is>
      </c>
      <c r="EP285" s="0" t="inlineStr">
        <is>
          <t>18行 5列，源：None 备：</t>
        </is>
      </c>
      <c r="ES285" s="0" t="inlineStr">
        <is>
          <t>18行 5列，源：None 备：</t>
        </is>
      </c>
    </row>
    <row r="286">
      <c r="B286" s="0" t="inlineStr">
        <is>
          <t>NULL</t>
        </is>
      </c>
      <c r="C286" s="0" t="inlineStr">
        <is>
          <t>NULL</t>
        </is>
      </c>
      <c r="D286" s="0" t="inlineStr">
        <is>
          <t>NULL</t>
        </is>
      </c>
      <c r="E286" s="0" t="inlineStr">
        <is>
          <t>NULL</t>
        </is>
      </c>
      <c r="F286" s="0" t="inlineStr">
        <is>
          <t>NULL</t>
        </is>
      </c>
      <c r="G286" s="0" t="inlineStr">
        <is>
          <t>NULL</t>
        </is>
      </c>
      <c r="H286" s="0" t="inlineStr">
        <is>
          <t>NULL</t>
        </is>
      </c>
      <c r="I286" s="0" t="inlineStr">
        <is>
          <t>NULL</t>
        </is>
      </c>
      <c r="J286" s="0" t="inlineStr">
        <is>
          <t>NULL</t>
        </is>
      </c>
      <c r="K286" s="0" t="inlineStr">
        <is>
          <t xml:space="preserve"> NO!  	 c_date列源备映射错误，源端为date None位	期望更改为text	实际备端为date None位</t>
        </is>
      </c>
      <c r="BE286" s="0" t="inlineStr">
        <is>
          <t>33行 7列，源：9999-12-31 23:59:59.999999 备：1945-05-11 14:30:45.123457</t>
        </is>
      </c>
      <c r="BJ286" s="0" t="inlineStr">
        <is>
          <t>18行 8列，源：None 备：</t>
        </is>
      </c>
      <c r="BX286" s="0" t="inlineStr">
        <is>
          <t>32行 4列，源：2000-05-11 00:30:45.123 +09:00 备：0001-01-01 00:00:00.000 +00:00</t>
        </is>
      </c>
      <c r="CM286" s="0" t="inlineStr">
        <is>
          <t>17行 10列，源：None 备：</t>
        </is>
      </c>
      <c r="DA286" s="0" t="inlineStr">
        <is>
          <t>17行 0列，源：23 备：8</t>
        </is>
      </c>
      <c r="DL286" s="0" t="inlineStr">
        <is>
          <t>41行 2列，源：None 备：</t>
        </is>
      </c>
      <c r="DX286" s="0" t="inlineStr">
        <is>
          <t>18行 6列，源：None 备：</t>
        </is>
      </c>
      <c r="EH286" s="0" t="inlineStr">
        <is>
          <t>18行 6列，源：None 备：</t>
        </is>
      </c>
      <c r="EP286" s="0" t="inlineStr">
        <is>
          <t>18行 6列，源：None 备：</t>
        </is>
      </c>
      <c r="ES286" s="0" t="inlineStr">
        <is>
          <t>18行 6列，源：None 备：</t>
        </is>
      </c>
    </row>
    <row r="287">
      <c r="A287" s="0" t="inlineStr">
        <is>
          <t>info_datetime2_dml_batch1_pk_irp2</t>
        </is>
      </c>
      <c r="K287" s="0" t="inlineStr">
        <is>
          <t>[0;34m info_datetime2_dml_batch1_pk_irp2 [0m源备字段数相同，源端字段：9 	备端字段9</t>
        </is>
      </c>
      <c r="W287" s="2">
        <f>HYPERLINK("#2026041905hbase4!BE2","NO 源备存在差异，共291个")</f>
        <v/>
      </c>
      <c r="X287" s="0">
        <f>A287</f>
        <v/>
      </c>
      <c r="BE287" s="0" t="inlineStr">
        <is>
          <t>33行 8列，源：9999-12-31 23:59:59.999999 备：1945-05-11 14:30:45.1234567</t>
        </is>
      </c>
      <c r="BJ287" s="0" t="inlineStr">
        <is>
          <t>18行 9列，源：None 备：-11111.3400</t>
        </is>
      </c>
      <c r="BX287" s="0" t="inlineStr">
        <is>
          <t>32行 5列，源：2000-05-11 00:30:45.1235 +09:00 备：0001-01-01 00:00:00.0000 +00:00</t>
        </is>
      </c>
      <c r="CM287" s="0" t="inlineStr">
        <is>
          <t>17行 11列，源：None 备：</t>
        </is>
      </c>
      <c r="DA287" s="0" t="inlineStr">
        <is>
          <t>17行 1列，源：nan 备：</t>
        </is>
      </c>
      <c r="DL287" s="0" t="inlineStr">
        <is>
          <t>41行 3列，源：12:00:00.120000 备：00:00:01.12</t>
        </is>
      </c>
      <c r="DX287" s="0" t="inlineStr">
        <is>
          <t>18行 7列，源：None 备：</t>
        </is>
      </c>
      <c r="EH287" s="0" t="inlineStr">
        <is>
          <t>18行 7列，源：None 备：</t>
        </is>
      </c>
      <c r="EP287" s="0" t="inlineStr">
        <is>
          <t>18行 7列，源：None 备：</t>
        </is>
      </c>
      <c r="ES287" s="0" t="inlineStr">
        <is>
          <t>18行 7列，源：None 备：</t>
        </is>
      </c>
    </row>
    <row r="288">
      <c r="B288" s="0" t="inlineStr">
        <is>
          <t>YES</t>
        </is>
      </c>
      <c r="C288" s="0" t="inlineStr">
        <is>
          <t>NULL</t>
        </is>
      </c>
      <c r="D288" s="0" t="inlineStr">
        <is>
          <t>NULL</t>
        </is>
      </c>
      <c r="E288" s="0" t="inlineStr">
        <is>
          <t>NULL</t>
        </is>
      </c>
      <c r="F288" s="0" t="inlineStr">
        <is>
          <t>NULL</t>
        </is>
      </c>
      <c r="G288" s="0" t="inlineStr">
        <is>
          <t>NULL</t>
        </is>
      </c>
      <c r="H288" s="0" t="inlineStr">
        <is>
          <t>NULL</t>
        </is>
      </c>
      <c r="I288" s="0" t="inlineStr">
        <is>
          <t>YES!PK__info_dat__3213E83FF4E49ABA</t>
        </is>
      </c>
      <c r="J288" s="0" t="inlineStr">
        <is>
          <t>YES! 主键相关索引</t>
        </is>
      </c>
      <c r="K288" s="0" t="inlineStr">
        <is>
          <t xml:space="preserve"> NO!  	 id列源备映射错误，源端为int None位	期望更改为text	实际备端为int None位</t>
        </is>
      </c>
      <c r="BE288" s="0" t="inlineStr">
        <is>
          <t>34行 0列，源：377 备：77</t>
        </is>
      </c>
      <c r="BJ288" s="0" t="inlineStr">
        <is>
          <t>18行 10列，源：None 备：</t>
        </is>
      </c>
      <c r="BX288" s="0" t="inlineStr">
        <is>
          <t>32行 6列，源：2000-05-11 00:30:45.12346 +09:00 备：0001-01-01 00:00:00.00000 +00:00</t>
        </is>
      </c>
      <c r="CM288" s="0" t="inlineStr">
        <is>
          <t>17行 12列，源：None 备：</t>
        </is>
      </c>
      <c r="DA288" s="0" t="inlineStr">
        <is>
          <t>17行 2列，源：nan 备：</t>
        </is>
      </c>
      <c r="DL288" s="0" t="inlineStr">
        <is>
          <t>41行 4列，源：None 备：</t>
        </is>
      </c>
      <c r="DX288" s="0" t="inlineStr">
        <is>
          <t>18行 8列，源：None 备：</t>
        </is>
      </c>
      <c r="EH288" s="0" t="inlineStr">
        <is>
          <t>18行 8列，源：None 备：</t>
        </is>
      </c>
      <c r="EP288" s="0" t="inlineStr">
        <is>
          <t>18行 8列，源：None 备：</t>
        </is>
      </c>
      <c r="ES288" s="0" t="inlineStr">
        <is>
          <t>18行 8列，源：None 备：</t>
        </is>
      </c>
    </row>
    <row r="289">
      <c r="B289" s="0" t="inlineStr">
        <is>
          <t>NULL</t>
        </is>
      </c>
      <c r="C289" s="0" t="inlineStr">
        <is>
          <t>NULL</t>
        </is>
      </c>
      <c r="D289" s="0" t="inlineStr">
        <is>
          <t>NULL</t>
        </is>
      </c>
      <c r="E289" s="0" t="inlineStr">
        <is>
          <t>NULL</t>
        </is>
      </c>
      <c r="F289" s="0" t="inlineStr">
        <is>
          <t>NULL</t>
        </is>
      </c>
      <c r="G289" s="0" t="inlineStr">
        <is>
          <t>NULL</t>
        </is>
      </c>
      <c r="H289" s="0" t="inlineStr">
        <is>
          <t>NULL</t>
        </is>
      </c>
      <c r="I289" s="0" t="inlineStr">
        <is>
          <t>NULL</t>
        </is>
      </c>
      <c r="J289" s="0" t="inlineStr">
        <is>
          <t>NULL</t>
        </is>
      </c>
      <c r="K289" s="0" t="inlineStr">
        <is>
          <t xml:space="preserve"> NO!  	 c_dt2_0列源备映射错误，源端为datetime2 None位	期望更改为text	实际备端为datetime2 None位</t>
        </is>
      </c>
      <c r="BE289" s="0" t="inlineStr">
        <is>
          <t>34行 2列，源：2065-05-11 14:30:45.100000 备：2065-05-11 14:30:45.1</t>
        </is>
      </c>
      <c r="BJ289" s="0" t="inlineStr">
        <is>
          <t>18行 11列，源：None 备：</t>
        </is>
      </c>
      <c r="BX289" s="0" t="inlineStr">
        <is>
          <t>32行 7列，源：2000-05-11 00:30:45.123457 +09:00 备：0001-01-01 00:00:00.000000 +00:00</t>
        </is>
      </c>
      <c r="CM289" s="0" t="inlineStr">
        <is>
          <t>17行 13列，源：None 备：</t>
        </is>
      </c>
      <c r="DA289" s="0" t="inlineStr">
        <is>
          <t>17行 3列，源：nan 备：</t>
        </is>
      </c>
      <c r="DL289" s="0" t="inlineStr">
        <is>
          <t>41行 5列，源：12:00:00.123500 备：00:00:01.1235</t>
        </is>
      </c>
      <c r="DX289" s="0" t="inlineStr">
        <is>
          <t>18行 9列，源：None 备：</t>
        </is>
      </c>
      <c r="EH289" s="0" t="inlineStr">
        <is>
          <t>18行 9列，源：None 备：</t>
        </is>
      </c>
      <c r="EP289" s="0" t="inlineStr">
        <is>
          <t>18行 9列，源：None 备：</t>
        </is>
      </c>
      <c r="ES289" s="0" t="inlineStr">
        <is>
          <t>18行 9列，源：None 备：</t>
        </is>
      </c>
    </row>
    <row r="290">
      <c r="B290" s="0" t="inlineStr">
        <is>
          <t>NULL</t>
        </is>
      </c>
      <c r="C290" s="0" t="inlineStr">
        <is>
          <t>NULL</t>
        </is>
      </c>
      <c r="D290" s="0" t="inlineStr">
        <is>
          <t>NULL</t>
        </is>
      </c>
      <c r="E290" s="0" t="inlineStr">
        <is>
          <t>NULL</t>
        </is>
      </c>
      <c r="F290" s="0" t="inlineStr">
        <is>
          <t>NULL</t>
        </is>
      </c>
      <c r="G290" s="0" t="inlineStr">
        <is>
          <t>NULL</t>
        </is>
      </c>
      <c r="H290" s="0" t="inlineStr">
        <is>
          <t>NULL</t>
        </is>
      </c>
      <c r="I290" s="0" t="inlineStr">
        <is>
          <t>NULL</t>
        </is>
      </c>
      <c r="J290" s="0" t="inlineStr">
        <is>
          <t>NULL</t>
        </is>
      </c>
      <c r="K290" s="0" t="inlineStr">
        <is>
          <t xml:space="preserve"> NO!  	 c_dt2_1列源备映射错误，源端为datetime2 None位	期望更改为text	实际备端为datetime2 None位</t>
        </is>
      </c>
      <c r="BE290" s="0" t="inlineStr">
        <is>
          <t>34行 3列，源：2065-05-11 14:30:45.120000 备：2065-05-11 14:30:45.12</t>
        </is>
      </c>
      <c r="BJ290" s="0" t="inlineStr">
        <is>
          <t>18行 12列，源：None 备：</t>
        </is>
      </c>
      <c r="BX290" s="0" t="inlineStr">
        <is>
          <t>32行 8列，源：2000-05-11 00:30:45.1234567 +09:00 备：0001-01-01 00:00:00.0000000 +00:00</t>
        </is>
      </c>
      <c r="CM290" s="0" t="inlineStr">
        <is>
          <t>17行 14列，源：None 备：</t>
        </is>
      </c>
      <c r="DA290" s="0" t="inlineStr">
        <is>
          <t>17行 4列，源：-223456789012.0 备：</t>
        </is>
      </c>
      <c r="DL290" s="0" t="inlineStr">
        <is>
          <t>41行 6列，源：None 备：</t>
        </is>
      </c>
      <c r="DX290" s="0" t="inlineStr">
        <is>
          <t>18行 10列，源：None 备：</t>
        </is>
      </c>
      <c r="EH290" s="0" t="inlineStr">
        <is>
          <t>18行 10列，源：None 备：</t>
        </is>
      </c>
      <c r="EP290" s="0" t="inlineStr">
        <is>
          <t>18行 10列，源：None 备：</t>
        </is>
      </c>
      <c r="ES290" s="0" t="inlineStr">
        <is>
          <t>18行 10列，源：None 备：</t>
        </is>
      </c>
    </row>
    <row r="291">
      <c r="B291" s="0" t="inlineStr">
        <is>
          <t>NULL</t>
        </is>
      </c>
      <c r="C291" s="0" t="inlineStr">
        <is>
          <t>NULL</t>
        </is>
      </c>
      <c r="D291" s="0" t="inlineStr">
        <is>
          <t>NULL</t>
        </is>
      </c>
      <c r="E291" s="0" t="inlineStr">
        <is>
          <t>NULL</t>
        </is>
      </c>
      <c r="F291" s="0" t="inlineStr">
        <is>
          <t>NULL</t>
        </is>
      </c>
      <c r="G291" s="0" t="inlineStr">
        <is>
          <t>NULL</t>
        </is>
      </c>
      <c r="H291" s="0" t="inlineStr">
        <is>
          <t>NULL</t>
        </is>
      </c>
      <c r="I291" s="0" t="inlineStr">
        <is>
          <t>NULL</t>
        </is>
      </c>
      <c r="J291" s="0" t="inlineStr">
        <is>
          <t>NULL</t>
        </is>
      </c>
      <c r="K291" s="0" t="inlineStr">
        <is>
          <t xml:space="preserve"> NO!  	 c_dt2_2列源备映射错误，源端为datetime2 None位	期望更改为text	实际备端为datetime2 None位</t>
        </is>
      </c>
      <c r="BE291" s="0" t="inlineStr">
        <is>
          <t>34行 4列，源：2065-05-11 14:30:45.123000 备：2065-05-11 14:30:45.123</t>
        </is>
      </c>
      <c r="BJ291" s="0" t="inlineStr">
        <is>
          <t>18行 13列，源：None 备：</t>
        </is>
      </c>
      <c r="BX291" s="0" t="inlineStr">
        <is>
          <t>33行 0列，源：79 备：25</t>
        </is>
      </c>
      <c r="CM291" s="0" t="inlineStr">
        <is>
          <t>17行 15列，源：nan 备：</t>
        </is>
      </c>
      <c r="DA291" s="0" t="inlineStr">
        <is>
          <t>17行 5列，源：None 备：</t>
        </is>
      </c>
      <c r="DL291" s="0" t="inlineStr">
        <is>
          <t>41行 7列，源：12:00:00.123457 备：00:00:01.123457</t>
        </is>
      </c>
      <c r="DX291" s="0" t="inlineStr">
        <is>
          <t>18行 11列，源：None 备：</t>
        </is>
      </c>
      <c r="EH291" s="0" t="inlineStr">
        <is>
          <t>18行 11列，源：None 备：</t>
        </is>
      </c>
      <c r="EP291" s="0" t="inlineStr">
        <is>
          <t>18行 11列，源：None 备：</t>
        </is>
      </c>
      <c r="ES291" s="0" t="inlineStr">
        <is>
          <t>18行 11列，源：None 备：</t>
        </is>
      </c>
    </row>
    <row r="292">
      <c r="B292" s="0" t="inlineStr">
        <is>
          <t>NULL</t>
        </is>
      </c>
      <c r="C292" s="0" t="inlineStr">
        <is>
          <t>NULL</t>
        </is>
      </c>
      <c r="D292" s="0" t="inlineStr">
        <is>
          <t>NULL</t>
        </is>
      </c>
      <c r="E292" s="0" t="inlineStr">
        <is>
          <t>NULL</t>
        </is>
      </c>
      <c r="F292" s="0" t="inlineStr">
        <is>
          <t>NULL</t>
        </is>
      </c>
      <c r="G292" s="0" t="inlineStr">
        <is>
          <t>NULL</t>
        </is>
      </c>
      <c r="H292" s="0" t="inlineStr">
        <is>
          <t>NULL</t>
        </is>
      </c>
      <c r="I292" s="0" t="inlineStr">
        <is>
          <t>NULL</t>
        </is>
      </c>
      <c r="J292" s="0" t="inlineStr">
        <is>
          <t>NULL</t>
        </is>
      </c>
      <c r="K292" s="0" t="inlineStr">
        <is>
          <t xml:space="preserve"> NO!  	 c_dt2_3列源备映射错误，源端为datetime2 None位	期望更改为text	实际备端为datetime2 None位</t>
        </is>
      </c>
      <c r="BE292" s="0" t="inlineStr">
        <is>
          <t>34行 5列，源：2065-05-11 14:30:45.123500 备：2065-05-11 14:30:45.1235</t>
        </is>
      </c>
      <c r="BJ292" s="0" t="inlineStr">
        <is>
          <t>18行 14列，源：None 备：</t>
        </is>
      </c>
      <c r="BX292" s="0" t="inlineStr">
        <is>
          <t>33行 1列，源：1999-05-16 01:30:45 +10:15 备：9999-12-31 23:59:59 +00:00</t>
        </is>
      </c>
      <c r="CM292" s="0" t="inlineStr">
        <is>
          <t>17行 16列，源：nan 备：</t>
        </is>
      </c>
      <c r="DA292" s="0" t="inlineStr">
        <is>
          <t>17行 6列，源：None 备：</t>
        </is>
      </c>
      <c r="DL292" s="0" t="inlineStr">
        <is>
          <t>41行 8列，源：None 备：</t>
        </is>
      </c>
      <c r="DX292" s="0" t="inlineStr">
        <is>
          <t>18行 12列，源：None 备：</t>
        </is>
      </c>
      <c r="EH292" s="0" t="inlineStr">
        <is>
          <t>18行 12列，源：None 备：</t>
        </is>
      </c>
      <c r="EP292" s="0" t="inlineStr">
        <is>
          <t>18行 12列，源：None 备：</t>
        </is>
      </c>
      <c r="ES292" s="0" t="inlineStr">
        <is>
          <t>18行 12列，源：None 备：</t>
        </is>
      </c>
    </row>
    <row r="293">
      <c r="B293" s="0" t="inlineStr">
        <is>
          <t>NULL</t>
        </is>
      </c>
      <c r="C293" s="0" t="inlineStr">
        <is>
          <t>NULL</t>
        </is>
      </c>
      <c r="D293" s="0" t="inlineStr">
        <is>
          <t>NULL</t>
        </is>
      </c>
      <c r="E293" s="0" t="inlineStr">
        <is>
          <t>NULL</t>
        </is>
      </c>
      <c r="F293" s="0" t="inlineStr">
        <is>
          <t>NULL</t>
        </is>
      </c>
      <c r="G293" s="0" t="inlineStr">
        <is>
          <t>NULL</t>
        </is>
      </c>
      <c r="H293" s="0" t="inlineStr">
        <is>
          <t>NULL</t>
        </is>
      </c>
      <c r="I293" s="0" t="inlineStr">
        <is>
          <t>NULL</t>
        </is>
      </c>
      <c r="J293" s="0" t="inlineStr">
        <is>
          <t>NULL</t>
        </is>
      </c>
      <c r="K293" s="0" t="inlineStr">
        <is>
          <t xml:space="preserve"> NO!  	 c_dt2_4列源备映射错误，源端为datetime2 None位	期望更改为text	实际备端为datetime2 None位</t>
        </is>
      </c>
      <c r="BE293" s="0" t="inlineStr">
        <is>
          <t>34行 6列，源：2065-05-11 14:30:45.123460 备：2065-05-11 14:30:45.12346</t>
        </is>
      </c>
      <c r="BJ293" s="0" t="inlineStr">
        <is>
          <t>18行 15列，源：-3.402823466e+38 备：123.4567890000000</t>
        </is>
      </c>
      <c r="BX293" s="0" t="inlineStr">
        <is>
          <t>33行 2列，源：1999-05-16 01:30:45.1 +10:15 备：9999-12-31 23:59:59.9 +00:00</t>
        </is>
      </c>
      <c r="CM293" s="0" t="inlineStr">
        <is>
          <t>17行 19列，源：None 备：</t>
        </is>
      </c>
      <c r="DA293" s="0" t="inlineStr">
        <is>
          <t>17行 7列，源：None 备：</t>
        </is>
      </c>
      <c r="DL293" s="0" t="inlineStr">
        <is>
          <t>42行 0列，源：129 备：86</t>
        </is>
      </c>
      <c r="DX293" s="0" t="inlineStr">
        <is>
          <t>18行 13列，源：None 备：</t>
        </is>
      </c>
      <c r="EH293" s="0" t="inlineStr">
        <is>
          <t>18行 13列，源：None 备：</t>
        </is>
      </c>
      <c r="EP293" s="0" t="inlineStr">
        <is>
          <t>18行 13列，源：None 备：</t>
        </is>
      </c>
      <c r="ES293" s="0" t="inlineStr">
        <is>
          <t>18行 13列，源：None 备：</t>
        </is>
      </c>
    </row>
    <row r="294">
      <c r="B294" s="0" t="inlineStr">
        <is>
          <t>NULL</t>
        </is>
      </c>
      <c r="C294" s="0" t="inlineStr">
        <is>
          <t>NULL</t>
        </is>
      </c>
      <c r="D294" s="0" t="inlineStr">
        <is>
          <t>NULL</t>
        </is>
      </c>
      <c r="E294" s="0" t="inlineStr">
        <is>
          <t>NULL</t>
        </is>
      </c>
      <c r="F294" s="0" t="inlineStr">
        <is>
          <t>NULL</t>
        </is>
      </c>
      <c r="G294" s="0" t="inlineStr">
        <is>
          <t>NULL</t>
        </is>
      </c>
      <c r="H294" s="0" t="inlineStr">
        <is>
          <t>NULL</t>
        </is>
      </c>
      <c r="I294" s="0" t="inlineStr">
        <is>
          <t>NULL</t>
        </is>
      </c>
      <c r="J294" s="0" t="inlineStr">
        <is>
          <t>NULL</t>
        </is>
      </c>
      <c r="K294" s="0" t="inlineStr">
        <is>
          <t xml:space="preserve"> NO!  	 c_dt2_5列源备映射错误，源端为datetime2 None位	期望更改为text	实际备端为datetime2 None位</t>
        </is>
      </c>
      <c r="BJ294" s="0" t="inlineStr">
        <is>
          <t>18行 16列，源：-3.4028230607370965e+38 备：</t>
        </is>
      </c>
      <c r="BX294" s="0" t="inlineStr">
        <is>
          <t>33行 3列，源：1999-05-16 01:30:45.12 +10:15 备：9999-12-31 23:59:59.99 +00:00</t>
        </is>
      </c>
      <c r="CM294" s="0" t="inlineStr">
        <is>
          <t>18行 0列，源：19 备：5</t>
        </is>
      </c>
      <c r="DA294" s="0" t="inlineStr">
        <is>
          <t>17行 8列，源：None 备：0.0000000001</t>
        </is>
      </c>
      <c r="DL294" s="0" t="inlineStr">
        <is>
          <t>42行 1列，源：12:30:45 备：12:00:00</t>
        </is>
      </c>
      <c r="DX294" s="0" t="inlineStr">
        <is>
          <t>18行 14列，源：None 备：</t>
        </is>
      </c>
      <c r="EH294" s="0" t="inlineStr">
        <is>
          <t>18行 14列，源：None 备：</t>
        </is>
      </c>
      <c r="EP294" s="0" t="inlineStr">
        <is>
          <t>18行 14列，源：None 备：</t>
        </is>
      </c>
      <c r="ES294" s="0" t="inlineStr">
        <is>
          <t>18行 14列，源：None 备：</t>
        </is>
      </c>
    </row>
    <row r="295">
      <c r="B295" s="0" t="inlineStr">
        <is>
          <t>NULL</t>
        </is>
      </c>
      <c r="C295" s="0" t="inlineStr">
        <is>
          <t>NULL</t>
        </is>
      </c>
      <c r="D295" s="0" t="inlineStr">
        <is>
          <t>NULL</t>
        </is>
      </c>
      <c r="E295" s="0" t="inlineStr">
        <is>
          <t>NULL</t>
        </is>
      </c>
      <c r="F295" s="0" t="inlineStr">
        <is>
          <t>NULL</t>
        </is>
      </c>
      <c r="G295" s="0" t="inlineStr">
        <is>
          <t>NULL</t>
        </is>
      </c>
      <c r="H295" s="0" t="inlineStr">
        <is>
          <t>NULL</t>
        </is>
      </c>
      <c r="I295" s="0" t="inlineStr">
        <is>
          <t>NULL</t>
        </is>
      </c>
      <c r="J295" s="0" t="inlineStr">
        <is>
          <t>NULL</t>
        </is>
      </c>
      <c r="K295" s="0" t="inlineStr">
        <is>
          <t xml:space="preserve"> NO!  	 c_dt2_6列源备映射错误，源端为datetime2 None位	期望更改为text	实际备端为datetime2 None位</t>
        </is>
      </c>
      <c r="BJ295" s="0" t="inlineStr">
        <is>
          <t>18行 19列，源：False 备：1</t>
        </is>
      </c>
      <c r="BX295" s="0" t="inlineStr">
        <is>
          <t>33行 4列，源：1999-05-16 01:30:45.123 +10:15 备：9999-12-31 23:59:59.999 +00:00</t>
        </is>
      </c>
      <c r="CM295" s="0" t="inlineStr">
        <is>
          <t>18行 1列，源：nan 备：123</t>
        </is>
      </c>
      <c r="DA295" s="0" t="inlineStr">
        <is>
          <t>17行 9列，源：None 备：</t>
        </is>
      </c>
      <c r="DL295" s="0" t="inlineStr">
        <is>
          <t>42行 2列，源：12:30:45.100000 备：</t>
        </is>
      </c>
      <c r="DX295" s="0" t="inlineStr">
        <is>
          <t>18行 15列，源：3.402823466e+38 备：</t>
        </is>
      </c>
      <c r="EH295" s="0" t="inlineStr">
        <is>
          <t>18行 15列，源：3.402823466e+38 备：</t>
        </is>
      </c>
      <c r="EP295" s="0" t="inlineStr">
        <is>
          <t>18行 15列，源：3.402823466e+38 备：</t>
        </is>
      </c>
      <c r="ES295" s="0" t="inlineStr">
        <is>
          <t>18行 15列，源：3.402823466e+38 备：</t>
        </is>
      </c>
    </row>
    <row r="296">
      <c r="B296" s="0" t="inlineStr">
        <is>
          <t>NULL</t>
        </is>
      </c>
      <c r="C296" s="0" t="inlineStr">
        <is>
          <t>NULL</t>
        </is>
      </c>
      <c r="D296" s="0" t="inlineStr">
        <is>
          <t>NULL</t>
        </is>
      </c>
      <c r="E296" s="0" t="inlineStr">
        <is>
          <t>NULL</t>
        </is>
      </c>
      <c r="F296" s="0" t="inlineStr">
        <is>
          <t>NULL</t>
        </is>
      </c>
      <c r="G296" s="0" t="inlineStr">
        <is>
          <t>NULL</t>
        </is>
      </c>
      <c r="H296" s="0" t="inlineStr">
        <is>
          <t>NULL</t>
        </is>
      </c>
      <c r="I296" s="0" t="inlineStr">
        <is>
          <t>NULL</t>
        </is>
      </c>
      <c r="J296" s="0" t="inlineStr">
        <is>
          <t>NULL</t>
        </is>
      </c>
      <c r="K296" s="0" t="inlineStr">
        <is>
          <t xml:space="preserve"> NO!  	 c_dt2列源备映射错误，源端为datetime2 None位	期望更改为text	实际备端为datetime2 None位</t>
        </is>
      </c>
      <c r="BX296" s="0" t="inlineStr">
        <is>
          <t>33行 5列，源：1999-05-16 01:30:45.1235 +10:15 备：9999-12-31 23:59:59.9999 +00:00</t>
        </is>
      </c>
      <c r="CM296" s="0" t="inlineStr">
        <is>
          <t>18行 2列，源：nan 备：12345</t>
        </is>
      </c>
      <c r="DA296" s="0" t="inlineStr">
        <is>
          <t>17行 10列，源：None 备：</t>
        </is>
      </c>
      <c r="DL296" s="0" t="inlineStr">
        <is>
          <t>42行 3列，源：12:30:45.120000 备：12:00:00.12</t>
        </is>
      </c>
      <c r="DX296" s="0" t="inlineStr">
        <is>
          <t>18行 16列，源：3.4028230607370965e+38 备：</t>
        </is>
      </c>
      <c r="EH296" s="0" t="inlineStr">
        <is>
          <t>18行 16列，源：3.4028230607370965e+38 备：</t>
        </is>
      </c>
      <c r="EP296" s="0" t="inlineStr">
        <is>
          <t>18行 16列，源：3.4028230607370965e+38 备：</t>
        </is>
      </c>
      <c r="ES296" s="0" t="inlineStr">
        <is>
          <t>18行 16列，源：3.4028230607370965e+38 备：</t>
        </is>
      </c>
    </row>
    <row r="297">
      <c r="A297" s="0" t="inlineStr">
        <is>
          <t>info_datetime2_dml_batch2_pk_irp1</t>
        </is>
      </c>
      <c r="K297" s="0" t="inlineStr">
        <is>
          <t>[0;34m info_datetime2_dml_batch2_pk_irp1 [0m源备字段数相同，源端字段：9 	备端字段9</t>
        </is>
      </c>
      <c r="W297" s="2">
        <f>HYPERLINK("#2026041905hbase4!BF2","NO 源备存在差异，共28个")</f>
        <v/>
      </c>
      <c r="X297" s="0">
        <f>A297</f>
        <v/>
      </c>
      <c r="BX297" s="0" t="inlineStr">
        <is>
          <t>33行 6列，源：1999-05-16 01:30:45.12346 +10:15 备：9999-12-31 23:59:59.99999 +00:00</t>
        </is>
      </c>
      <c r="CM297" s="0" t="inlineStr">
        <is>
          <t>18行 3列，源：nan 备：1234567890</t>
        </is>
      </c>
      <c r="DA297" s="0" t="inlineStr">
        <is>
          <t>17行 11列，源：None 备：</t>
        </is>
      </c>
      <c r="DL297" s="0" t="inlineStr">
        <is>
          <t>42行 4列，源：12:30:45.123000 备：</t>
        </is>
      </c>
      <c r="DX297" s="0" t="inlineStr">
        <is>
          <t>18行 19列，源：True 备：</t>
        </is>
      </c>
      <c r="EH297" s="0" t="inlineStr">
        <is>
          <t>18行 19列，源：True 备：</t>
        </is>
      </c>
      <c r="EP297" s="0" t="inlineStr">
        <is>
          <t>18行 19列，源：True 备：</t>
        </is>
      </c>
      <c r="ES297" s="0" t="inlineStr">
        <is>
          <t>18行 19列，源：True 备：</t>
        </is>
      </c>
    </row>
    <row r="298">
      <c r="B298" s="0" t="inlineStr">
        <is>
          <t>YES</t>
        </is>
      </c>
      <c r="C298" s="0" t="inlineStr">
        <is>
          <t>NULL</t>
        </is>
      </c>
      <c r="D298" s="0" t="inlineStr">
        <is>
          <t>NULL</t>
        </is>
      </c>
      <c r="E298" s="0" t="inlineStr">
        <is>
          <t>NULL</t>
        </is>
      </c>
      <c r="F298" s="0" t="inlineStr">
        <is>
          <t>NULL</t>
        </is>
      </c>
      <c r="G298" s="0" t="inlineStr">
        <is>
          <t>NULL</t>
        </is>
      </c>
      <c r="H298" s="0" t="inlineStr">
        <is>
          <t>NULL</t>
        </is>
      </c>
      <c r="I298" s="0" t="inlineStr">
        <is>
          <t>YES!PK__info_dat__3213E83F47E4FBC7</t>
        </is>
      </c>
      <c r="J298" s="0" t="inlineStr">
        <is>
          <t>YES! 主键相关索引</t>
        </is>
      </c>
      <c r="K298" s="0" t="inlineStr">
        <is>
          <t xml:space="preserve"> NO!  	 id列源备映射错误，源端为int None位	期望更改为text	实际备端为int None位</t>
        </is>
      </c>
      <c r="BX298" s="0" t="inlineStr">
        <is>
          <t>33行 7列，源：1999-05-16 01:30:45.123457 +10:15 备：9999-12-31 23:59:59.999999 +00:00</t>
        </is>
      </c>
      <c r="CM298" s="0" t="inlineStr">
        <is>
          <t>18行 4列，源：nan 备：1234567890123456</t>
        </is>
      </c>
      <c r="DA298" s="0" t="inlineStr">
        <is>
          <t>17行 12列，源：None 备：</t>
        </is>
      </c>
      <c r="DL298" s="0" t="inlineStr">
        <is>
          <t>42行 5列，源：12:30:45.123500 备：12:00:00.1235</t>
        </is>
      </c>
      <c r="DX298" s="0" t="inlineStr">
        <is>
          <t>19行 0列，源：20 备：9</t>
        </is>
      </c>
      <c r="EH298" s="0" t="inlineStr">
        <is>
          <t>19行 0列，源：20 备：117</t>
        </is>
      </c>
      <c r="EP298" s="0" t="inlineStr">
        <is>
          <t>19行 0列，源：20 备：9</t>
        </is>
      </c>
      <c r="ES298" s="0" t="inlineStr">
        <is>
          <t>19行 0列，源：20 备：117</t>
        </is>
      </c>
    </row>
    <row r="299">
      <c r="B299" s="0" t="inlineStr">
        <is>
          <t>NULL</t>
        </is>
      </c>
      <c r="C299" s="0" t="inlineStr">
        <is>
          <t>NULL</t>
        </is>
      </c>
      <c r="D299" s="0" t="inlineStr">
        <is>
          <t>NULL</t>
        </is>
      </c>
      <c r="E299" s="0" t="inlineStr">
        <is>
          <t>NULL</t>
        </is>
      </c>
      <c r="F299" s="0" t="inlineStr">
        <is>
          <t>NULL</t>
        </is>
      </c>
      <c r="G299" s="0" t="inlineStr">
        <is>
          <t>NULL</t>
        </is>
      </c>
      <c r="H299" s="0" t="inlineStr">
        <is>
          <t>NULL</t>
        </is>
      </c>
      <c r="I299" s="0" t="inlineStr">
        <is>
          <t>NULL</t>
        </is>
      </c>
      <c r="J299" s="0" t="inlineStr">
        <is>
          <t>NULL</t>
        </is>
      </c>
      <c r="K299" s="0" t="inlineStr">
        <is>
          <t xml:space="preserve"> NO!  	 c_dt2_0列源备映射错误，源端为datetime2 None位	期望更改为text	实际备端为datetime2 None位</t>
        </is>
      </c>
      <c r="BX299" s="0" t="inlineStr">
        <is>
          <t>33行 8列，源：1999-05-16 01:30:45.1234567 +10:15 备：9999-12-31 23:59:59.9999999 +00:00</t>
        </is>
      </c>
      <c r="CM299" s="0" t="inlineStr">
        <is>
          <t>18行 5列，源：None 备：123456789123456789</t>
        </is>
      </c>
      <c r="DA299" s="0" t="inlineStr">
        <is>
          <t>17行 13列，源：None 备：</t>
        </is>
      </c>
      <c r="DL299" s="0" t="inlineStr">
        <is>
          <t>42行 6列，源：12:30:45.123450 备：</t>
        </is>
      </c>
      <c r="DX299" s="0" t="inlineStr">
        <is>
          <t>19行 1列，源：nan 备：42</t>
        </is>
      </c>
      <c r="EH299" s="0" t="inlineStr">
        <is>
          <t>19行 1列，源：nan 备：</t>
        </is>
      </c>
      <c r="EP299" s="0" t="inlineStr">
        <is>
          <t>19行 1列，源：nan 备：42</t>
        </is>
      </c>
      <c r="ES299" s="0" t="inlineStr">
        <is>
          <t>19行 1列，源：nan 备：</t>
        </is>
      </c>
    </row>
    <row r="300">
      <c r="B300" s="0" t="inlineStr">
        <is>
          <t>NULL</t>
        </is>
      </c>
      <c r="C300" s="0" t="inlineStr">
        <is>
          <t>NULL</t>
        </is>
      </c>
      <c r="D300" s="0" t="inlineStr">
        <is>
          <t>NULL</t>
        </is>
      </c>
      <c r="E300" s="0" t="inlineStr">
        <is>
          <t>NULL</t>
        </is>
      </c>
      <c r="F300" s="0" t="inlineStr">
        <is>
          <t>NULL</t>
        </is>
      </c>
      <c r="G300" s="0" t="inlineStr">
        <is>
          <t>NULL</t>
        </is>
      </c>
      <c r="H300" s="0" t="inlineStr">
        <is>
          <t>NULL</t>
        </is>
      </c>
      <c r="I300" s="0" t="inlineStr">
        <is>
          <t>NULL</t>
        </is>
      </c>
      <c r="J300" s="0" t="inlineStr">
        <is>
          <t>NULL</t>
        </is>
      </c>
      <c r="K300" s="0" t="inlineStr">
        <is>
          <t xml:space="preserve"> NO!  	 c_dt2_1列源备映射错误，源端为datetime2 None位	期望更改为text	实际备端为datetime2 None位</t>
        </is>
      </c>
      <c r="BX300" s="0" t="inlineStr">
        <is>
          <t>34行 0列，源：80 备：26</t>
        </is>
      </c>
      <c r="CM300" s="0" t="inlineStr">
        <is>
          <t>18行 6列，源：None 备：-1234567890123456789012345</t>
        </is>
      </c>
      <c r="DA300" s="0" t="inlineStr">
        <is>
          <t>17行 14列，源：None 备：</t>
        </is>
      </c>
      <c r="DL300" s="0" t="inlineStr">
        <is>
          <t>42行 7列，源：12:30:45.123450 备：12:00:00.123457</t>
        </is>
      </c>
      <c r="DX300" s="0" t="inlineStr">
        <is>
          <t>19行 2列，源：nan 备：12345</t>
        </is>
      </c>
      <c r="EH300" s="0" t="inlineStr">
        <is>
          <t>19行 2列，源：nan 备：</t>
        </is>
      </c>
      <c r="EP300" s="0" t="inlineStr">
        <is>
          <t>19行 2列，源：nan 备：12345</t>
        </is>
      </c>
      <c r="ES300" s="0" t="inlineStr">
        <is>
          <t>19行 2列，源：nan 备：</t>
        </is>
      </c>
    </row>
    <row r="301">
      <c r="B301" s="0" t="inlineStr">
        <is>
          <t>NULL</t>
        </is>
      </c>
      <c r="C301" s="0" t="inlineStr">
        <is>
          <t>NULL</t>
        </is>
      </c>
      <c r="D301" s="0" t="inlineStr">
        <is>
          <t>NULL</t>
        </is>
      </c>
      <c r="E301" s="0" t="inlineStr">
        <is>
          <t>NULL</t>
        </is>
      </c>
      <c r="F301" s="0" t="inlineStr">
        <is>
          <t>NULL</t>
        </is>
      </c>
      <c r="G301" s="0" t="inlineStr">
        <is>
          <t>NULL</t>
        </is>
      </c>
      <c r="H301" s="0" t="inlineStr">
        <is>
          <t>NULL</t>
        </is>
      </c>
      <c r="I301" s="0" t="inlineStr">
        <is>
          <t>NULL</t>
        </is>
      </c>
      <c r="J301" s="0" t="inlineStr">
        <is>
          <t>NULL</t>
        </is>
      </c>
      <c r="K301" s="0" t="inlineStr">
        <is>
          <t xml:space="preserve"> NO!  	 c_dt2_2列源备映射错误，源端为datetime2 None位	期望更改为text	实际备端为datetime2 None位</t>
        </is>
      </c>
      <c r="BX301" s="0" t="inlineStr">
        <is>
          <t>34行 1列，源：2013-03-12 02:00:00 -04:25 备：2063-05-11 10:30:45 -04:00</t>
        </is>
      </c>
      <c r="CM301" s="0" t="inlineStr">
        <is>
          <t>18行 7列，源：None 备：0.00000000000000000000000080000000000000</t>
        </is>
      </c>
      <c r="DA301" s="0" t="inlineStr">
        <is>
          <t>17行 15列，源：nan 备：</t>
        </is>
      </c>
      <c r="DL301" s="0" t="inlineStr">
        <is>
          <t>42行 8列，源：12:30:45.123450 备：</t>
        </is>
      </c>
      <c r="DX301" s="0" t="inlineStr">
        <is>
          <t>19行 3列，源：nan 备：123456789</t>
        </is>
      </c>
      <c r="EH301" s="0" t="inlineStr">
        <is>
          <t>19行 3列，源：nan 备：</t>
        </is>
      </c>
      <c r="EP301" s="0" t="inlineStr">
        <is>
          <t>19行 3列，源：nan 备：123456789</t>
        </is>
      </c>
      <c r="ES301" s="0" t="inlineStr">
        <is>
          <t>19行 3列，源：nan 备：</t>
        </is>
      </c>
    </row>
    <row r="302">
      <c r="B302" s="0" t="inlineStr">
        <is>
          <t>NULL</t>
        </is>
      </c>
      <c r="C302" s="0" t="inlineStr">
        <is>
          <t>NULL</t>
        </is>
      </c>
      <c r="D302" s="0" t="inlineStr">
        <is>
          <t>NULL</t>
        </is>
      </c>
      <c r="E302" s="0" t="inlineStr">
        <is>
          <t>NULL</t>
        </is>
      </c>
      <c r="F302" s="0" t="inlineStr">
        <is>
          <t>NULL</t>
        </is>
      </c>
      <c r="G302" s="0" t="inlineStr">
        <is>
          <t>NULL</t>
        </is>
      </c>
      <c r="H302" s="0" t="inlineStr">
        <is>
          <t>NULL</t>
        </is>
      </c>
      <c r="I302" s="0" t="inlineStr">
        <is>
          <t>NULL</t>
        </is>
      </c>
      <c r="J302" s="0" t="inlineStr">
        <is>
          <t>NULL</t>
        </is>
      </c>
      <c r="K302" s="0" t="inlineStr">
        <is>
          <t xml:space="preserve"> NO!  	 c_dt2_3列源备映射错误，源端为datetime2 None位	期望更改为text	实际备端为datetime2 None位</t>
        </is>
      </c>
      <c r="BX302" s="0" t="inlineStr">
        <is>
          <t>34行 2列，源：2013-03-12 02:00:00.0 -04:25 备：2063-05-11 10:30:45.1 -04:00</t>
        </is>
      </c>
      <c r="CM302" s="0" t="inlineStr">
        <is>
          <t>18行 8列，源：None 备：1234567890123456789012345678.1234567890</t>
        </is>
      </c>
      <c r="DA302" s="0" t="inlineStr">
        <is>
          <t>17行 16列，源：nan 备：</t>
        </is>
      </c>
      <c r="DL302" s="0" t="inlineStr">
        <is>
          <t>43行 0列，源：179 备：9</t>
        </is>
      </c>
      <c r="DX302" s="0" t="inlineStr">
        <is>
          <t>19行 4列，源：nan 备：123456789012345</t>
        </is>
      </c>
      <c r="EH302" s="0" t="inlineStr">
        <is>
          <t>19行 4列，源：nan 备：</t>
        </is>
      </c>
      <c r="EP302" s="0" t="inlineStr">
        <is>
          <t>19行 4列，源：nan 备：123456789012345</t>
        </is>
      </c>
      <c r="ES302" s="0" t="inlineStr">
        <is>
          <t>19行 4列，源：nan 备：</t>
        </is>
      </c>
    </row>
    <row r="303">
      <c r="B303" s="0" t="inlineStr">
        <is>
          <t>NULL</t>
        </is>
      </c>
      <c r="C303" s="0" t="inlineStr">
        <is>
          <t>NULL</t>
        </is>
      </c>
      <c r="D303" s="0" t="inlineStr">
        <is>
          <t>NULL</t>
        </is>
      </c>
      <c r="E303" s="0" t="inlineStr">
        <is>
          <t>NULL</t>
        </is>
      </c>
      <c r="F303" s="0" t="inlineStr">
        <is>
          <t>NULL</t>
        </is>
      </c>
      <c r="G303" s="0" t="inlineStr">
        <is>
          <t>NULL</t>
        </is>
      </c>
      <c r="H303" s="0" t="inlineStr">
        <is>
          <t>NULL</t>
        </is>
      </c>
      <c r="I303" s="0" t="inlineStr">
        <is>
          <t>NULL</t>
        </is>
      </c>
      <c r="J303" s="0" t="inlineStr">
        <is>
          <t>NULL</t>
        </is>
      </c>
      <c r="K303" s="0" t="inlineStr">
        <is>
          <t xml:space="preserve"> NO!  	 c_dt2_4列源备映射错误，源端为datetime2 None位	期望更改为text	实际备端为datetime2 None位</t>
        </is>
      </c>
      <c r="BX303" s="0" t="inlineStr">
        <is>
          <t>34行 3列，源：2013-03-12 02:00:00.00 -04:25 备：2063-05-11 10:30:45.12 -04:00</t>
        </is>
      </c>
      <c r="CM303" s="0" t="inlineStr">
        <is>
          <t>18行 9列，源：None 备：-123456789012.1234</t>
        </is>
      </c>
      <c r="DA303" s="0" t="inlineStr">
        <is>
          <t>17行 17列，源：None 备：</t>
        </is>
      </c>
      <c r="DX303" s="0" t="inlineStr">
        <is>
          <t>19行 5列，源：None 备：</t>
        </is>
      </c>
      <c r="EH303" s="0" t="inlineStr">
        <is>
          <t>19行 5列，源：None 备：</t>
        </is>
      </c>
      <c r="EP303" s="0" t="inlineStr">
        <is>
          <t>19行 5列，源：None 备：</t>
        </is>
      </c>
      <c r="ES303" s="0" t="inlineStr">
        <is>
          <t>19行 5列，源：None 备：</t>
        </is>
      </c>
    </row>
    <row r="304">
      <c r="B304" s="0" t="inlineStr">
        <is>
          <t>NULL</t>
        </is>
      </c>
      <c r="C304" s="0" t="inlineStr">
        <is>
          <t>NULL</t>
        </is>
      </c>
      <c r="D304" s="0" t="inlineStr">
        <is>
          <t>NULL</t>
        </is>
      </c>
      <c r="E304" s="0" t="inlineStr">
        <is>
          <t>NULL</t>
        </is>
      </c>
      <c r="F304" s="0" t="inlineStr">
        <is>
          <t>NULL</t>
        </is>
      </c>
      <c r="G304" s="0" t="inlineStr">
        <is>
          <t>NULL</t>
        </is>
      </c>
      <c r="H304" s="0" t="inlineStr">
        <is>
          <t>NULL</t>
        </is>
      </c>
      <c r="I304" s="0" t="inlineStr">
        <is>
          <t>NULL</t>
        </is>
      </c>
      <c r="J304" s="0" t="inlineStr">
        <is>
          <t>NULL</t>
        </is>
      </c>
      <c r="K304" s="0" t="inlineStr">
        <is>
          <t xml:space="preserve"> NO!  	 c_dt2_5列源备映射错误，源端为datetime2 None位	期望更改为text	实际备端为datetime2 None位</t>
        </is>
      </c>
      <c r="BX304" s="0" t="inlineStr">
        <is>
          <t>34行 4列，源：2013-03-12 02:00:00.000 -04:25 备：2063-05-11 10:30:45.123 -04:00</t>
        </is>
      </c>
      <c r="CM304" s="0" t="inlineStr">
        <is>
          <t>18行 10列，源：None 备：123456789123456789</t>
        </is>
      </c>
      <c r="DA304" s="0" t="inlineStr">
        <is>
          <t>17行 18列，源：None 备：</t>
        </is>
      </c>
      <c r="DX304" s="0" t="inlineStr">
        <is>
          <t>19行 6列，源：None 备：</t>
        </is>
      </c>
      <c r="EH304" s="0" t="inlineStr">
        <is>
          <t>19行 6列，源：None 备：</t>
        </is>
      </c>
      <c r="EP304" s="0" t="inlineStr">
        <is>
          <t>19行 6列，源：None 备：</t>
        </is>
      </c>
      <c r="ES304" s="0" t="inlineStr">
        <is>
          <t>19行 6列，源：None 备：</t>
        </is>
      </c>
    </row>
    <row r="305">
      <c r="B305" s="0" t="inlineStr">
        <is>
          <t>NULL</t>
        </is>
      </c>
      <c r="C305" s="0" t="inlineStr">
        <is>
          <t>NULL</t>
        </is>
      </c>
      <c r="D305" s="0" t="inlineStr">
        <is>
          <t>NULL</t>
        </is>
      </c>
      <c r="E305" s="0" t="inlineStr">
        <is>
          <t>NULL</t>
        </is>
      </c>
      <c r="F305" s="0" t="inlineStr">
        <is>
          <t>NULL</t>
        </is>
      </c>
      <c r="G305" s="0" t="inlineStr">
        <is>
          <t>NULL</t>
        </is>
      </c>
      <c r="H305" s="0" t="inlineStr">
        <is>
          <t>NULL</t>
        </is>
      </c>
      <c r="I305" s="0" t="inlineStr">
        <is>
          <t>NULL</t>
        </is>
      </c>
      <c r="J305" s="0" t="inlineStr">
        <is>
          <t>NULL</t>
        </is>
      </c>
      <c r="K305" s="0" t="inlineStr">
        <is>
          <t xml:space="preserve"> NO!  	 c_dt2_6列源备映射错误，源端为datetime2 None位	期望更改为text	实际备端为datetime2 None位</t>
        </is>
      </c>
      <c r="BX305" s="0" t="inlineStr">
        <is>
          <t>34行 5列，源：2013-03-12 02:00:00.0000 -04:25 备：2063-05-11 10:30:45.1235 -04:00</t>
        </is>
      </c>
      <c r="CM305" s="0" t="inlineStr">
        <is>
          <t>18行 11列，源：None 备：-1234567890123456789012345</t>
        </is>
      </c>
      <c r="DA305" s="0" t="inlineStr">
        <is>
          <t>17行 19列，源：None 备：</t>
        </is>
      </c>
      <c r="DX305" s="0" t="inlineStr">
        <is>
          <t>19行 7列，源：None 备：</t>
        </is>
      </c>
      <c r="EH305" s="0" t="inlineStr">
        <is>
          <t>19行 7列，源：None 备：</t>
        </is>
      </c>
      <c r="EP305" s="0" t="inlineStr">
        <is>
          <t>19行 7列，源：None 备：</t>
        </is>
      </c>
      <c r="ES305" s="0" t="inlineStr">
        <is>
          <t>19行 7列，源：None 备：</t>
        </is>
      </c>
    </row>
    <row r="306">
      <c r="B306" s="0" t="inlineStr">
        <is>
          <t>NULL</t>
        </is>
      </c>
      <c r="C306" s="0" t="inlineStr">
        <is>
          <t>NULL</t>
        </is>
      </c>
      <c r="D306" s="0" t="inlineStr">
        <is>
          <t>NULL</t>
        </is>
      </c>
      <c r="E306" s="0" t="inlineStr">
        <is>
          <t>NULL</t>
        </is>
      </c>
      <c r="F306" s="0" t="inlineStr">
        <is>
          <t>NULL</t>
        </is>
      </c>
      <c r="G306" s="0" t="inlineStr">
        <is>
          <t>NULL</t>
        </is>
      </c>
      <c r="H306" s="0" t="inlineStr">
        <is>
          <t>NULL</t>
        </is>
      </c>
      <c r="I306" s="0" t="inlineStr">
        <is>
          <t>NULL</t>
        </is>
      </c>
      <c r="J306" s="0" t="inlineStr">
        <is>
          <t>NULL</t>
        </is>
      </c>
      <c r="K306" s="0" t="inlineStr">
        <is>
          <t xml:space="preserve"> NO!  	 c_dt2列源备映射错误，源端为datetime2 None位	期望更改为text	实际备端为datetime2 None位</t>
        </is>
      </c>
      <c r="BX306" s="0" t="inlineStr">
        <is>
          <t>34行 6列，源：2013-03-12 02:00:00.00000 -04:25 备：2063-05-11 10:30:45.12346 -04:00</t>
        </is>
      </c>
      <c r="CM306" s="0" t="inlineStr">
        <is>
          <t>18行 12列，源：None 备：0.00000000000000000000000080000000000000</t>
        </is>
      </c>
      <c r="DA306" s="0" t="inlineStr">
        <is>
          <t>18行 0列，源：24 备：9</t>
        </is>
      </c>
      <c r="DX306" s="0" t="inlineStr">
        <is>
          <t>19行 8列，源：None 备：</t>
        </is>
      </c>
      <c r="EH306" s="0" t="inlineStr">
        <is>
          <t>19行 8列，源：None 备：</t>
        </is>
      </c>
      <c r="EP306" s="0" t="inlineStr">
        <is>
          <t>19行 8列，源：None 备：</t>
        </is>
      </c>
      <c r="ES306" s="0" t="inlineStr">
        <is>
          <t>19行 8列，源：None 备：</t>
        </is>
      </c>
    </row>
    <row r="307">
      <c r="A307" s="0" t="inlineStr">
        <is>
          <t>info_int_dml_batch1_pk_drp2</t>
        </is>
      </c>
      <c r="K307" s="0" t="inlineStr">
        <is>
          <t>[0;34m info_int_dml_batch1_pk_drp2 [0m源备字段数相同，源端字段：20 	备端字段20</t>
        </is>
      </c>
      <c r="W307" s="2">
        <f>HYPERLINK("#2026041905hbase4!BG2","NO 源备存在差异，共170个")</f>
        <v/>
      </c>
      <c r="X307" s="0">
        <f>A307</f>
        <v/>
      </c>
      <c r="BX307" s="0" t="inlineStr">
        <is>
          <t>34行 7列，源：2013-03-12 02:00:00.000000 -04:25 备：2063-05-11 10:30:45.123457 -04:00</t>
        </is>
      </c>
      <c r="CM307" s="0" t="inlineStr">
        <is>
          <t>18行 13列，源：None 备：1234567890123456789012345678.1234567890</t>
        </is>
      </c>
      <c r="DA307" s="0" t="inlineStr">
        <is>
          <t>18行 1列，源：nan 备：</t>
        </is>
      </c>
      <c r="DX307" s="0" t="inlineStr">
        <is>
          <t>19行 9列，源：None 备：</t>
        </is>
      </c>
      <c r="EH307" s="0" t="inlineStr">
        <is>
          <t>19行 9列，源：None 备：</t>
        </is>
      </c>
      <c r="EP307" s="0" t="inlineStr">
        <is>
          <t>19行 9列，源：None 备：</t>
        </is>
      </c>
      <c r="ES307" s="0" t="inlineStr">
        <is>
          <t>19行 9列，源：None 备：</t>
        </is>
      </c>
    </row>
    <row r="308">
      <c r="B308" s="0" t="inlineStr">
        <is>
          <t>YES</t>
        </is>
      </c>
      <c r="C308" s="0" t="inlineStr">
        <is>
          <t>NULL</t>
        </is>
      </c>
      <c r="D308" s="0" t="inlineStr">
        <is>
          <t>NULL</t>
        </is>
      </c>
      <c r="E308" s="0" t="inlineStr">
        <is>
          <t>NULL</t>
        </is>
      </c>
      <c r="F308" s="0" t="inlineStr">
        <is>
          <t>NULL</t>
        </is>
      </c>
      <c r="G308" s="0" t="inlineStr">
        <is>
          <t>NULL</t>
        </is>
      </c>
      <c r="H308" s="0" t="inlineStr">
        <is>
          <t>NULL</t>
        </is>
      </c>
      <c r="I308" s="0" t="inlineStr">
        <is>
          <t>YES!PK__info_int__3213E83F4B78E8C8</t>
        </is>
      </c>
      <c r="J308" s="0" t="inlineStr">
        <is>
          <t>YES! 主键相关索引</t>
        </is>
      </c>
      <c r="K308" s="0" t="inlineStr">
        <is>
          <t xml:space="preserve"> NO!  	 id列源备映射错误，源端为int None位	期望更改为text	实际备端为int None位</t>
        </is>
      </c>
      <c r="BX308" s="0" t="inlineStr">
        <is>
          <t>34行 8列，源：2013-03-12 02:00:00.0000000 -04:25 备：2063-05-11 10:30:45.1234567 -04:00</t>
        </is>
      </c>
      <c r="CM308" s="0" t="inlineStr">
        <is>
          <t>18行 14列，源：None 备：-123456789012.12</t>
        </is>
      </c>
      <c r="DA308" s="0" t="inlineStr">
        <is>
          <t>18行 2列，源：nan 备：</t>
        </is>
      </c>
      <c r="DX308" s="0" t="inlineStr">
        <is>
          <t>19行 10列，源：None 备：</t>
        </is>
      </c>
      <c r="EH308" s="0" t="inlineStr">
        <is>
          <t>19行 10列，源：None 备：</t>
        </is>
      </c>
      <c r="EP308" s="0" t="inlineStr">
        <is>
          <t>19行 10列，源：None 备：</t>
        </is>
      </c>
      <c r="ES308" s="0" t="inlineStr">
        <is>
          <t>19行 10列，源：None 备：</t>
        </is>
      </c>
    </row>
    <row r="309">
      <c r="B309" s="0" t="inlineStr">
        <is>
          <t>NULL</t>
        </is>
      </c>
      <c r="C309" s="0" t="inlineStr">
        <is>
          <t>NULL</t>
        </is>
      </c>
      <c r="D309" s="0" t="inlineStr">
        <is>
          <t>NULL</t>
        </is>
      </c>
      <c r="E309" s="0" t="inlineStr">
        <is>
          <t>NULL</t>
        </is>
      </c>
      <c r="F309" s="0" t="inlineStr">
        <is>
          <t>NULL</t>
        </is>
      </c>
      <c r="G309" s="0" t="inlineStr">
        <is>
          <t>NULL</t>
        </is>
      </c>
      <c r="H309" s="0" t="inlineStr">
        <is>
          <t>NULL</t>
        </is>
      </c>
      <c r="I309" s="0" t="inlineStr">
        <is>
          <t>NULL</t>
        </is>
      </c>
      <c r="J309" s="0" t="inlineStr">
        <is>
          <t>NULL</t>
        </is>
      </c>
      <c r="K309" s="0" t="inlineStr">
        <is>
          <t xml:space="preserve"> NO!  	 c_tinyint列源备映射错误，源端为tinyint None位	期望更改为text	实际备端为tinyint None位</t>
        </is>
      </c>
      <c r="BX309" s="0" t="inlineStr">
        <is>
          <t>35行 0列，源：81 备：27</t>
        </is>
      </c>
      <c r="CM309" s="0" t="inlineStr">
        <is>
          <t>18行 15列，源：nan 备：0.0000000000000</t>
        </is>
      </c>
      <c r="DA309" s="0" t="inlineStr">
        <is>
          <t>18行 3列，源：nan 备：</t>
        </is>
      </c>
      <c r="DX309" s="0" t="inlineStr">
        <is>
          <t>19行 11列，源：None 备：</t>
        </is>
      </c>
      <c r="EH309" s="0" t="inlineStr">
        <is>
          <t>19行 11列，源：None 备：</t>
        </is>
      </c>
      <c r="EP309" s="0" t="inlineStr">
        <is>
          <t>19行 11列，源：None 备：</t>
        </is>
      </c>
      <c r="ES309" s="0" t="inlineStr">
        <is>
          <t>19行 11列，源：None 备：</t>
        </is>
      </c>
    </row>
    <row r="310">
      <c r="B310" s="0" t="inlineStr">
        <is>
          <t>NULL</t>
        </is>
      </c>
      <c r="C310" s="0" t="inlineStr">
        <is>
          <t>NULL</t>
        </is>
      </c>
      <c r="D310" s="0" t="inlineStr">
        <is>
          <t>NULL</t>
        </is>
      </c>
      <c r="E310" s="0" t="inlineStr">
        <is>
          <t>NULL</t>
        </is>
      </c>
      <c r="F310" s="0" t="inlineStr">
        <is>
          <t>NULL</t>
        </is>
      </c>
      <c r="G310" s="0" t="inlineStr">
        <is>
          <t>NULL</t>
        </is>
      </c>
      <c r="H310" s="0" t="inlineStr">
        <is>
          <t>NULL</t>
        </is>
      </c>
      <c r="I310" s="0" t="inlineStr">
        <is>
          <t>NULL</t>
        </is>
      </c>
      <c r="J310" s="0" t="inlineStr">
        <is>
          <t>NULL</t>
        </is>
      </c>
      <c r="K310" s="0" t="inlineStr">
        <is>
          <t xml:space="preserve"> NO!  	 c_smallint列源备映射错误，源端为smallint None位	期望更改为text	实际备端为smallint None位</t>
        </is>
      </c>
      <c r="BX310" s="0" t="inlineStr">
        <is>
          <t>35行 1列，源：2003-11-05 02:00:00 -05:10 备：1933-05-11 15:30:45 +01:00</t>
        </is>
      </c>
      <c r="CM310" s="0" t="inlineStr">
        <is>
          <t>18行 16列，源：nan 备：299792448.000000</t>
        </is>
      </c>
      <c r="DA310" s="0" t="inlineStr">
        <is>
          <t>18行 4列，源：nan 备：</t>
        </is>
      </c>
      <c r="DX310" s="0" t="inlineStr">
        <is>
          <t>19行 12列，源：None 备：</t>
        </is>
      </c>
      <c r="EH310" s="0" t="inlineStr">
        <is>
          <t>19行 12列，源：None 备：</t>
        </is>
      </c>
      <c r="EP310" s="0" t="inlineStr">
        <is>
          <t>19行 12列，源：None 备：</t>
        </is>
      </c>
      <c r="ES310" s="0" t="inlineStr">
        <is>
          <t>19行 12列，源：None 备：</t>
        </is>
      </c>
    </row>
    <row r="311">
      <c r="B311" s="0" t="inlineStr">
        <is>
          <t>NULL</t>
        </is>
      </c>
      <c r="C311" s="0" t="inlineStr">
        <is>
          <t>NULL</t>
        </is>
      </c>
      <c r="D311" s="0" t="inlineStr">
        <is>
          <t>NULL</t>
        </is>
      </c>
      <c r="E311" s="0" t="inlineStr">
        <is>
          <t>NULL</t>
        </is>
      </c>
      <c r="F311" s="0" t="inlineStr">
        <is>
          <t>NULL</t>
        </is>
      </c>
      <c r="G311" s="0" t="inlineStr">
        <is>
          <t>NULL</t>
        </is>
      </c>
      <c r="H311" s="0" t="inlineStr">
        <is>
          <t>NULL</t>
        </is>
      </c>
      <c r="I311" s="0" t="inlineStr">
        <is>
          <t>NULL</t>
        </is>
      </c>
      <c r="J311" s="0" t="inlineStr">
        <is>
          <t>NULL</t>
        </is>
      </c>
      <c r="K311" s="0" t="inlineStr">
        <is>
          <t xml:space="preserve"> NO!  	 c_int列源备映射错误，源端为int None位	期望更改为text	实际备端为int None位</t>
        </is>
      </c>
      <c r="BX311" s="0" t="inlineStr">
        <is>
          <t>35行 2列，源：2003-11-05 02:00:00.0 -05:10 备：1933-05-11 15:30:45.1 +01:00</t>
        </is>
      </c>
      <c r="CM311" s="0" t="inlineStr">
        <is>
          <t>18行 19列，源：None 备：1</t>
        </is>
      </c>
      <c r="DA311" s="0" t="inlineStr">
        <is>
          <t>18行 5列，源：None 备：</t>
        </is>
      </c>
      <c r="DX311" s="0" t="inlineStr">
        <is>
          <t>19行 13列，源：None 备：</t>
        </is>
      </c>
      <c r="EH311" s="0" t="inlineStr">
        <is>
          <t>19行 13列，源：None 备：</t>
        </is>
      </c>
      <c r="EP311" s="0" t="inlineStr">
        <is>
          <t>19行 13列，源：None 备：</t>
        </is>
      </c>
      <c r="ES311" s="0" t="inlineStr">
        <is>
          <t>19行 13列，源：None 备：</t>
        </is>
      </c>
    </row>
    <row r="312">
      <c r="B312" s="0" t="inlineStr">
        <is>
          <t>NULL</t>
        </is>
      </c>
      <c r="C312" s="0" t="inlineStr">
        <is>
          <t>NULL</t>
        </is>
      </c>
      <c r="D312" s="0" t="inlineStr">
        <is>
          <t>NULL</t>
        </is>
      </c>
      <c r="E312" s="0" t="inlineStr">
        <is>
          <t>NULL</t>
        </is>
      </c>
      <c r="F312" s="0" t="inlineStr">
        <is>
          <t>NULL</t>
        </is>
      </c>
      <c r="G312" s="0" t="inlineStr">
        <is>
          <t>NULL</t>
        </is>
      </c>
      <c r="H312" s="0" t="inlineStr">
        <is>
          <t>NULL</t>
        </is>
      </c>
      <c r="I312" s="0" t="inlineStr">
        <is>
          <t>NULL</t>
        </is>
      </c>
      <c r="J312" s="0" t="inlineStr">
        <is>
          <t>NULL</t>
        </is>
      </c>
      <c r="K312" s="0" t="inlineStr">
        <is>
          <t xml:space="preserve"> NO!  	 c_bigint列源备映射错误，源端为bigint None位	期望更改为text	实际备端为bigint None位</t>
        </is>
      </c>
      <c r="BX312" s="0" t="inlineStr">
        <is>
          <t>35行 3列，源：2003-11-05 02:00:00.00 -05:10 备：1933-05-11 15:30:45.12 +01:00</t>
        </is>
      </c>
      <c r="CM312" s="0" t="inlineStr">
        <is>
          <t>19行 0列，源：20 备：6</t>
        </is>
      </c>
      <c r="DA312" s="0" t="inlineStr">
        <is>
          <t>18行 6列，源：None 备：</t>
        </is>
      </c>
      <c r="DX312" s="0" t="inlineStr">
        <is>
          <t>19行 14列，源：None 备：</t>
        </is>
      </c>
      <c r="EH312" s="0" t="inlineStr">
        <is>
          <t>19行 14列，源：None 备：</t>
        </is>
      </c>
      <c r="EP312" s="0" t="inlineStr">
        <is>
          <t>19行 14列，源：None 备：</t>
        </is>
      </c>
      <c r="ES312" s="0" t="inlineStr">
        <is>
          <t>19行 14列，源：None 备：</t>
        </is>
      </c>
    </row>
    <row r="313">
      <c r="B313" s="0" t="inlineStr">
        <is>
          <t>NULL</t>
        </is>
      </c>
      <c r="C313" s="0" t="inlineStr">
        <is>
          <t>NULL</t>
        </is>
      </c>
      <c r="D313" s="0" t="inlineStr">
        <is>
          <t>NULL</t>
        </is>
      </c>
      <c r="E313" s="0" t="inlineStr">
        <is>
          <t>NULL</t>
        </is>
      </c>
      <c r="F313" s="0" t="inlineStr">
        <is>
          <t>NULL</t>
        </is>
      </c>
      <c r="G313" s="0" t="inlineStr">
        <is>
          <t>NULL</t>
        </is>
      </c>
      <c r="H313" s="0" t="inlineStr">
        <is>
          <t>NULL</t>
        </is>
      </c>
      <c r="I313" s="0" t="inlineStr">
        <is>
          <t>NULL</t>
        </is>
      </c>
      <c r="J313" s="0" t="inlineStr">
        <is>
          <t>NULL</t>
        </is>
      </c>
      <c r="K313" s="0" t="inlineStr">
        <is>
          <t xml:space="preserve"> NO!  	 c_decimal列源备映射错误，源端为decimal None位	期望更改为text	实际备端为decimal None位</t>
        </is>
      </c>
      <c r="BX313" s="0" t="inlineStr">
        <is>
          <t>35行 4列，源：2003-11-05 02:00:00.000 -05:10 备：1933-05-11 15:30:45.123 +01:00</t>
        </is>
      </c>
      <c r="CM313" s="0" t="inlineStr">
        <is>
          <t>19行 1列，源：222.0 备：</t>
        </is>
      </c>
      <c r="DA313" s="0" t="inlineStr">
        <is>
          <t>18行 7列，源：None 备：</t>
        </is>
      </c>
      <c r="DX313" s="0" t="inlineStr">
        <is>
          <t>19行 15列，源：-3.402823466e+38 备：</t>
        </is>
      </c>
      <c r="EH313" s="0" t="inlineStr">
        <is>
          <t>19行 15列，源：-3.402823466e+38 备：</t>
        </is>
      </c>
      <c r="EP313" s="0" t="inlineStr">
        <is>
          <t>19行 15列，源：-3.402823466e+38 备：</t>
        </is>
      </c>
      <c r="ES313" s="0" t="inlineStr">
        <is>
          <t>19行 15列，源：-3.402823466e+38 备：</t>
        </is>
      </c>
    </row>
    <row r="314">
      <c r="B314" s="0" t="inlineStr">
        <is>
          <t>NULL</t>
        </is>
      </c>
      <c r="C314" s="0" t="inlineStr">
        <is>
          <t>NULL</t>
        </is>
      </c>
      <c r="D314" s="0" t="inlineStr">
        <is>
          <t>NULL</t>
        </is>
      </c>
      <c r="E314" s="0" t="inlineStr">
        <is>
          <t>NULL</t>
        </is>
      </c>
      <c r="F314" s="0" t="inlineStr">
        <is>
          <t>NULL</t>
        </is>
      </c>
      <c r="G314" s="0" t="inlineStr">
        <is>
          <t>NULL</t>
        </is>
      </c>
      <c r="H314" s="0" t="inlineStr">
        <is>
          <t>NULL</t>
        </is>
      </c>
      <c r="I314" s="0" t="inlineStr">
        <is>
          <t>NULL</t>
        </is>
      </c>
      <c r="J314" s="0" t="inlineStr">
        <is>
          <t>NULL</t>
        </is>
      </c>
      <c r="K314" s="0" t="inlineStr">
        <is>
          <t xml:space="preserve"> NO!  	 c_decimal38列源备映射错误，源端为decimal None位	期望更改为text	实际备端为decimal None位</t>
        </is>
      </c>
      <c r="BX314" s="0" t="inlineStr">
        <is>
          <t>35行 5列，源：2003-11-05 02:00:00.0000 -05:10 备：1933-05-11 15:30:45.1235 +01:00</t>
        </is>
      </c>
      <c r="CM314" s="0" t="inlineStr">
        <is>
          <t>19行 2列，源：nan 备：</t>
        </is>
      </c>
      <c r="DA314" s="0" t="inlineStr">
        <is>
          <t>18行 8列，源：None 备：-0.0000000001</t>
        </is>
      </c>
      <c r="DX314" s="0" t="inlineStr">
        <is>
          <t>19行 16列，源：-3.4028230607370965e+38 备：</t>
        </is>
      </c>
      <c r="EH314" s="0" t="inlineStr">
        <is>
          <t>19行 16列，源：-3.4028230607370965e+38 备：</t>
        </is>
      </c>
      <c r="EP314" s="0" t="inlineStr">
        <is>
          <t>19行 16列，源：-3.4028230607370965e+38 备：</t>
        </is>
      </c>
      <c r="ES314" s="0" t="inlineStr">
        <is>
          <t>19行 16列，源：-3.4028230607370965e+38 备：</t>
        </is>
      </c>
    </row>
    <row r="315">
      <c r="B315" s="0" t="inlineStr">
        <is>
          <t>NULL</t>
        </is>
      </c>
      <c r="C315" s="0" t="inlineStr">
        <is>
          <t>NULL</t>
        </is>
      </c>
      <c r="D315" s="0" t="inlineStr">
        <is>
          <t>NULL</t>
        </is>
      </c>
      <c r="E315" s="0" t="inlineStr">
        <is>
          <t>NULL</t>
        </is>
      </c>
      <c r="F315" s="0" t="inlineStr">
        <is>
          <t>NULL</t>
        </is>
      </c>
      <c r="G315" s="0" t="inlineStr">
        <is>
          <t>NULL</t>
        </is>
      </c>
      <c r="H315" s="0" t="inlineStr">
        <is>
          <t>NULL</t>
        </is>
      </c>
      <c r="I315" s="0" t="inlineStr">
        <is>
          <t>NULL</t>
        </is>
      </c>
      <c r="J315" s="0" t="inlineStr">
        <is>
          <t>NULL</t>
        </is>
      </c>
      <c r="K315" s="0" t="inlineStr">
        <is>
          <t xml:space="preserve"> NO!  	 c_decimal38_38列源备映射错误，源端为decimal None位	期望更改为text	实际备端为decimal None位</t>
        </is>
      </c>
      <c r="BX315" s="0" t="inlineStr">
        <is>
          <t>35行 6列，源：2003-11-05 02:00:00.00000 -05:10 备：1933-05-11 15:30:45.12346 +01:00</t>
        </is>
      </c>
      <c r="CM315" s="0" t="inlineStr">
        <is>
          <t>19行 3列，源：nan 备：</t>
        </is>
      </c>
      <c r="DA315" s="0" t="inlineStr">
        <is>
          <t>18行 9列，源：None 备：</t>
        </is>
      </c>
      <c r="DX315" s="0" t="inlineStr">
        <is>
          <t>19行 19列，源：False 备：</t>
        </is>
      </c>
      <c r="EH315" s="0" t="inlineStr">
        <is>
          <t>19行 19列，源：False 备：</t>
        </is>
      </c>
      <c r="EP315" s="0" t="inlineStr">
        <is>
          <t>19行 19列，源：False 备：</t>
        </is>
      </c>
      <c r="ES315" s="0" t="inlineStr">
        <is>
          <t>19行 19列，源：False 备：</t>
        </is>
      </c>
    </row>
    <row r="316">
      <c r="B316" s="0" t="inlineStr">
        <is>
          <t>NULL</t>
        </is>
      </c>
      <c r="C316" s="0" t="inlineStr">
        <is>
          <t>NULL</t>
        </is>
      </c>
      <c r="D316" s="0" t="inlineStr">
        <is>
          <t>NULL</t>
        </is>
      </c>
      <c r="E316" s="0" t="inlineStr">
        <is>
          <t>NULL</t>
        </is>
      </c>
      <c r="F316" s="0" t="inlineStr">
        <is>
          <t>NULL</t>
        </is>
      </c>
      <c r="G316" s="0" t="inlineStr">
        <is>
          <t>NULL</t>
        </is>
      </c>
      <c r="H316" s="0" t="inlineStr">
        <is>
          <t>NULL</t>
        </is>
      </c>
      <c r="I316" s="0" t="inlineStr">
        <is>
          <t>NULL</t>
        </is>
      </c>
      <c r="J316" s="0" t="inlineStr">
        <is>
          <t>NULL</t>
        </is>
      </c>
      <c r="K316" s="0" t="inlineStr">
        <is>
          <t xml:space="preserve"> NO!  	 c_decimal38_10列源备映射错误，源端为decimal None位	期望更改为text	实际备端为decimal None位</t>
        </is>
      </c>
      <c r="BX316" s="0" t="inlineStr">
        <is>
          <t>35行 7列，源：2003-11-05 02:00:00.000000 -05:10 备：1933-05-11 15:30:45.123457 +01:00</t>
        </is>
      </c>
      <c r="CM316" s="0" t="inlineStr">
        <is>
          <t>19行 4列，源：nan 备：</t>
        </is>
      </c>
      <c r="DA316" s="0" t="inlineStr">
        <is>
          <t>18行 10列，源：None 备：</t>
        </is>
      </c>
      <c r="EH316" s="0" t="inlineStr">
        <is>
          <t>20行 0列，源：51 备：118</t>
        </is>
      </c>
      <c r="ES316" s="0" t="inlineStr">
        <is>
          <t>20行 0列，源：51 备：118</t>
        </is>
      </c>
    </row>
    <row r="317">
      <c r="B317" s="0" t="inlineStr">
        <is>
          <t>NULL</t>
        </is>
      </c>
      <c r="C317" s="0" t="inlineStr">
        <is>
          <t>NULL</t>
        </is>
      </c>
      <c r="D317" s="0" t="inlineStr">
        <is>
          <t>NULL</t>
        </is>
      </c>
      <c r="E317" s="0" t="inlineStr">
        <is>
          <t>NULL</t>
        </is>
      </c>
      <c r="F317" s="0" t="inlineStr">
        <is>
          <t>NULL</t>
        </is>
      </c>
      <c r="G317" s="0" t="inlineStr">
        <is>
          <t>NULL</t>
        </is>
      </c>
      <c r="H317" s="0" t="inlineStr">
        <is>
          <t>NULL</t>
        </is>
      </c>
      <c r="I317" s="0" t="inlineStr">
        <is>
          <t>NULL</t>
        </is>
      </c>
      <c r="J317" s="0" t="inlineStr">
        <is>
          <t>NULL</t>
        </is>
      </c>
      <c r="K317" s="0" t="inlineStr">
        <is>
          <t xml:space="preserve"> NO!  	 c_decimal19_4列源备映射错误，源端为decimal None位	期望更改为text	实际备端为decimal None位</t>
        </is>
      </c>
      <c r="BX317" s="0" t="inlineStr">
        <is>
          <t>35行 8列，源：2003-11-05 02:00:00.0000000 -05:10 备：1933-05-11 15:30:45.1234567 +01:00</t>
        </is>
      </c>
      <c r="CM317" s="0" t="inlineStr">
        <is>
          <t>19行 5列，源：None 备：123456789012345678</t>
        </is>
      </c>
      <c r="DA317" s="0" t="inlineStr">
        <is>
          <t>18行 11列，源：None 备：</t>
        </is>
      </c>
      <c r="EH317" s="0" t="inlineStr">
        <is>
          <t>20行 1列，源：0.0 备：</t>
        </is>
      </c>
      <c r="ES317" s="0" t="inlineStr">
        <is>
          <t>20行 1列，源：0.0 备：</t>
        </is>
      </c>
    </row>
    <row r="318">
      <c r="B318" s="0" t="inlineStr">
        <is>
          <t>NULL</t>
        </is>
      </c>
      <c r="C318" s="0" t="inlineStr">
        <is>
          <t>NULL</t>
        </is>
      </c>
      <c r="D318" s="0" t="inlineStr">
        <is>
          <t>NULL</t>
        </is>
      </c>
      <c r="E318" s="0" t="inlineStr">
        <is>
          <t>NULL</t>
        </is>
      </c>
      <c r="F318" s="0" t="inlineStr">
        <is>
          <t>NULL</t>
        </is>
      </c>
      <c r="G318" s="0" t="inlineStr">
        <is>
          <t>NULL</t>
        </is>
      </c>
      <c r="H318" s="0" t="inlineStr">
        <is>
          <t>NULL</t>
        </is>
      </c>
      <c r="I318" s="0" t="inlineStr">
        <is>
          <t>NULL</t>
        </is>
      </c>
      <c r="J318" s="0" t="inlineStr">
        <is>
          <t>NULL</t>
        </is>
      </c>
      <c r="K318" s="0" t="inlineStr">
        <is>
          <t xml:space="preserve"> NO!  	 c_numeric列源备映射错误，源端为numeric None位	期望更改为text	实际备端为numeric None位</t>
        </is>
      </c>
      <c r="BX318" s="0" t="inlineStr">
        <is>
          <t>36行 0列，源：82 备：273</t>
        </is>
      </c>
      <c r="CM318" s="0" t="inlineStr">
        <is>
          <t>19行 6列，源：None 备：</t>
        </is>
      </c>
      <c r="DA318" s="0" t="inlineStr">
        <is>
          <t>18行 12列，源：None 备：</t>
        </is>
      </c>
      <c r="EH318" s="0" t="inlineStr">
        <is>
          <t>20行 2列，源：-32768.0 备：</t>
        </is>
      </c>
      <c r="ES318" s="0" t="inlineStr">
        <is>
          <t>20行 2列，源：-32768.0 备：</t>
        </is>
      </c>
    </row>
    <row r="319">
      <c r="B319" s="0" t="inlineStr">
        <is>
          <t>NULL</t>
        </is>
      </c>
      <c r="C319" s="0" t="inlineStr">
        <is>
          <t>NULL</t>
        </is>
      </c>
      <c r="D319" s="0" t="inlineStr">
        <is>
          <t>NULL</t>
        </is>
      </c>
      <c r="E319" s="0" t="inlineStr">
        <is>
          <t>NULL</t>
        </is>
      </c>
      <c r="F319" s="0" t="inlineStr">
        <is>
          <t>NULL</t>
        </is>
      </c>
      <c r="G319" s="0" t="inlineStr">
        <is>
          <t>NULL</t>
        </is>
      </c>
      <c r="H319" s="0" t="inlineStr">
        <is>
          <t>NULL</t>
        </is>
      </c>
      <c r="I319" s="0" t="inlineStr">
        <is>
          <t>NULL</t>
        </is>
      </c>
      <c r="J319" s="0" t="inlineStr">
        <is>
          <t>NULL</t>
        </is>
      </c>
      <c r="K319" s="0" t="inlineStr">
        <is>
          <t xml:space="preserve"> NO!  	 c_numeric38列源备映射错误，源端为numeric None位	期望更改为text	实际备端为numeric None位</t>
        </is>
      </c>
      <c r="BX319" s="0" t="inlineStr">
        <is>
          <t>36行 1列，源：2025-05-12 00:00:00 -14:00 备：2026-04-17 17:18:23 +08:00</t>
        </is>
      </c>
      <c r="CM319" s="0" t="inlineStr">
        <is>
          <t>19行 7列，源：None 备：0.00000000000000000000000000000000000001</t>
        </is>
      </c>
      <c r="DA319" s="0" t="inlineStr">
        <is>
          <t>18行 13列，源：None 备：</t>
        </is>
      </c>
      <c r="EH319" s="0" t="inlineStr">
        <is>
          <t>20行 3列，源：-2147483648.0 备：</t>
        </is>
      </c>
      <c r="ES319" s="0" t="inlineStr">
        <is>
          <t>20行 3列，源：-2147483648.0 备：</t>
        </is>
      </c>
    </row>
    <row r="320">
      <c r="B320" s="0" t="inlineStr">
        <is>
          <t>NULL</t>
        </is>
      </c>
      <c r="C320" s="0" t="inlineStr">
        <is>
          <t>NULL</t>
        </is>
      </c>
      <c r="D320" s="0" t="inlineStr">
        <is>
          <t>NULL</t>
        </is>
      </c>
      <c r="E320" s="0" t="inlineStr">
        <is>
          <t>NULL</t>
        </is>
      </c>
      <c r="F320" s="0" t="inlineStr">
        <is>
          <t>NULL</t>
        </is>
      </c>
      <c r="G320" s="0" t="inlineStr">
        <is>
          <t>NULL</t>
        </is>
      </c>
      <c r="H320" s="0" t="inlineStr">
        <is>
          <t>NULL</t>
        </is>
      </c>
      <c r="I320" s="0" t="inlineStr">
        <is>
          <t>NULL</t>
        </is>
      </c>
      <c r="J320" s="0" t="inlineStr">
        <is>
          <t>NULL</t>
        </is>
      </c>
      <c r="K320" s="0" t="inlineStr">
        <is>
          <t xml:space="preserve"> NO!  	 c_numeric38_38列源备映射错误，源端为numeric None位	期望更改为text	实际备端为numeric None位</t>
        </is>
      </c>
      <c r="BX320" s="0" t="inlineStr">
        <is>
          <t>36行 2列，源：2025-05-12 00:00:00.0 -14:00 备：2026-04-17 17:18:22.8 +08:00</t>
        </is>
      </c>
      <c r="CM320" s="0" t="inlineStr">
        <is>
          <t>19行 8列，源：None 备：</t>
        </is>
      </c>
      <c r="DA320" s="0" t="inlineStr">
        <is>
          <t>18行 14列，源：None 备：</t>
        </is>
      </c>
      <c r="EH320" s="0" t="inlineStr">
        <is>
          <t>20行 4列，源：-9.223372036854776e+18 备：</t>
        </is>
      </c>
      <c r="ES320" s="0" t="inlineStr">
        <is>
          <t>20行 4列，源：-9.223372036854776e+18 备：</t>
        </is>
      </c>
    </row>
    <row r="321">
      <c r="B321" s="0" t="inlineStr">
        <is>
          <t>NULL</t>
        </is>
      </c>
      <c r="C321" s="0" t="inlineStr">
        <is>
          <t>NULL</t>
        </is>
      </c>
      <c r="D321" s="0" t="inlineStr">
        <is>
          <t>NULL</t>
        </is>
      </c>
      <c r="E321" s="0" t="inlineStr">
        <is>
          <t>NULL</t>
        </is>
      </c>
      <c r="F321" s="0" t="inlineStr">
        <is>
          <t>NULL</t>
        </is>
      </c>
      <c r="G321" s="0" t="inlineStr">
        <is>
          <t>NULL</t>
        </is>
      </c>
      <c r="H321" s="0" t="inlineStr">
        <is>
          <t>NULL</t>
        </is>
      </c>
      <c r="I321" s="0" t="inlineStr">
        <is>
          <t>NULL</t>
        </is>
      </c>
      <c r="J321" s="0" t="inlineStr">
        <is>
          <t>NULL</t>
        </is>
      </c>
      <c r="K321" s="0" t="inlineStr">
        <is>
          <t xml:space="preserve"> NO!  	 c_numeric38_10列源备映射错误，源端为numeric None位	期望更改为text	实际备端为numeric None位</t>
        </is>
      </c>
      <c r="BX321" s="0" t="inlineStr">
        <is>
          <t>36行 3列，源：2025-05-12 00:00:00.00 -14:00 备：2026-04-17 17:18:22.75 +08:00</t>
        </is>
      </c>
      <c r="CM321" s="0" t="inlineStr">
        <is>
          <t>19行 9列，源：None 备：</t>
        </is>
      </c>
      <c r="DA321" s="0" t="inlineStr">
        <is>
          <t>18行 15列，源：nan 备：</t>
        </is>
      </c>
      <c r="EH321" s="0" t="inlineStr">
        <is>
          <t>20行 5列，源：None 备：</t>
        </is>
      </c>
      <c r="ES321" s="0" t="inlineStr">
        <is>
          <t>20行 5列，源：None 备：</t>
        </is>
      </c>
    </row>
    <row r="322">
      <c r="B322" s="0" t="inlineStr">
        <is>
          <t>NULL</t>
        </is>
      </c>
      <c r="C322" s="0" t="inlineStr">
        <is>
          <t>NULL</t>
        </is>
      </c>
      <c r="D322" s="0" t="inlineStr">
        <is>
          <t>NULL</t>
        </is>
      </c>
      <c r="E322" s="0" t="inlineStr">
        <is>
          <t>NULL</t>
        </is>
      </c>
      <c r="F322" s="0" t="inlineStr">
        <is>
          <t>NULL</t>
        </is>
      </c>
      <c r="G322" s="0" t="inlineStr">
        <is>
          <t>NULL</t>
        </is>
      </c>
      <c r="H322" s="0" t="inlineStr">
        <is>
          <t>NULL</t>
        </is>
      </c>
      <c r="I322" s="0" t="inlineStr">
        <is>
          <t>NULL</t>
        </is>
      </c>
      <c r="J322" s="0" t="inlineStr">
        <is>
          <t>NULL</t>
        </is>
      </c>
      <c r="K322" s="0" t="inlineStr">
        <is>
          <t xml:space="preserve"> NO!  	 c_numeric18_2列源备映射错误，源端为numeric None位	期望更改为text	实际备端为numeric None位</t>
        </is>
      </c>
      <c r="BX322" s="0" t="inlineStr">
        <is>
          <t>36行 4列，源：2025-05-12 00:00:00.000 -14:00 备：2026-04-17 17:18:22.755 +08:00</t>
        </is>
      </c>
      <c r="CM322" s="0" t="inlineStr">
        <is>
          <t>19行 10列，源：None 备：</t>
        </is>
      </c>
      <c r="DA322" s="0" t="inlineStr">
        <is>
          <t>18行 16列，源：nan 备：</t>
        </is>
      </c>
      <c r="EH322" s="0" t="inlineStr">
        <is>
          <t>20行 6列，源：None 备：</t>
        </is>
      </c>
      <c r="ES322" s="0" t="inlineStr">
        <is>
          <t>20行 6列，源：None 备：</t>
        </is>
      </c>
    </row>
    <row r="323">
      <c r="B323" s="0" t="inlineStr">
        <is>
          <t>NULL</t>
        </is>
      </c>
      <c r="C323" s="0" t="inlineStr">
        <is>
          <t>NULL</t>
        </is>
      </c>
      <c r="D323" s="0" t="inlineStr">
        <is>
          <t>NULL</t>
        </is>
      </c>
      <c r="E323" s="0" t="inlineStr">
        <is>
          <t>NULL</t>
        </is>
      </c>
      <c r="F323" s="0" t="inlineStr">
        <is>
          <t>NULL</t>
        </is>
      </c>
      <c r="G323" s="0" t="inlineStr">
        <is>
          <t>NULL</t>
        </is>
      </c>
      <c r="H323" s="0" t="inlineStr">
        <is>
          <t>NULL</t>
        </is>
      </c>
      <c r="I323" s="0" t="inlineStr">
        <is>
          <t>NULL</t>
        </is>
      </c>
      <c r="J323" s="0" t="inlineStr">
        <is>
          <t>NULL</t>
        </is>
      </c>
      <c r="K323" s="0" t="inlineStr">
        <is>
          <t xml:space="preserve"> NO!  	 c_float列源备映射错误，源端为float None位	期望更改为text	实际备端为float None位</t>
        </is>
      </c>
      <c r="BX323" s="0" t="inlineStr">
        <is>
          <t>36行 5列，源：2025-05-12 00:00:00.0000 -14:00 备：2026-04-17 17:18:22.7550 +08:00</t>
        </is>
      </c>
      <c r="CM323" s="0" t="inlineStr">
        <is>
          <t>19行 11列，源：None 备：</t>
        </is>
      </c>
      <c r="DA323" s="0" t="inlineStr">
        <is>
          <t>18行 17列，源：None 备：</t>
        </is>
      </c>
      <c r="EH323" s="0" t="inlineStr">
        <is>
          <t>20行 7列，源：None 备：</t>
        </is>
      </c>
      <c r="ES323" s="0" t="inlineStr">
        <is>
          <t>20行 7列，源：None 备：</t>
        </is>
      </c>
    </row>
    <row r="324">
      <c r="B324" s="0" t="inlineStr">
        <is>
          <t>NULL</t>
        </is>
      </c>
      <c r="C324" s="0" t="inlineStr">
        <is>
          <t>NULL</t>
        </is>
      </c>
      <c r="D324" s="0" t="inlineStr">
        <is>
          <t>NULL</t>
        </is>
      </c>
      <c r="E324" s="0" t="inlineStr">
        <is>
          <t>NULL</t>
        </is>
      </c>
      <c r="F324" s="0" t="inlineStr">
        <is>
          <t>NULL</t>
        </is>
      </c>
      <c r="G324" s="0" t="inlineStr">
        <is>
          <t>NULL</t>
        </is>
      </c>
      <c r="H324" s="0" t="inlineStr">
        <is>
          <t>NULL</t>
        </is>
      </c>
      <c r="I324" s="0" t="inlineStr">
        <is>
          <t>NULL</t>
        </is>
      </c>
      <c r="J324" s="0" t="inlineStr">
        <is>
          <t>NULL</t>
        </is>
      </c>
      <c r="K324" s="0" t="inlineStr">
        <is>
          <t xml:space="preserve"> NO!  	 c_real列源备映射错误，源端为real None位	期望更改为text	实际备端为real None位</t>
        </is>
      </c>
      <c r="BX324" s="0" t="inlineStr">
        <is>
          <t>36行 6列，源：2025-05-12 00:00:00.00000 -14:00 备：2026-04-17 17:18:22.75495 +08:00</t>
        </is>
      </c>
      <c r="CM324" s="0" t="inlineStr">
        <is>
          <t>19行 12列，源：None 备：</t>
        </is>
      </c>
      <c r="DA324" s="0" t="inlineStr">
        <is>
          <t>18行 18列，源：None 备：</t>
        </is>
      </c>
      <c r="EH324" s="0" t="inlineStr">
        <is>
          <t>20行 8列，源：None 备：</t>
        </is>
      </c>
      <c r="ES324" s="0" t="inlineStr">
        <is>
          <t>20行 8列，源：None 备：</t>
        </is>
      </c>
    </row>
    <row r="325">
      <c r="B325" s="0" t="inlineStr">
        <is>
          <t>NULL</t>
        </is>
      </c>
      <c r="C325" s="0" t="inlineStr">
        <is>
          <t>NULL</t>
        </is>
      </c>
      <c r="D325" s="0" t="inlineStr">
        <is>
          <t>NULL</t>
        </is>
      </c>
      <c r="E325" s="0" t="inlineStr">
        <is>
          <t>NULL</t>
        </is>
      </c>
      <c r="F325" s="0" t="inlineStr">
        <is>
          <t>NULL</t>
        </is>
      </c>
      <c r="G325" s="0" t="inlineStr">
        <is>
          <t>NULL</t>
        </is>
      </c>
      <c r="H325" s="0" t="inlineStr">
        <is>
          <t>NULL</t>
        </is>
      </c>
      <c r="I325" s="0" t="inlineStr">
        <is>
          <t>NULL</t>
        </is>
      </c>
      <c r="J325" s="0" t="inlineStr">
        <is>
          <t>NULL</t>
        </is>
      </c>
      <c r="K325" s="0" t="inlineStr">
        <is>
          <t xml:space="preserve"> NO!  	 c_money列源备映射错误，源端为money None位	期望更改为text	实际备端为money None位</t>
        </is>
      </c>
      <c r="BX325" s="0" t="inlineStr">
        <is>
          <t>36行 7列，源：2025-05-12 00:00:00.000000 -14:00 备：2026-04-17 17:18:22.754952 +08:00</t>
        </is>
      </c>
      <c r="CM325" s="0" t="inlineStr">
        <is>
          <t>19行 13列，源：None 备：</t>
        </is>
      </c>
      <c r="DA325" s="0" t="inlineStr">
        <is>
          <t>18行 19列，源：True 备：</t>
        </is>
      </c>
      <c r="EH325" s="0" t="inlineStr">
        <is>
          <t>20行 9列，源：None 备：</t>
        </is>
      </c>
      <c r="ES325" s="0" t="inlineStr">
        <is>
          <t>20行 9列，源：None 备：</t>
        </is>
      </c>
    </row>
    <row r="326">
      <c r="B326" s="0" t="inlineStr">
        <is>
          <t>NULL</t>
        </is>
      </c>
      <c r="C326" s="0" t="inlineStr">
        <is>
          <t>NULL</t>
        </is>
      </c>
      <c r="D326" s="0" t="inlineStr">
        <is>
          <t>NULL</t>
        </is>
      </c>
      <c r="E326" s="0" t="inlineStr">
        <is>
          <t>NULL</t>
        </is>
      </c>
      <c r="F326" s="0" t="inlineStr">
        <is>
          <t>NULL</t>
        </is>
      </c>
      <c r="G326" s="0" t="inlineStr">
        <is>
          <t>NULL</t>
        </is>
      </c>
      <c r="H326" s="0" t="inlineStr">
        <is>
          <t>NULL</t>
        </is>
      </c>
      <c r="I326" s="0" t="inlineStr">
        <is>
          <t>NULL</t>
        </is>
      </c>
      <c r="J326" s="0" t="inlineStr">
        <is>
          <t>NULL</t>
        </is>
      </c>
      <c r="K326" s="0" t="inlineStr">
        <is>
          <t xml:space="preserve"> NO!  	 c_smallmoney列源备映射错误，源端为smallmoney None位	期望更改为text	实际备端为smallmoney None位</t>
        </is>
      </c>
      <c r="BX326" s="0" t="inlineStr">
        <is>
          <t>36行 8列，源：2025-05-11 23:59:59.9999999 -14:00 备：2026-04-17 17:18:22.7549521 +08:00</t>
        </is>
      </c>
      <c r="CM326" s="0" t="inlineStr">
        <is>
          <t>19行 14列，源：None 备：</t>
        </is>
      </c>
      <c r="EH326" s="0" t="inlineStr">
        <is>
          <t>20行 10列，源：None 备：</t>
        </is>
      </c>
      <c r="ES326" s="0" t="inlineStr">
        <is>
          <t>20行 10列，源：None 备：</t>
        </is>
      </c>
    </row>
    <row r="327">
      <c r="B327" s="0" t="inlineStr">
        <is>
          <t>NULL</t>
        </is>
      </c>
      <c r="C327" s="0" t="inlineStr">
        <is>
          <t>NULL</t>
        </is>
      </c>
      <c r="D327" s="0" t="inlineStr">
        <is>
          <t>NULL</t>
        </is>
      </c>
      <c r="E327" s="0" t="inlineStr">
        <is>
          <t>NULL</t>
        </is>
      </c>
      <c r="F327" s="0" t="inlineStr">
        <is>
          <t>NULL</t>
        </is>
      </c>
      <c r="G327" s="0" t="inlineStr">
        <is>
          <t>NULL</t>
        </is>
      </c>
      <c r="H327" s="0" t="inlineStr">
        <is>
          <t>NULL</t>
        </is>
      </c>
      <c r="I327" s="0" t="inlineStr">
        <is>
          <t>NULL</t>
        </is>
      </c>
      <c r="J327" s="0" t="inlineStr">
        <is>
          <t>NULL</t>
        </is>
      </c>
      <c r="K327" s="0" t="inlineStr">
        <is>
          <t xml:space="preserve"> NO!  	 c_bit列源备映射错误，源端为bit None位	期望更改为text	实际备端为bit None位</t>
        </is>
      </c>
      <c r="BX327" s="0" t="inlineStr">
        <is>
          <t>37行 0列，源：83 备：275</t>
        </is>
      </c>
      <c r="CM327" s="0" t="inlineStr">
        <is>
          <t>19行 15列，源：nan 备：</t>
        </is>
      </c>
      <c r="EH327" s="0" t="inlineStr">
        <is>
          <t>20行 11列，源：None 备：</t>
        </is>
      </c>
      <c r="ES327" s="0" t="inlineStr">
        <is>
          <t>20行 11列，源：None 备：</t>
        </is>
      </c>
    </row>
    <row r="328">
      <c r="A328" s="0" t="inlineStr">
        <is>
          <t>info_binary_dml_batch1_pk_irp1</t>
        </is>
      </c>
      <c r="K328" s="0" t="inlineStr">
        <is>
          <t>[0;34m info_binary_dml_batch1_pk_irp1 [0m源备字段数相同，源端字段：4 	备端字段4</t>
        </is>
      </c>
      <c r="W328" s="2">
        <f>HYPERLINK("#2026041905hbase4!BH2","NO 源备存在差异，共39个")</f>
        <v/>
      </c>
      <c r="X328" s="0">
        <f>A328</f>
        <v/>
      </c>
      <c r="BX328" s="0" t="inlineStr">
        <is>
          <t>37行 1列，源：1971-05-11 00:00:00 +14:00 备：9999-12-31 23:59:59 +00:00</t>
        </is>
      </c>
      <c r="CM328" s="0" t="inlineStr">
        <is>
          <t>19行 16列，源：nan 备：</t>
        </is>
      </c>
      <c r="EH328" s="0" t="inlineStr">
        <is>
          <t>20行 12列，源：None 备：</t>
        </is>
      </c>
      <c r="ES328" s="0" t="inlineStr">
        <is>
          <t>20行 12列，源：None 备：</t>
        </is>
      </c>
    </row>
    <row r="329">
      <c r="B329" s="0" t="inlineStr">
        <is>
          <t>YES</t>
        </is>
      </c>
      <c r="C329" s="0" t="inlineStr">
        <is>
          <t>NULL</t>
        </is>
      </c>
      <c r="D329" s="0" t="inlineStr">
        <is>
          <t>NULL</t>
        </is>
      </c>
      <c r="E329" s="0" t="inlineStr">
        <is>
          <t>NULL</t>
        </is>
      </c>
      <c r="F329" s="0" t="inlineStr">
        <is>
          <t>NULL</t>
        </is>
      </c>
      <c r="G329" s="0" t="inlineStr">
        <is>
          <t>NULL</t>
        </is>
      </c>
      <c r="H329" s="0" t="inlineStr">
        <is>
          <t>NULL</t>
        </is>
      </c>
      <c r="I329" s="0" t="inlineStr">
        <is>
          <t>YES!PK__info_bin__3213E83F4C93DF41</t>
        </is>
      </c>
      <c r="J329" s="0" t="inlineStr">
        <is>
          <t>YES! 主键相关索引</t>
        </is>
      </c>
      <c r="K329" s="0" t="inlineStr">
        <is>
          <t xml:space="preserve"> NO!  	 id列源备映射错误，源端为int None位	期望更改为text	实际备端为int None位</t>
        </is>
      </c>
      <c r="BX329" s="0" t="inlineStr">
        <is>
          <t>37行 2列，源：1971-05-11 00:00:00.0 +14:00 备：9999-12-31 23:59:59.9 +00:00</t>
        </is>
      </c>
      <c r="CM329" s="0" t="inlineStr">
        <is>
          <t>19行 17列，源：None 备：</t>
        </is>
      </c>
      <c r="EH329" s="0" t="inlineStr">
        <is>
          <t>20行 13列，源：None 备：</t>
        </is>
      </c>
      <c r="ES329" s="0" t="inlineStr">
        <is>
          <t>20行 13列，源：None 备：</t>
        </is>
      </c>
    </row>
    <row r="330">
      <c r="B330" s="0" t="inlineStr">
        <is>
          <t>NULL</t>
        </is>
      </c>
      <c r="C330" s="0" t="inlineStr">
        <is>
          <t>NULL</t>
        </is>
      </c>
      <c r="D330" s="0" t="inlineStr">
        <is>
          <t>NULL</t>
        </is>
      </c>
      <c r="E330" s="0" t="inlineStr">
        <is>
          <t>NULL</t>
        </is>
      </c>
      <c r="F330" s="0" t="inlineStr">
        <is>
          <t>NULL</t>
        </is>
      </c>
      <c r="G330" s="0" t="inlineStr">
        <is>
          <t>NULL</t>
        </is>
      </c>
      <c r="H330" s="0" t="inlineStr">
        <is>
          <t>NULL</t>
        </is>
      </c>
      <c r="I330" s="0" t="inlineStr">
        <is>
          <t>NULL</t>
        </is>
      </c>
      <c r="J330" s="0" t="inlineStr">
        <is>
          <t>NULL</t>
        </is>
      </c>
      <c r="K330" s="0" t="inlineStr">
        <is>
          <t xml:space="preserve"> NO!  	 c_binary列源备映射错误，源端为binary 1位	期望更改为text	实际备端为binary 1位</t>
        </is>
      </c>
      <c r="BX330" s="0" t="inlineStr">
        <is>
          <t>37行 3列，源：1971-05-11 00:00:00.00 +14:00 备：9999-12-31 23:59:59.99 +00:00</t>
        </is>
      </c>
      <c r="CM330" s="0" t="inlineStr">
        <is>
          <t>19行 18列，源：None 备：</t>
        </is>
      </c>
      <c r="EH330" s="0" t="inlineStr">
        <is>
          <t>20行 14列，源：None 备：</t>
        </is>
      </c>
      <c r="ES330" s="0" t="inlineStr">
        <is>
          <t>20行 14列，源：None 备：</t>
        </is>
      </c>
    </row>
    <row r="331">
      <c r="B331" s="0" t="inlineStr">
        <is>
          <t>NULL</t>
        </is>
      </c>
      <c r="C331" s="0" t="inlineStr">
        <is>
          <t>NULL</t>
        </is>
      </c>
      <c r="D331" s="0" t="inlineStr">
        <is>
          <t>NULL</t>
        </is>
      </c>
      <c r="E331" s="0" t="inlineStr">
        <is>
          <t>NULL</t>
        </is>
      </c>
      <c r="F331" s="0" t="inlineStr">
        <is>
          <t>NULL</t>
        </is>
      </c>
      <c r="G331" s="0" t="inlineStr">
        <is>
          <t>NULL</t>
        </is>
      </c>
      <c r="H331" s="0" t="inlineStr">
        <is>
          <t>NULL</t>
        </is>
      </c>
      <c r="I331" s="0" t="inlineStr">
        <is>
          <t>NULL</t>
        </is>
      </c>
      <c r="J331" s="0" t="inlineStr">
        <is>
          <t>NULL</t>
        </is>
      </c>
      <c r="K331" s="0" t="inlineStr">
        <is>
          <t xml:space="preserve"> NO!  	 c_binary_20列源备映射错误，源端为binary 20位	期望更改为text	实际备端为binary 20位</t>
        </is>
      </c>
      <c r="BX331" s="0" t="inlineStr">
        <is>
          <t>37行 4列，源：1971-05-11 00:00:00.000 +14:00 备：9999-12-31 23:59:59.999 +00:00</t>
        </is>
      </c>
      <c r="CM331" s="0" t="inlineStr">
        <is>
          <t>19行 19列，源：None 备：</t>
        </is>
      </c>
      <c r="EH331" s="0" t="inlineStr">
        <is>
          <t>20行 15列，源：nan 备：</t>
        </is>
      </c>
      <c r="ES331" s="0" t="inlineStr">
        <is>
          <t>20行 15列，源：nan 备：</t>
        </is>
      </c>
    </row>
    <row r="332">
      <c r="B332" s="0" t="inlineStr">
        <is>
          <t>NULL</t>
        </is>
      </c>
      <c r="C332" s="0" t="inlineStr">
        <is>
          <t>NULL</t>
        </is>
      </c>
      <c r="D332" s="0" t="inlineStr">
        <is>
          <t>NULL</t>
        </is>
      </c>
      <c r="E332" s="0" t="inlineStr">
        <is>
          <t>NULL</t>
        </is>
      </c>
      <c r="F332" s="0" t="inlineStr">
        <is>
          <t>NULL</t>
        </is>
      </c>
      <c r="G332" s="0" t="inlineStr">
        <is>
          <t>NULL</t>
        </is>
      </c>
      <c r="H332" s="0" t="inlineStr">
        <is>
          <t>NULL</t>
        </is>
      </c>
      <c r="I332" s="0" t="inlineStr">
        <is>
          <t>NULL</t>
        </is>
      </c>
      <c r="J332" s="0" t="inlineStr">
        <is>
          <t>NULL</t>
        </is>
      </c>
      <c r="K332" s="0" t="inlineStr">
        <is>
          <t xml:space="preserve"> NO!  	 c_binary_200列源备映射错误，源端为binary 200位	期望更改为text	实际备端为binary 200位</t>
        </is>
      </c>
      <c r="BX332" s="0" t="inlineStr">
        <is>
          <t>37行 5列，源：1971-05-11 00:00:00.0000 +14:00 备：9999-12-31 23:59:59.9999 +00:00</t>
        </is>
      </c>
      <c r="CM332" s="0" t="inlineStr">
        <is>
          <t>20行 0列，源：21 备：7</t>
        </is>
      </c>
      <c r="EH332" s="0" t="inlineStr">
        <is>
          <t>20行 16列，源：nan 备：</t>
        </is>
      </c>
      <c r="ES332" s="0" t="inlineStr">
        <is>
          <t>20行 16列，源：nan 备：</t>
        </is>
      </c>
    </row>
    <row r="333">
      <c r="A333" s="0" t="inlineStr">
        <is>
          <t>info_datetime2_dml_batch2_pk_irp2</t>
        </is>
      </c>
      <c r="K333" s="0" t="inlineStr">
        <is>
          <t>[0;34m info_datetime2_dml_batch2_pk_irp2 [0m源备字段数相同，源端字段：9 	备端字段9</t>
        </is>
      </c>
      <c r="W333" s="2">
        <f>HYPERLINK("#2026041905hbase4!BI2","NO 源备存在差异，共164个")</f>
        <v/>
      </c>
      <c r="X333" s="0">
        <f>A333</f>
        <v/>
      </c>
      <c r="BX333" s="0" t="inlineStr">
        <is>
          <t>37行 6列，源：1971-05-11 00:00:00.00000 +14:00 备：9999-12-31 23:59:59.99999 +00:00</t>
        </is>
      </c>
      <c r="CM333" s="0" t="inlineStr">
        <is>
          <t>20行 1列，源：nan 备：</t>
        </is>
      </c>
      <c r="EH333" s="0" t="inlineStr">
        <is>
          <t>20行 17列，源：None 备：</t>
        </is>
      </c>
      <c r="ES333" s="0" t="inlineStr">
        <is>
          <t>20行 17列，源：None 备：</t>
        </is>
      </c>
    </row>
    <row r="334">
      <c r="B334" s="0" t="inlineStr">
        <is>
          <t>YES</t>
        </is>
      </c>
      <c r="C334" s="0" t="inlineStr">
        <is>
          <t>NULL</t>
        </is>
      </c>
      <c r="D334" s="0" t="inlineStr">
        <is>
          <t>NULL</t>
        </is>
      </c>
      <c r="E334" s="0" t="inlineStr">
        <is>
          <t>NULL</t>
        </is>
      </c>
      <c r="F334" s="0" t="inlineStr">
        <is>
          <t>NULL</t>
        </is>
      </c>
      <c r="G334" s="0" t="inlineStr">
        <is>
          <t>NULL</t>
        </is>
      </c>
      <c r="H334" s="0" t="inlineStr">
        <is>
          <t>NULL</t>
        </is>
      </c>
      <c r="I334" s="0" t="inlineStr">
        <is>
          <t>YES!PK__info_dat__3213E83FED5F417A</t>
        </is>
      </c>
      <c r="J334" s="0" t="inlineStr">
        <is>
          <t>YES! 主键相关索引</t>
        </is>
      </c>
      <c r="K334" s="0" t="inlineStr">
        <is>
          <t xml:space="preserve"> NO!  	 id列源备映射错误，源端为int None位	期望更改为text	实际备端为int None位</t>
        </is>
      </c>
      <c r="BX334" s="0" t="inlineStr">
        <is>
          <t>37行 7列，源：1971-05-11 00:00:00.000000 +14:00 备：9999-12-31 23:59:59.999999 +00:00</t>
        </is>
      </c>
      <c r="CM334" s="0" t="inlineStr">
        <is>
          <t>20行 2列，源：-22345.0 备：</t>
        </is>
      </c>
      <c r="EH334" s="0" t="inlineStr">
        <is>
          <t>20行 18列，源：None 备：</t>
        </is>
      </c>
      <c r="ES334" s="0" t="inlineStr">
        <is>
          <t>20行 18列，源：None 备：</t>
        </is>
      </c>
    </row>
    <row r="335">
      <c r="B335" s="0" t="inlineStr">
        <is>
          <t>NULL</t>
        </is>
      </c>
      <c r="C335" s="0" t="inlineStr">
        <is>
          <t>NULL</t>
        </is>
      </c>
      <c r="D335" s="0" t="inlineStr">
        <is>
          <t>NULL</t>
        </is>
      </c>
      <c r="E335" s="0" t="inlineStr">
        <is>
          <t>NULL</t>
        </is>
      </c>
      <c r="F335" s="0" t="inlineStr">
        <is>
          <t>NULL</t>
        </is>
      </c>
      <c r="G335" s="0" t="inlineStr">
        <is>
          <t>NULL</t>
        </is>
      </c>
      <c r="H335" s="0" t="inlineStr">
        <is>
          <t>NULL</t>
        </is>
      </c>
      <c r="I335" s="0" t="inlineStr">
        <is>
          <t>NULL</t>
        </is>
      </c>
      <c r="J335" s="0" t="inlineStr">
        <is>
          <t>NULL</t>
        </is>
      </c>
      <c r="K335" s="0" t="inlineStr">
        <is>
          <t xml:space="preserve"> NO!  	 c_dt2_0列源备映射错误，源端为datetime2 None位	期望更改为text	实际备端为datetime2 None位</t>
        </is>
      </c>
      <c r="BX335" s="0" t="inlineStr">
        <is>
          <t>37行 8列，源：1971-05-11 00:00:00.0000001 +14:00 备：9999-12-31 23:59:59.9999999 +00:00</t>
        </is>
      </c>
      <c r="CM335" s="0" t="inlineStr">
        <is>
          <t>20行 3列，源：nan 备：</t>
        </is>
      </c>
      <c r="EH335" s="0" t="inlineStr">
        <is>
          <t>20行 19列，源：None 备：</t>
        </is>
      </c>
      <c r="ES335" s="0" t="inlineStr">
        <is>
          <t>20行 19列，源：None 备：</t>
        </is>
      </c>
    </row>
    <row r="336">
      <c r="B336" s="0" t="inlineStr">
        <is>
          <t>NULL</t>
        </is>
      </c>
      <c r="C336" s="0" t="inlineStr">
        <is>
          <t>NULL</t>
        </is>
      </c>
      <c r="D336" s="0" t="inlineStr">
        <is>
          <t>NULL</t>
        </is>
      </c>
      <c r="E336" s="0" t="inlineStr">
        <is>
          <t>NULL</t>
        </is>
      </c>
      <c r="F336" s="0" t="inlineStr">
        <is>
          <t>NULL</t>
        </is>
      </c>
      <c r="G336" s="0" t="inlineStr">
        <is>
          <t>NULL</t>
        </is>
      </c>
      <c r="H336" s="0" t="inlineStr">
        <is>
          <t>NULL</t>
        </is>
      </c>
      <c r="I336" s="0" t="inlineStr">
        <is>
          <t>NULL</t>
        </is>
      </c>
      <c r="J336" s="0" t="inlineStr">
        <is>
          <t>NULL</t>
        </is>
      </c>
      <c r="K336" s="0" t="inlineStr">
        <is>
          <t xml:space="preserve"> NO!  	 c_dt2_1列源备映射错误，源端为datetime2 None位	期望更改为text	实际备端为datetime2 None位</t>
        </is>
      </c>
      <c r="BX336" s="0" t="inlineStr">
        <is>
          <t>38行 0列，源：122 备：276</t>
        </is>
      </c>
      <c r="CM336" s="0" t="inlineStr">
        <is>
          <t>20行 4列，源：nan 备：</t>
        </is>
      </c>
      <c r="EH336" s="0" t="inlineStr">
        <is>
          <t>21行 0列，源：52 备：119</t>
        </is>
      </c>
      <c r="ES336" s="0" t="inlineStr">
        <is>
          <t>21行 0列，源：52 备：119</t>
        </is>
      </c>
    </row>
    <row r="337">
      <c r="B337" s="0" t="inlineStr">
        <is>
          <t>NULL</t>
        </is>
      </c>
      <c r="C337" s="0" t="inlineStr">
        <is>
          <t>NULL</t>
        </is>
      </c>
      <c r="D337" s="0" t="inlineStr">
        <is>
          <t>NULL</t>
        </is>
      </c>
      <c r="E337" s="0" t="inlineStr">
        <is>
          <t>NULL</t>
        </is>
      </c>
      <c r="F337" s="0" t="inlineStr">
        <is>
          <t>NULL</t>
        </is>
      </c>
      <c r="G337" s="0" t="inlineStr">
        <is>
          <t>NULL</t>
        </is>
      </c>
      <c r="H337" s="0" t="inlineStr">
        <is>
          <t>NULL</t>
        </is>
      </c>
      <c r="I337" s="0" t="inlineStr">
        <is>
          <t>NULL</t>
        </is>
      </c>
      <c r="J337" s="0" t="inlineStr">
        <is>
          <t>NULL</t>
        </is>
      </c>
      <c r="K337" s="0" t="inlineStr">
        <is>
          <t xml:space="preserve"> NO!  	 c_dt2_2列源备映射错误，源端为datetime2 None位	期望更改为text	实际备端为datetime2 None位</t>
        </is>
      </c>
      <c r="BX337" s="0" t="inlineStr">
        <is>
          <t>38行 1列，源：1900-01-01 00:00:00 +00:00 备：2063-05-11 10:30:45 -04:00</t>
        </is>
      </c>
      <c r="CM337" s="0" t="inlineStr">
        <is>
          <t>20行 5列，源：None 备：</t>
        </is>
      </c>
      <c r="EH337" s="0" t="inlineStr">
        <is>
          <t>21行 1列，源：255.0 备：</t>
        </is>
      </c>
      <c r="ES337" s="0" t="inlineStr">
        <is>
          <t>21行 1列，源：255.0 备：</t>
        </is>
      </c>
    </row>
    <row r="338">
      <c r="B338" s="0" t="inlineStr">
        <is>
          <t>NULL</t>
        </is>
      </c>
      <c r="C338" s="0" t="inlineStr">
        <is>
          <t>NULL</t>
        </is>
      </c>
      <c r="D338" s="0" t="inlineStr">
        <is>
          <t>NULL</t>
        </is>
      </c>
      <c r="E338" s="0" t="inlineStr">
        <is>
          <t>NULL</t>
        </is>
      </c>
      <c r="F338" s="0" t="inlineStr">
        <is>
          <t>NULL</t>
        </is>
      </c>
      <c r="G338" s="0" t="inlineStr">
        <is>
          <t>NULL</t>
        </is>
      </c>
      <c r="H338" s="0" t="inlineStr">
        <is>
          <t>NULL</t>
        </is>
      </c>
      <c r="I338" s="0" t="inlineStr">
        <is>
          <t>NULL</t>
        </is>
      </c>
      <c r="J338" s="0" t="inlineStr">
        <is>
          <t>NULL</t>
        </is>
      </c>
      <c r="K338" s="0" t="inlineStr">
        <is>
          <t xml:space="preserve"> NO!  	 c_dt2_3列源备映射错误，源端为datetime2 None位	期望更改为text	实际备端为datetime2 None位</t>
        </is>
      </c>
      <c r="BX338" s="0" t="inlineStr">
        <is>
          <t>38行 2列，源：1900-01-01 00:00:00.0 +00:00 备：2063-05-11 10:30:45.1 -04:00</t>
        </is>
      </c>
      <c r="CM338" s="0" t="inlineStr">
        <is>
          <t>20行 6列，源：None 备：</t>
        </is>
      </c>
      <c r="EH338" s="0" t="inlineStr">
        <is>
          <t>21行 2列，源：32767.0 备：</t>
        </is>
      </c>
      <c r="ES338" s="0" t="inlineStr">
        <is>
          <t>21行 2列，源：32767.0 备：</t>
        </is>
      </c>
    </row>
    <row r="339">
      <c r="B339" s="0" t="inlineStr">
        <is>
          <t>NULL</t>
        </is>
      </c>
      <c r="C339" s="0" t="inlineStr">
        <is>
          <t>NULL</t>
        </is>
      </c>
      <c r="D339" s="0" t="inlineStr">
        <is>
          <t>NULL</t>
        </is>
      </c>
      <c r="E339" s="0" t="inlineStr">
        <is>
          <t>NULL</t>
        </is>
      </c>
      <c r="F339" s="0" t="inlineStr">
        <is>
          <t>NULL</t>
        </is>
      </c>
      <c r="G339" s="0" t="inlineStr">
        <is>
          <t>NULL</t>
        </is>
      </c>
      <c r="H339" s="0" t="inlineStr">
        <is>
          <t>NULL</t>
        </is>
      </c>
      <c r="I339" s="0" t="inlineStr">
        <is>
          <t>NULL</t>
        </is>
      </c>
      <c r="J339" s="0" t="inlineStr">
        <is>
          <t>NULL</t>
        </is>
      </c>
      <c r="K339" s="0" t="inlineStr">
        <is>
          <t xml:space="preserve"> NO!  	 c_dt2_4列源备映射错误，源端为datetime2 None位	期望更改为text	实际备端为datetime2 None位</t>
        </is>
      </c>
      <c r="BX339" s="0" t="inlineStr">
        <is>
          <t>38行 3列，源：1900-01-01 00:00:00.00 +00:00 备：2063-05-11 10:30:45.12 -04:00</t>
        </is>
      </c>
      <c r="CM339" s="0" t="inlineStr">
        <is>
          <t>20行 7列，源：None 备：-0.00000000000000000000000000000000000001</t>
        </is>
      </c>
      <c r="EH339" s="0" t="inlineStr">
        <is>
          <t>21行 3列，源：2147483647.0 备：</t>
        </is>
      </c>
      <c r="ES339" s="0" t="inlineStr">
        <is>
          <t>21行 3列，源：2147483647.0 备：</t>
        </is>
      </c>
    </row>
    <row r="340">
      <c r="B340" s="0" t="inlineStr">
        <is>
          <t>NULL</t>
        </is>
      </c>
      <c r="C340" s="0" t="inlineStr">
        <is>
          <t>NULL</t>
        </is>
      </c>
      <c r="D340" s="0" t="inlineStr">
        <is>
          <t>NULL</t>
        </is>
      </c>
      <c r="E340" s="0" t="inlineStr">
        <is>
          <t>NULL</t>
        </is>
      </c>
      <c r="F340" s="0" t="inlineStr">
        <is>
          <t>NULL</t>
        </is>
      </c>
      <c r="G340" s="0" t="inlineStr">
        <is>
          <t>NULL</t>
        </is>
      </c>
      <c r="H340" s="0" t="inlineStr">
        <is>
          <t>NULL</t>
        </is>
      </c>
      <c r="I340" s="0" t="inlineStr">
        <is>
          <t>NULL</t>
        </is>
      </c>
      <c r="J340" s="0" t="inlineStr">
        <is>
          <t>NULL</t>
        </is>
      </c>
      <c r="K340" s="0" t="inlineStr">
        <is>
          <t xml:space="preserve"> NO!  	 c_dt2_5列源备映射错误，源端为datetime2 None位	期望更改为text	实际备端为datetime2 None位</t>
        </is>
      </c>
      <c r="BX340" s="0" t="inlineStr">
        <is>
          <t>38行 4列，源：1900-01-01 00:00:00.000 +00:00 备：2063-05-11 10:30:45.123 -04:00</t>
        </is>
      </c>
      <c r="CM340" s="0" t="inlineStr">
        <is>
          <t>20行 8列，源：None 备：</t>
        </is>
      </c>
      <c r="EH340" s="0" t="inlineStr">
        <is>
          <t>21行 4列，源：9.223372036854776e+18 备：</t>
        </is>
      </c>
      <c r="ES340" s="0" t="inlineStr">
        <is>
          <t>21行 4列，源：9.223372036854776e+18 备：</t>
        </is>
      </c>
    </row>
    <row r="341">
      <c r="B341" s="0" t="inlineStr">
        <is>
          <t>NULL</t>
        </is>
      </c>
      <c r="C341" s="0" t="inlineStr">
        <is>
          <t>NULL</t>
        </is>
      </c>
      <c r="D341" s="0" t="inlineStr">
        <is>
          <t>NULL</t>
        </is>
      </c>
      <c r="E341" s="0" t="inlineStr">
        <is>
          <t>NULL</t>
        </is>
      </c>
      <c r="F341" s="0" t="inlineStr">
        <is>
          <t>NULL</t>
        </is>
      </c>
      <c r="G341" s="0" t="inlineStr">
        <is>
          <t>NULL</t>
        </is>
      </c>
      <c r="H341" s="0" t="inlineStr">
        <is>
          <t>NULL</t>
        </is>
      </c>
      <c r="I341" s="0" t="inlineStr">
        <is>
          <t>NULL</t>
        </is>
      </c>
      <c r="J341" s="0" t="inlineStr">
        <is>
          <t>NULL</t>
        </is>
      </c>
      <c r="K341" s="0" t="inlineStr">
        <is>
          <t xml:space="preserve"> NO!  	 c_dt2_6列源备映射错误，源端为datetime2 None位	期望更改为text	实际备端为datetime2 None位</t>
        </is>
      </c>
      <c r="BX341" s="0" t="inlineStr">
        <is>
          <t>38行 5列，源：1900-01-01 00:00:00.0000 +00:00 备：2063-05-11 10:30:45.1235 -04:00</t>
        </is>
      </c>
      <c r="CM341" s="0" t="inlineStr">
        <is>
          <t>20行 9列，源：None 备：</t>
        </is>
      </c>
      <c r="EH341" s="0" t="inlineStr">
        <is>
          <t>21行 5列，源：None 备：</t>
        </is>
      </c>
      <c r="ES341" s="0" t="inlineStr">
        <is>
          <t>21行 5列，源：None 备：</t>
        </is>
      </c>
    </row>
    <row r="342">
      <c r="B342" s="0" t="inlineStr">
        <is>
          <t>NULL</t>
        </is>
      </c>
      <c r="C342" s="0" t="inlineStr">
        <is>
          <t>NULL</t>
        </is>
      </c>
      <c r="D342" s="0" t="inlineStr">
        <is>
          <t>NULL</t>
        </is>
      </c>
      <c r="E342" s="0" t="inlineStr">
        <is>
          <t>NULL</t>
        </is>
      </c>
      <c r="F342" s="0" t="inlineStr">
        <is>
          <t>NULL</t>
        </is>
      </c>
      <c r="G342" s="0" t="inlineStr">
        <is>
          <t>NULL</t>
        </is>
      </c>
      <c r="H342" s="0" t="inlineStr">
        <is>
          <t>NULL</t>
        </is>
      </c>
      <c r="I342" s="0" t="inlineStr">
        <is>
          <t>NULL</t>
        </is>
      </c>
      <c r="J342" s="0" t="inlineStr">
        <is>
          <t>NULL</t>
        </is>
      </c>
      <c r="K342" s="0" t="inlineStr">
        <is>
          <t xml:space="preserve"> NO!  	 c_dt2列源备映射错误，源端为datetime2 None位	期望更改为text	实际备端为datetime2 None位</t>
        </is>
      </c>
      <c r="BX342" s="0" t="inlineStr">
        <is>
          <t>38行 6列，源：1900-01-01 00:00:00.00000 +00:00 备：2063-05-11 10:30:45.12346 -04:00</t>
        </is>
      </c>
      <c r="CM342" s="0" t="inlineStr">
        <is>
          <t>20行 10列，源：None 备：</t>
        </is>
      </c>
      <c r="EH342" s="0" t="inlineStr">
        <is>
          <t>21行 6列，源：None 备：</t>
        </is>
      </c>
      <c r="ES342" s="0" t="inlineStr">
        <is>
          <t>21行 6列，源：None 备：</t>
        </is>
      </c>
    </row>
    <row r="343">
      <c r="A343" s="0" t="inlineStr">
        <is>
          <t>info_int_dml_batch1_pk</t>
        </is>
      </c>
      <c r="K343" s="0" t="inlineStr">
        <is>
          <t>[0;34m info_int_dml_batch1_pk [0m源备字段数相同，源端字段：20 	备端字段20</t>
        </is>
      </c>
      <c r="W343" s="2">
        <f>HYPERLINK("#2026041905hbase4!BJ2","NO 源备存在差异，共293个")</f>
        <v/>
      </c>
      <c r="X343" s="0">
        <f>A343</f>
        <v/>
      </c>
      <c r="BX343" s="0" t="inlineStr">
        <is>
          <t>38行 7列，源：1900-01-01 00:00:00.000000 +00:00 备：2063-05-11 10:30:45.123457 -04:00</t>
        </is>
      </c>
      <c r="CM343" s="0" t="inlineStr">
        <is>
          <t>20行 11列，源：None 备：</t>
        </is>
      </c>
      <c r="EH343" s="0" t="inlineStr">
        <is>
          <t>21行 7列，源：None 备：</t>
        </is>
      </c>
      <c r="ES343" s="0" t="inlineStr">
        <is>
          <t>21行 7列，源：None 备：</t>
        </is>
      </c>
    </row>
    <row r="344">
      <c r="B344" s="0" t="inlineStr">
        <is>
          <t>YES</t>
        </is>
      </c>
      <c r="C344" s="0" t="inlineStr">
        <is>
          <t>NULL</t>
        </is>
      </c>
      <c r="D344" s="0" t="inlineStr">
        <is>
          <t>NULL</t>
        </is>
      </c>
      <c r="E344" s="0" t="inlineStr">
        <is>
          <t>NULL</t>
        </is>
      </c>
      <c r="F344" s="0" t="inlineStr">
        <is>
          <t>NULL</t>
        </is>
      </c>
      <c r="G344" s="0" t="inlineStr">
        <is>
          <t>NULL</t>
        </is>
      </c>
      <c r="H344" s="0" t="inlineStr">
        <is>
          <t>NULL</t>
        </is>
      </c>
      <c r="I344" s="0" t="inlineStr">
        <is>
          <t>YES!PK__info_int__3213E83F1805D2F1</t>
        </is>
      </c>
      <c r="J344" s="0" t="inlineStr">
        <is>
          <t>YES! 主键相关索引</t>
        </is>
      </c>
      <c r="K344" s="0" t="inlineStr">
        <is>
          <t xml:space="preserve"> NO!  	 id列源备映射错误，源端为int None位	期望更改为text	实际备端为int None位</t>
        </is>
      </c>
      <c r="BX344" s="0" t="inlineStr">
        <is>
          <t>38行 8列，源：1900-01-01 00:00:00.0000000 +00:00 备：2063-05-11 10:30:45.1234567 -04:00</t>
        </is>
      </c>
      <c r="CM344" s="0" t="inlineStr">
        <is>
          <t>20行 12列，源：None 备：</t>
        </is>
      </c>
      <c r="EH344" s="0" t="inlineStr">
        <is>
          <t>21行 8列，源：None 备：</t>
        </is>
      </c>
      <c r="ES344" s="0" t="inlineStr">
        <is>
          <t>21行 8列，源：None 备：</t>
        </is>
      </c>
    </row>
    <row r="345">
      <c r="B345" s="0" t="inlineStr">
        <is>
          <t>NULL</t>
        </is>
      </c>
      <c r="C345" s="0" t="inlineStr">
        <is>
          <t>NULL</t>
        </is>
      </c>
      <c r="D345" s="0" t="inlineStr">
        <is>
          <t>NULL</t>
        </is>
      </c>
      <c r="E345" s="0" t="inlineStr">
        <is>
          <t>NULL</t>
        </is>
      </c>
      <c r="F345" s="0" t="inlineStr">
        <is>
          <t>NULL</t>
        </is>
      </c>
      <c r="G345" s="0" t="inlineStr">
        <is>
          <t>NULL</t>
        </is>
      </c>
      <c r="H345" s="0" t="inlineStr">
        <is>
          <t>NULL</t>
        </is>
      </c>
      <c r="I345" s="0" t="inlineStr">
        <is>
          <t>NULL</t>
        </is>
      </c>
      <c r="J345" s="0" t="inlineStr">
        <is>
          <t>NULL</t>
        </is>
      </c>
      <c r="K345" s="0" t="inlineStr">
        <is>
          <t xml:space="preserve"> NO!  	 c_tinyint列源备映射错误，源端为tinyint None位	期望更改为text	实际备端为tinyint None位</t>
        </is>
      </c>
      <c r="BX345" s="0" t="inlineStr">
        <is>
          <t>39行 0列，源：123 备：28</t>
        </is>
      </c>
      <c r="CM345" s="0" t="inlineStr">
        <is>
          <t>20行 13列，源：None 备：</t>
        </is>
      </c>
      <c r="EH345" s="0" t="inlineStr">
        <is>
          <t>21行 9列，源：None 备：</t>
        </is>
      </c>
      <c r="ES345" s="0" t="inlineStr">
        <is>
          <t>21行 9列，源：None 备：</t>
        </is>
      </c>
    </row>
    <row r="346">
      <c r="B346" s="0" t="inlineStr">
        <is>
          <t>NULL</t>
        </is>
      </c>
      <c r="C346" s="0" t="inlineStr">
        <is>
          <t>NULL</t>
        </is>
      </c>
      <c r="D346" s="0" t="inlineStr">
        <is>
          <t>NULL</t>
        </is>
      </c>
      <c r="E346" s="0" t="inlineStr">
        <is>
          <t>NULL</t>
        </is>
      </c>
      <c r="F346" s="0" t="inlineStr">
        <is>
          <t>NULL</t>
        </is>
      </c>
      <c r="G346" s="0" t="inlineStr">
        <is>
          <t>NULL</t>
        </is>
      </c>
      <c r="H346" s="0" t="inlineStr">
        <is>
          <t>NULL</t>
        </is>
      </c>
      <c r="I346" s="0" t="inlineStr">
        <is>
          <t>NULL</t>
        </is>
      </c>
      <c r="J346" s="0" t="inlineStr">
        <is>
          <t>NULL</t>
        </is>
      </c>
      <c r="K346" s="0" t="inlineStr">
        <is>
          <t xml:space="preserve"> NO!  	 c_smallint列源备映射错误，源端为smallint None位	期望更改为text	实际备端为smallint None位</t>
        </is>
      </c>
      <c r="BX346" s="0" t="inlineStr">
        <is>
          <t>39行 1列，源：2026-04-17 17:18:23 +08:00 备：2000-05-11 00:30:45 +09:00</t>
        </is>
      </c>
      <c r="CM346" s="0" t="inlineStr">
        <is>
          <t>20行 14列，源：None 备：</t>
        </is>
      </c>
      <c r="EH346" s="0" t="inlineStr">
        <is>
          <t>21行 10列，源：None 备：</t>
        </is>
      </c>
      <c r="ES346" s="0" t="inlineStr">
        <is>
          <t>21行 10列，源：None 备：</t>
        </is>
      </c>
    </row>
    <row r="347">
      <c r="B347" s="0" t="inlineStr">
        <is>
          <t>NULL</t>
        </is>
      </c>
      <c r="C347" s="0" t="inlineStr">
        <is>
          <t>NULL</t>
        </is>
      </c>
      <c r="D347" s="0" t="inlineStr">
        <is>
          <t>NULL</t>
        </is>
      </c>
      <c r="E347" s="0" t="inlineStr">
        <is>
          <t>NULL</t>
        </is>
      </c>
      <c r="F347" s="0" t="inlineStr">
        <is>
          <t>NULL</t>
        </is>
      </c>
      <c r="G347" s="0" t="inlineStr">
        <is>
          <t>NULL</t>
        </is>
      </c>
      <c r="H347" s="0" t="inlineStr">
        <is>
          <t>NULL</t>
        </is>
      </c>
      <c r="I347" s="0" t="inlineStr">
        <is>
          <t>NULL</t>
        </is>
      </c>
      <c r="J347" s="0" t="inlineStr">
        <is>
          <t>NULL</t>
        </is>
      </c>
      <c r="K347" s="0" t="inlineStr">
        <is>
          <t xml:space="preserve"> NO!  	 c_int列源备映射错误，源端为int None位	期望更改为text	实际备端为int None位</t>
        </is>
      </c>
      <c r="BX347" s="0" t="inlineStr">
        <is>
          <t>39行 2列，源：2026-04-17 17:18:22.8 +08:00 备：2000-05-11 00:30:45.1 +09:00</t>
        </is>
      </c>
      <c r="CM347" s="0" t="inlineStr">
        <is>
          <t>20行 15列，源：nan 备：</t>
        </is>
      </c>
      <c r="EH347" s="0" t="inlineStr">
        <is>
          <t>21行 11列，源：None 备：</t>
        </is>
      </c>
      <c r="ES347" s="0" t="inlineStr">
        <is>
          <t>21行 11列，源：None 备：</t>
        </is>
      </c>
    </row>
    <row r="348">
      <c r="B348" s="0" t="inlineStr">
        <is>
          <t>NULL</t>
        </is>
      </c>
      <c r="C348" s="0" t="inlineStr">
        <is>
          <t>NULL</t>
        </is>
      </c>
      <c r="D348" s="0" t="inlineStr">
        <is>
          <t>NULL</t>
        </is>
      </c>
      <c r="E348" s="0" t="inlineStr">
        <is>
          <t>NULL</t>
        </is>
      </c>
      <c r="F348" s="0" t="inlineStr">
        <is>
          <t>NULL</t>
        </is>
      </c>
      <c r="G348" s="0" t="inlineStr">
        <is>
          <t>NULL</t>
        </is>
      </c>
      <c r="H348" s="0" t="inlineStr">
        <is>
          <t>NULL</t>
        </is>
      </c>
      <c r="I348" s="0" t="inlineStr">
        <is>
          <t>NULL</t>
        </is>
      </c>
      <c r="J348" s="0" t="inlineStr">
        <is>
          <t>NULL</t>
        </is>
      </c>
      <c r="K348" s="0" t="inlineStr">
        <is>
          <t xml:space="preserve"> NO!  	 c_bigint列源备映射错误，源端为bigint None位	期望更改为text	实际备端为bigint None位</t>
        </is>
      </c>
      <c r="BX348" s="0" t="inlineStr">
        <is>
          <t>39行 3列，源：2026-04-17 17:18:22.75 +08:00 备：2000-05-11 00:30:45.12 +09:00</t>
        </is>
      </c>
      <c r="CM348" s="0" t="inlineStr">
        <is>
          <t>20行 16列，源：nan 备：</t>
        </is>
      </c>
      <c r="EH348" s="0" t="inlineStr">
        <is>
          <t>21行 12列，源：None 备：</t>
        </is>
      </c>
      <c r="ES348" s="0" t="inlineStr">
        <is>
          <t>21行 12列，源：None 备：</t>
        </is>
      </c>
    </row>
    <row r="349">
      <c r="B349" s="0" t="inlineStr">
        <is>
          <t>NULL</t>
        </is>
      </c>
      <c r="C349" s="0" t="inlineStr">
        <is>
          <t>NULL</t>
        </is>
      </c>
      <c r="D349" s="0" t="inlineStr">
        <is>
          <t>NULL</t>
        </is>
      </c>
      <c r="E349" s="0" t="inlineStr">
        <is>
          <t>NULL</t>
        </is>
      </c>
      <c r="F349" s="0" t="inlineStr">
        <is>
          <t>NULL</t>
        </is>
      </c>
      <c r="G349" s="0" t="inlineStr">
        <is>
          <t>NULL</t>
        </is>
      </c>
      <c r="H349" s="0" t="inlineStr">
        <is>
          <t>NULL</t>
        </is>
      </c>
      <c r="I349" s="0" t="inlineStr">
        <is>
          <t>NULL</t>
        </is>
      </c>
      <c r="J349" s="0" t="inlineStr">
        <is>
          <t>NULL</t>
        </is>
      </c>
      <c r="K349" s="0" t="inlineStr">
        <is>
          <t xml:space="preserve"> NO!  	 c_decimal列源备映射错误，源端为decimal None位	期望更改为text	实际备端为decimal None位</t>
        </is>
      </c>
      <c r="BX349" s="0" t="inlineStr">
        <is>
          <t>39行 4列，源：2026-04-17 17:18:22.755 +08:00 备：2000-05-11 00:30:45.123 +09:00</t>
        </is>
      </c>
      <c r="CM349" s="0" t="inlineStr">
        <is>
          <t>20行 17列，源：None 备：</t>
        </is>
      </c>
      <c r="EH349" s="0" t="inlineStr">
        <is>
          <t>21行 13列，源：None 备：</t>
        </is>
      </c>
      <c r="ES349" s="0" t="inlineStr">
        <is>
          <t>21行 13列，源：None 备：</t>
        </is>
      </c>
    </row>
    <row r="350">
      <c r="B350" s="0" t="inlineStr">
        <is>
          <t>NULL</t>
        </is>
      </c>
      <c r="C350" s="0" t="inlineStr">
        <is>
          <t>NULL</t>
        </is>
      </c>
      <c r="D350" s="0" t="inlineStr">
        <is>
          <t>NULL</t>
        </is>
      </c>
      <c r="E350" s="0" t="inlineStr">
        <is>
          <t>NULL</t>
        </is>
      </c>
      <c r="F350" s="0" t="inlineStr">
        <is>
          <t>NULL</t>
        </is>
      </c>
      <c r="G350" s="0" t="inlineStr">
        <is>
          <t>NULL</t>
        </is>
      </c>
      <c r="H350" s="0" t="inlineStr">
        <is>
          <t>NULL</t>
        </is>
      </c>
      <c r="I350" s="0" t="inlineStr">
        <is>
          <t>NULL</t>
        </is>
      </c>
      <c r="J350" s="0" t="inlineStr">
        <is>
          <t>NULL</t>
        </is>
      </c>
      <c r="K350" s="0" t="inlineStr">
        <is>
          <t xml:space="preserve"> NO!  	 c_decimal38列源备映射错误，源端为decimal None位	期望更改为text	实际备端为decimal None位</t>
        </is>
      </c>
      <c r="BX350" s="0" t="inlineStr">
        <is>
          <t>39行 5列，源：2026-04-17 17:18:22.7550 +08:00 备：2000-05-11 00:30:45.1235 +09:00</t>
        </is>
      </c>
      <c r="CM350" s="0" t="inlineStr">
        <is>
          <t>20行 18列，源：None 备：</t>
        </is>
      </c>
      <c r="EH350" s="0" t="inlineStr">
        <is>
          <t>21行 14列，源：None 备：</t>
        </is>
      </c>
      <c r="ES350" s="0" t="inlineStr">
        <is>
          <t>21行 14列，源：None 备：</t>
        </is>
      </c>
    </row>
    <row r="351">
      <c r="B351" s="0" t="inlineStr">
        <is>
          <t>NULL</t>
        </is>
      </c>
      <c r="C351" s="0" t="inlineStr">
        <is>
          <t>NULL</t>
        </is>
      </c>
      <c r="D351" s="0" t="inlineStr">
        <is>
          <t>NULL</t>
        </is>
      </c>
      <c r="E351" s="0" t="inlineStr">
        <is>
          <t>NULL</t>
        </is>
      </c>
      <c r="F351" s="0" t="inlineStr">
        <is>
          <t>NULL</t>
        </is>
      </c>
      <c r="G351" s="0" t="inlineStr">
        <is>
          <t>NULL</t>
        </is>
      </c>
      <c r="H351" s="0" t="inlineStr">
        <is>
          <t>NULL</t>
        </is>
      </c>
      <c r="I351" s="0" t="inlineStr">
        <is>
          <t>NULL</t>
        </is>
      </c>
      <c r="J351" s="0" t="inlineStr">
        <is>
          <t>NULL</t>
        </is>
      </c>
      <c r="K351" s="0" t="inlineStr">
        <is>
          <t xml:space="preserve"> NO!  	 c_decimal38_38列源备映射错误，源端为decimal None位	期望更改为text	实际备端为decimal None位</t>
        </is>
      </c>
      <c r="BX351" s="0" t="inlineStr">
        <is>
          <t>39行 6列，源：2026-04-17 17:18:22.75495 +08:00 备：2000-05-11 00:30:45.12346 +09:00</t>
        </is>
      </c>
      <c r="CM351" s="0" t="inlineStr">
        <is>
          <t>20行 19列，源：None 备：</t>
        </is>
      </c>
      <c r="EH351" s="0" t="inlineStr">
        <is>
          <t>21行 15列，源：nan 备：</t>
        </is>
      </c>
      <c r="ES351" s="0" t="inlineStr">
        <is>
          <t>21行 15列，源：nan 备：</t>
        </is>
      </c>
    </row>
    <row r="352">
      <c r="B352" s="0" t="inlineStr">
        <is>
          <t>NULL</t>
        </is>
      </c>
      <c r="C352" s="0" t="inlineStr">
        <is>
          <t>NULL</t>
        </is>
      </c>
      <c r="D352" s="0" t="inlineStr">
        <is>
          <t>NULL</t>
        </is>
      </c>
      <c r="E352" s="0" t="inlineStr">
        <is>
          <t>NULL</t>
        </is>
      </c>
      <c r="F352" s="0" t="inlineStr">
        <is>
          <t>NULL</t>
        </is>
      </c>
      <c r="G352" s="0" t="inlineStr">
        <is>
          <t>NULL</t>
        </is>
      </c>
      <c r="H352" s="0" t="inlineStr">
        <is>
          <t>NULL</t>
        </is>
      </c>
      <c r="I352" s="0" t="inlineStr">
        <is>
          <t>NULL</t>
        </is>
      </c>
      <c r="J352" s="0" t="inlineStr">
        <is>
          <t>NULL</t>
        </is>
      </c>
      <c r="K352" s="0" t="inlineStr">
        <is>
          <t xml:space="preserve"> NO!  	 c_decimal38_10列源备映射错误，源端为decimal None位	期望更改为text	实际备端为decimal None位</t>
        </is>
      </c>
      <c r="BX352" s="0" t="inlineStr">
        <is>
          <t>39行 7列，源：2026-04-17 17:18:22.754952 +08:00 备：2000-05-11 00:30:45.123457 +09:00</t>
        </is>
      </c>
      <c r="CM352" s="0" t="inlineStr">
        <is>
          <t>21行 0列，源：23 备：8</t>
        </is>
      </c>
      <c r="EH352" s="0" t="inlineStr">
        <is>
          <t>21行 16列，源：nan 备：</t>
        </is>
      </c>
      <c r="ES352" s="0" t="inlineStr">
        <is>
          <t>21行 16列，源：nan 备：</t>
        </is>
      </c>
    </row>
    <row r="353">
      <c r="B353" s="0" t="inlineStr">
        <is>
          <t>NULL</t>
        </is>
      </c>
      <c r="C353" s="0" t="inlineStr">
        <is>
          <t>NULL</t>
        </is>
      </c>
      <c r="D353" s="0" t="inlineStr">
        <is>
          <t>NULL</t>
        </is>
      </c>
      <c r="E353" s="0" t="inlineStr">
        <is>
          <t>NULL</t>
        </is>
      </c>
      <c r="F353" s="0" t="inlineStr">
        <is>
          <t>NULL</t>
        </is>
      </c>
      <c r="G353" s="0" t="inlineStr">
        <is>
          <t>NULL</t>
        </is>
      </c>
      <c r="H353" s="0" t="inlineStr">
        <is>
          <t>NULL</t>
        </is>
      </c>
      <c r="I353" s="0" t="inlineStr">
        <is>
          <t>NULL</t>
        </is>
      </c>
      <c r="J353" s="0" t="inlineStr">
        <is>
          <t>NULL</t>
        </is>
      </c>
      <c r="K353" s="0" t="inlineStr">
        <is>
          <t xml:space="preserve"> NO!  	 c_decimal19_4列源备映射错误，源端为decimal None位	期望更改为text	实际备端为decimal None位</t>
        </is>
      </c>
      <c r="BX353" s="0" t="inlineStr">
        <is>
          <t>39行 8列，源：2026-04-17 17:18:22.7549521 +08:00 备：2000-05-11 00:30:45.1234567 +09:00</t>
        </is>
      </c>
      <c r="CM353" s="0" t="inlineStr">
        <is>
          <t>21行 1列，源：nan 备：</t>
        </is>
      </c>
      <c r="EH353" s="0" t="inlineStr">
        <is>
          <t>21行 17列，源：None 备：</t>
        </is>
      </c>
      <c r="ES353" s="0" t="inlineStr">
        <is>
          <t>21行 17列，源：None 备：</t>
        </is>
      </c>
    </row>
    <row r="354">
      <c r="B354" s="0" t="inlineStr">
        <is>
          <t>NULL</t>
        </is>
      </c>
      <c r="C354" s="0" t="inlineStr">
        <is>
          <t>NULL</t>
        </is>
      </c>
      <c r="D354" s="0" t="inlineStr">
        <is>
          <t>NULL</t>
        </is>
      </c>
      <c r="E354" s="0" t="inlineStr">
        <is>
          <t>NULL</t>
        </is>
      </c>
      <c r="F354" s="0" t="inlineStr">
        <is>
          <t>NULL</t>
        </is>
      </c>
      <c r="G354" s="0" t="inlineStr">
        <is>
          <t>NULL</t>
        </is>
      </c>
      <c r="H354" s="0" t="inlineStr">
        <is>
          <t>NULL</t>
        </is>
      </c>
      <c r="I354" s="0" t="inlineStr">
        <is>
          <t>NULL</t>
        </is>
      </c>
      <c r="J354" s="0" t="inlineStr">
        <is>
          <t>NULL</t>
        </is>
      </c>
      <c r="K354" s="0" t="inlineStr">
        <is>
          <t xml:space="preserve"> NO!  	 c_numeric列源备映射错误，源端为numeric None位	期望更改为text	实际备端为numeric None位</t>
        </is>
      </c>
      <c r="BX354" s="0" t="inlineStr">
        <is>
          <t>40行 0列，源：124 备：29</t>
        </is>
      </c>
      <c r="CM354" s="0" t="inlineStr">
        <is>
          <t>21行 2列，源：nan 备：</t>
        </is>
      </c>
      <c r="EH354" s="0" t="inlineStr">
        <is>
          <t>21行 18列，源：None 备：</t>
        </is>
      </c>
      <c r="ES354" s="0" t="inlineStr">
        <is>
          <t>21行 18列，源：None 备：</t>
        </is>
      </c>
    </row>
    <row r="355">
      <c r="B355" s="0" t="inlineStr">
        <is>
          <t>NULL</t>
        </is>
      </c>
      <c r="C355" s="0" t="inlineStr">
        <is>
          <t>NULL</t>
        </is>
      </c>
      <c r="D355" s="0" t="inlineStr">
        <is>
          <t>NULL</t>
        </is>
      </c>
      <c r="E355" s="0" t="inlineStr">
        <is>
          <t>NULL</t>
        </is>
      </c>
      <c r="F355" s="0" t="inlineStr">
        <is>
          <t>NULL</t>
        </is>
      </c>
      <c r="G355" s="0" t="inlineStr">
        <is>
          <t>NULL</t>
        </is>
      </c>
      <c r="H355" s="0" t="inlineStr">
        <is>
          <t>NULL</t>
        </is>
      </c>
      <c r="I355" s="0" t="inlineStr">
        <is>
          <t>NULL</t>
        </is>
      </c>
      <c r="J355" s="0" t="inlineStr">
        <is>
          <t>NULL</t>
        </is>
      </c>
      <c r="K355" s="0" t="inlineStr">
        <is>
          <t xml:space="preserve"> NO!  	 c_numeric38列源备映射错误，源端为numeric None位	期望更改为text	实际备端为numeric None位</t>
        </is>
      </c>
      <c r="BX355" s="0" t="inlineStr">
        <is>
          <t>40行 1列，源：0001-01-01 00:00:00 +00:00 备：1999-05-16 01:30:45 +10:15</t>
        </is>
      </c>
      <c r="CM355" s="0" t="inlineStr">
        <is>
          <t>21行 3列，源：nan 备：</t>
        </is>
      </c>
      <c r="EH355" s="0" t="inlineStr">
        <is>
          <t>21行 19列，源：None 备：</t>
        </is>
      </c>
      <c r="ES355" s="0" t="inlineStr">
        <is>
          <t>21行 19列，源：None 备：</t>
        </is>
      </c>
    </row>
    <row r="356">
      <c r="B356" s="0" t="inlineStr">
        <is>
          <t>NULL</t>
        </is>
      </c>
      <c r="C356" s="0" t="inlineStr">
        <is>
          <t>NULL</t>
        </is>
      </c>
      <c r="D356" s="0" t="inlineStr">
        <is>
          <t>NULL</t>
        </is>
      </c>
      <c r="E356" s="0" t="inlineStr">
        <is>
          <t>NULL</t>
        </is>
      </c>
      <c r="F356" s="0" t="inlineStr">
        <is>
          <t>NULL</t>
        </is>
      </c>
      <c r="G356" s="0" t="inlineStr">
        <is>
          <t>NULL</t>
        </is>
      </c>
      <c r="H356" s="0" t="inlineStr">
        <is>
          <t>NULL</t>
        </is>
      </c>
      <c r="I356" s="0" t="inlineStr">
        <is>
          <t>NULL</t>
        </is>
      </c>
      <c r="J356" s="0" t="inlineStr">
        <is>
          <t>NULL</t>
        </is>
      </c>
      <c r="K356" s="0" t="inlineStr">
        <is>
          <t xml:space="preserve"> NO!  	 c_numeric38_38列源备映射错误，源端为numeric None位	期望更改为text	实际备端为numeric None位</t>
        </is>
      </c>
      <c r="BX356" s="0" t="inlineStr">
        <is>
          <t>40行 2列，源：0001-01-01 00:00:00.0 +00:00 备：1999-05-16 01:30:45.1 +10:15</t>
        </is>
      </c>
      <c r="CM356" s="0" t="inlineStr">
        <is>
          <t>21行 4列，源：-223456789012.0 备：</t>
        </is>
      </c>
      <c r="EH356" s="0" t="inlineStr">
        <is>
          <t>22行 0列，源：53 备：12</t>
        </is>
      </c>
      <c r="ES356" s="0" t="inlineStr">
        <is>
          <t>22行 0列，源：53 备：12</t>
        </is>
      </c>
    </row>
    <row r="357">
      <c r="B357" s="0" t="inlineStr">
        <is>
          <t>NULL</t>
        </is>
      </c>
      <c r="C357" s="0" t="inlineStr">
        <is>
          <t>NULL</t>
        </is>
      </c>
      <c r="D357" s="0" t="inlineStr">
        <is>
          <t>NULL</t>
        </is>
      </c>
      <c r="E357" s="0" t="inlineStr">
        <is>
          <t>NULL</t>
        </is>
      </c>
      <c r="F357" s="0" t="inlineStr">
        <is>
          <t>NULL</t>
        </is>
      </c>
      <c r="G357" s="0" t="inlineStr">
        <is>
          <t>NULL</t>
        </is>
      </c>
      <c r="H357" s="0" t="inlineStr">
        <is>
          <t>NULL</t>
        </is>
      </c>
      <c r="I357" s="0" t="inlineStr">
        <is>
          <t>NULL</t>
        </is>
      </c>
      <c r="J357" s="0" t="inlineStr">
        <is>
          <t>NULL</t>
        </is>
      </c>
      <c r="K357" s="0" t="inlineStr">
        <is>
          <t xml:space="preserve"> NO!  	 c_numeric38_10列源备映射错误，源端为numeric None位	期望更改为text	实际备端为numeric None位</t>
        </is>
      </c>
      <c r="BX357" s="0" t="inlineStr">
        <is>
          <t>40行 3列，源：0001-01-01 00:00:00.00 +00:00 备：1999-05-16 01:30:45.12 +10:15</t>
        </is>
      </c>
      <c r="CM357" s="0" t="inlineStr">
        <is>
          <t>21行 5列，源：None 备：</t>
        </is>
      </c>
      <c r="EH357" s="0" t="inlineStr">
        <is>
          <t>22行 1列，源：nan 备：</t>
        </is>
      </c>
      <c r="ES357" s="0" t="inlineStr">
        <is>
          <t>22行 1列，源：nan 备：</t>
        </is>
      </c>
    </row>
    <row r="358">
      <c r="B358" s="0" t="inlineStr">
        <is>
          <t>NULL</t>
        </is>
      </c>
      <c r="C358" s="0" t="inlineStr">
        <is>
          <t>NULL</t>
        </is>
      </c>
      <c r="D358" s="0" t="inlineStr">
        <is>
          <t>NULL</t>
        </is>
      </c>
      <c r="E358" s="0" t="inlineStr">
        <is>
          <t>NULL</t>
        </is>
      </c>
      <c r="F358" s="0" t="inlineStr">
        <is>
          <t>NULL</t>
        </is>
      </c>
      <c r="G358" s="0" t="inlineStr">
        <is>
          <t>NULL</t>
        </is>
      </c>
      <c r="H358" s="0" t="inlineStr">
        <is>
          <t>NULL</t>
        </is>
      </c>
      <c r="I358" s="0" t="inlineStr">
        <is>
          <t>NULL</t>
        </is>
      </c>
      <c r="J358" s="0" t="inlineStr">
        <is>
          <t>NULL</t>
        </is>
      </c>
      <c r="K358" s="0" t="inlineStr">
        <is>
          <t xml:space="preserve"> NO!  	 c_numeric18_2列源备映射错误，源端为numeric None位	期望更改为text	实际备端为numeric None位</t>
        </is>
      </c>
      <c r="BX358" s="0" t="inlineStr">
        <is>
          <t>40行 4列，源：0001-01-01 00:00:00.000 +00:00 备：1999-05-16 01:30:45.123 +10:15</t>
        </is>
      </c>
      <c r="CM358" s="0" t="inlineStr">
        <is>
          <t>21行 6列，源：None 备：</t>
        </is>
      </c>
      <c r="EH358" s="0" t="inlineStr">
        <is>
          <t>22行 2列，源：nan 备：</t>
        </is>
      </c>
      <c r="ES358" s="0" t="inlineStr">
        <is>
          <t>22行 2列，源：nan 备：</t>
        </is>
      </c>
    </row>
    <row r="359">
      <c r="B359" s="0" t="inlineStr">
        <is>
          <t>NULL</t>
        </is>
      </c>
      <c r="C359" s="0" t="inlineStr">
        <is>
          <t>NULL</t>
        </is>
      </c>
      <c r="D359" s="0" t="inlineStr">
        <is>
          <t>NULL</t>
        </is>
      </c>
      <c r="E359" s="0" t="inlineStr">
        <is>
          <t>NULL</t>
        </is>
      </c>
      <c r="F359" s="0" t="inlineStr">
        <is>
          <t>NULL</t>
        </is>
      </c>
      <c r="G359" s="0" t="inlineStr">
        <is>
          <t>NULL</t>
        </is>
      </c>
      <c r="H359" s="0" t="inlineStr">
        <is>
          <t>NULL</t>
        </is>
      </c>
      <c r="I359" s="0" t="inlineStr">
        <is>
          <t>NULL</t>
        </is>
      </c>
      <c r="J359" s="0" t="inlineStr">
        <is>
          <t>NULL</t>
        </is>
      </c>
      <c r="K359" s="0" t="inlineStr">
        <is>
          <t xml:space="preserve"> NO!  	 c_float列源备映射错误，源端为float None位	期望更改为text	实际备端为float None位</t>
        </is>
      </c>
      <c r="BX359" s="0" t="inlineStr">
        <is>
          <t>40行 5列，源：0001-01-01 00:00:00.0000 +00:00 备：1999-05-16 01:30:45.1235 +10:15</t>
        </is>
      </c>
      <c r="CM359" s="0" t="inlineStr">
        <is>
          <t>21行 7列，源：None 备：</t>
        </is>
      </c>
      <c r="EH359" s="0" t="inlineStr">
        <is>
          <t>22行 3列，源：nan 备：</t>
        </is>
      </c>
      <c r="ES359" s="0" t="inlineStr">
        <is>
          <t>22行 3列，源：nan 备：</t>
        </is>
      </c>
    </row>
    <row r="360">
      <c r="B360" s="0" t="inlineStr">
        <is>
          <t>NULL</t>
        </is>
      </c>
      <c r="C360" s="0" t="inlineStr">
        <is>
          <t>NULL</t>
        </is>
      </c>
      <c r="D360" s="0" t="inlineStr">
        <is>
          <t>NULL</t>
        </is>
      </c>
      <c r="E360" s="0" t="inlineStr">
        <is>
          <t>NULL</t>
        </is>
      </c>
      <c r="F360" s="0" t="inlineStr">
        <is>
          <t>NULL</t>
        </is>
      </c>
      <c r="G360" s="0" t="inlineStr">
        <is>
          <t>NULL</t>
        </is>
      </c>
      <c r="H360" s="0" t="inlineStr">
        <is>
          <t>NULL</t>
        </is>
      </c>
      <c r="I360" s="0" t="inlineStr">
        <is>
          <t>NULL</t>
        </is>
      </c>
      <c r="J360" s="0" t="inlineStr">
        <is>
          <t>NULL</t>
        </is>
      </c>
      <c r="K360" s="0" t="inlineStr">
        <is>
          <t xml:space="preserve"> NO!  	 c_real列源备映射错误，源端为real None位	期望更改为text	实际备端为real None位</t>
        </is>
      </c>
      <c r="BX360" s="0" t="inlineStr">
        <is>
          <t>40行 6列，源：0001-01-01 00:00:00.00000 +00:00 备：1999-05-16 01:30:45.12346 +10:15</t>
        </is>
      </c>
      <c r="CM360" s="0" t="inlineStr">
        <is>
          <t>21行 8列，源：None 备：0.0000000001</t>
        </is>
      </c>
      <c r="EH360" s="0" t="inlineStr">
        <is>
          <t>22行 4列，源：nan 备：</t>
        </is>
      </c>
      <c r="ES360" s="0" t="inlineStr">
        <is>
          <t>22行 4列，源：nan 备：</t>
        </is>
      </c>
    </row>
    <row r="361">
      <c r="B361" s="0" t="inlineStr">
        <is>
          <t>NULL</t>
        </is>
      </c>
      <c r="C361" s="0" t="inlineStr">
        <is>
          <t>NULL</t>
        </is>
      </c>
      <c r="D361" s="0" t="inlineStr">
        <is>
          <t>NULL</t>
        </is>
      </c>
      <c r="E361" s="0" t="inlineStr">
        <is>
          <t>NULL</t>
        </is>
      </c>
      <c r="F361" s="0" t="inlineStr">
        <is>
          <t>NULL</t>
        </is>
      </c>
      <c r="G361" s="0" t="inlineStr">
        <is>
          <t>NULL</t>
        </is>
      </c>
      <c r="H361" s="0" t="inlineStr">
        <is>
          <t>NULL</t>
        </is>
      </c>
      <c r="I361" s="0" t="inlineStr">
        <is>
          <t>NULL</t>
        </is>
      </c>
      <c r="J361" s="0" t="inlineStr">
        <is>
          <t>NULL</t>
        </is>
      </c>
      <c r="K361" s="0" t="inlineStr">
        <is>
          <t xml:space="preserve"> NO!  	 c_money列源备映射错误，源端为money None位	期望更改为text	实际备端为money None位</t>
        </is>
      </c>
      <c r="BX361" s="0" t="inlineStr">
        <is>
          <t>40行 7列，源：0001-01-01 00:00:00.000000 +00:00 备：1999-05-16 01:30:45.123457 +10:15</t>
        </is>
      </c>
      <c r="CM361" s="0" t="inlineStr">
        <is>
          <t>21行 9列，源：None 备：</t>
        </is>
      </c>
      <c r="EH361" s="0" t="inlineStr">
        <is>
          <t>22行 5列，源：None 备：123</t>
        </is>
      </c>
      <c r="ES361" s="0" t="inlineStr">
        <is>
          <t>22行 5列，源：None 备：123</t>
        </is>
      </c>
    </row>
    <row r="362">
      <c r="B362" s="0" t="inlineStr">
        <is>
          <t>NULL</t>
        </is>
      </c>
      <c r="C362" s="0" t="inlineStr">
        <is>
          <t>NULL</t>
        </is>
      </c>
      <c r="D362" s="0" t="inlineStr">
        <is>
          <t>NULL</t>
        </is>
      </c>
      <c r="E362" s="0" t="inlineStr">
        <is>
          <t>NULL</t>
        </is>
      </c>
      <c r="F362" s="0" t="inlineStr">
        <is>
          <t>NULL</t>
        </is>
      </c>
      <c r="G362" s="0" t="inlineStr">
        <is>
          <t>NULL</t>
        </is>
      </c>
      <c r="H362" s="0" t="inlineStr">
        <is>
          <t>NULL</t>
        </is>
      </c>
      <c r="I362" s="0" t="inlineStr">
        <is>
          <t>NULL</t>
        </is>
      </c>
      <c r="J362" s="0" t="inlineStr">
        <is>
          <t>NULL</t>
        </is>
      </c>
      <c r="K362" s="0" t="inlineStr">
        <is>
          <t xml:space="preserve"> NO!  	 c_smallmoney列源备映射错误，源端为smallmoney None位	期望更改为text	实际备端为smallmoney None位</t>
        </is>
      </c>
      <c r="BX362" s="0" t="inlineStr">
        <is>
          <t>40行 8列，源：0001-01-01 00:00:00.0000000 +00:00 备：1999-05-16 01:30:45.1234567 +10:15</t>
        </is>
      </c>
      <c r="CM362" s="0" t="inlineStr">
        <is>
          <t>21行 10列，源：None 备：</t>
        </is>
      </c>
      <c r="EH362" s="0" t="inlineStr">
        <is>
          <t>22行 6列，源：None 备：12345678901234567890123789012345678</t>
        </is>
      </c>
      <c r="ES362" s="0" t="inlineStr">
        <is>
          <t>22行 6列，源：None 备：12345678901234567890123789012345678</t>
        </is>
      </c>
    </row>
    <row r="363">
      <c r="B363" s="0" t="inlineStr">
        <is>
          <t>NULL</t>
        </is>
      </c>
      <c r="C363" s="0" t="inlineStr">
        <is>
          <t>NULL</t>
        </is>
      </c>
      <c r="D363" s="0" t="inlineStr">
        <is>
          <t>NULL</t>
        </is>
      </c>
      <c r="E363" s="0" t="inlineStr">
        <is>
          <t>NULL</t>
        </is>
      </c>
      <c r="F363" s="0" t="inlineStr">
        <is>
          <t>NULL</t>
        </is>
      </c>
      <c r="G363" s="0" t="inlineStr">
        <is>
          <t>NULL</t>
        </is>
      </c>
      <c r="H363" s="0" t="inlineStr">
        <is>
          <t>NULL</t>
        </is>
      </c>
      <c r="I363" s="0" t="inlineStr">
        <is>
          <t>NULL</t>
        </is>
      </c>
      <c r="J363" s="0" t="inlineStr">
        <is>
          <t>NULL</t>
        </is>
      </c>
      <c r="K363" s="0" t="inlineStr">
        <is>
          <t xml:space="preserve"> NO!  	 c_bit列源备映射错误，源端为bit None位	期望更改为text	实际备端为bit None位</t>
        </is>
      </c>
      <c r="BX363" s="0" t="inlineStr">
        <is>
          <t>41行 0列，源：127 备：3</t>
        </is>
      </c>
      <c r="CM363" s="0" t="inlineStr">
        <is>
          <t>21行 11列，源：None 备：</t>
        </is>
      </c>
      <c r="EH363" s="0" t="inlineStr">
        <is>
          <t>22行 7列，源：None 备：0.12345678901234590123456789012367800000</t>
        </is>
      </c>
      <c r="ES363" s="0" t="inlineStr">
        <is>
          <t>22行 7列，源：None 备：0.12345678901234590123456789012367800000</t>
        </is>
      </c>
    </row>
    <row r="364">
      <c r="A364" s="0" t="inlineStr">
        <is>
          <t>info_char_dml_batch2_pk_irp1</t>
        </is>
      </c>
      <c r="K364" s="0" t="inlineStr">
        <is>
          <t>[0;34m info_char_dml_batch2_pk_irp1 [0m源备字段数相同，源端字段：4 	备端字段4</t>
        </is>
      </c>
      <c r="W364" s="0" t="inlineStr">
        <is>
          <t>YES 源备无差异</t>
        </is>
      </c>
      <c r="X364" s="0">
        <f>A364</f>
        <v/>
      </c>
      <c r="BX364" s="0" t="inlineStr">
        <is>
          <t>41行 1列，源：1933-05-11 15:30:45 +01:00 备：2026-04-17 17:18:23 +08:00</t>
        </is>
      </c>
      <c r="CM364" s="0" t="inlineStr">
        <is>
          <t>21行 12列，源：None 备：</t>
        </is>
      </c>
      <c r="EH364" s="0" t="inlineStr">
        <is>
          <t>22行 8列，源：None 备：123456789012367012345678.1245890000</t>
        </is>
      </c>
      <c r="ES364" s="0" t="inlineStr">
        <is>
          <t>22行 8列，源：None 备：123456789012367012345678.1245890000</t>
        </is>
      </c>
    </row>
    <row r="365">
      <c r="B365" s="0" t="inlineStr">
        <is>
          <t>YES</t>
        </is>
      </c>
      <c r="C365" s="0" t="inlineStr">
        <is>
          <t>NULL</t>
        </is>
      </c>
      <c r="D365" s="0" t="inlineStr">
        <is>
          <t>NULL</t>
        </is>
      </c>
      <c r="E365" s="0" t="inlineStr">
        <is>
          <t>NULL</t>
        </is>
      </c>
      <c r="F365" s="0" t="inlineStr">
        <is>
          <t>NULL</t>
        </is>
      </c>
      <c r="G365" s="0" t="inlineStr">
        <is>
          <t>NULL</t>
        </is>
      </c>
      <c r="H365" s="0" t="inlineStr">
        <is>
          <t>NULL</t>
        </is>
      </c>
      <c r="I365" s="0" t="inlineStr">
        <is>
          <t>YES!PK__info_cha__3213E83F9CD6126E</t>
        </is>
      </c>
      <c r="J365" s="0" t="inlineStr">
        <is>
          <t>YES! 主键相关索引</t>
        </is>
      </c>
      <c r="K365" s="0" t="inlineStr">
        <is>
          <t xml:space="preserve"> NO!  	 id列源备映射错误，源端为int None位	期望更改为text	实际备端为int None位</t>
        </is>
      </c>
      <c r="BX365" s="0" t="inlineStr">
        <is>
          <t>41行 2列，源：1933-05-11 15:30:45.1 +01:00 备：2026-04-17 17:18:22.8 +08:00</t>
        </is>
      </c>
      <c r="CM365" s="0" t="inlineStr">
        <is>
          <t>21行 13列，源：None 备：</t>
        </is>
      </c>
      <c r="EH365" s="0" t="inlineStr">
        <is>
          <t>22行 9列，源：None 备：123456712345.6789</t>
        </is>
      </c>
      <c r="ES365" s="0" t="inlineStr">
        <is>
          <t>22行 9列，源：None 备：123456712345.6789</t>
        </is>
      </c>
    </row>
    <row r="366">
      <c r="B366" s="0" t="inlineStr">
        <is>
          <t>NULL</t>
        </is>
      </c>
      <c r="C366" s="0" t="inlineStr">
        <is>
          <t>NULL</t>
        </is>
      </c>
      <c r="D366" s="0" t="inlineStr">
        <is>
          <t>NULL</t>
        </is>
      </c>
      <c r="E366" s="0" t="inlineStr">
        <is>
          <t>NULL</t>
        </is>
      </c>
      <c r="F366" s="0" t="inlineStr">
        <is>
          <t>NULL</t>
        </is>
      </c>
      <c r="G366" s="0" t="inlineStr">
        <is>
          <t>NULL</t>
        </is>
      </c>
      <c r="H366" s="0" t="inlineStr">
        <is>
          <t>NULL</t>
        </is>
      </c>
      <c r="I366" s="0" t="inlineStr">
        <is>
          <t>NULL</t>
        </is>
      </c>
      <c r="J366" s="0" t="inlineStr">
        <is>
          <t>NULL</t>
        </is>
      </c>
      <c r="K366" s="0" t="inlineStr">
        <is>
          <t xml:space="preserve"> NO!  	 c_char列源备映射错误，源端为char 1位	期望更改为text	实际备端为char 1位</t>
        </is>
      </c>
      <c r="BX366" s="0" t="inlineStr">
        <is>
          <t>41行 3列，源：1933-05-11 15:30:45.12 +01:00 备：2026-04-17 17:18:22.75 +08:00</t>
        </is>
      </c>
      <c r="CM366" s="0" t="inlineStr">
        <is>
          <t>21行 14列，源：None 备：</t>
        </is>
      </c>
      <c r="EH366" s="0" t="inlineStr">
        <is>
          <t>22行 10列，源：None 备：988</t>
        </is>
      </c>
      <c r="ES366" s="0" t="inlineStr">
        <is>
          <t>22行 10列，源：None 备：988</t>
        </is>
      </c>
    </row>
    <row r="367">
      <c r="B367" s="0" t="inlineStr">
        <is>
          <t>NULL</t>
        </is>
      </c>
      <c r="C367" s="0" t="inlineStr">
        <is>
          <t>NULL</t>
        </is>
      </c>
      <c r="D367" s="0" t="inlineStr">
        <is>
          <t>NULL</t>
        </is>
      </c>
      <c r="E367" s="0" t="inlineStr">
        <is>
          <t>NULL</t>
        </is>
      </c>
      <c r="F367" s="0" t="inlineStr">
        <is>
          <t>NULL</t>
        </is>
      </c>
      <c r="G367" s="0" t="inlineStr">
        <is>
          <t>NULL</t>
        </is>
      </c>
      <c r="H367" s="0" t="inlineStr">
        <is>
          <t>NULL</t>
        </is>
      </c>
      <c r="I367" s="0" t="inlineStr">
        <is>
          <t>NULL</t>
        </is>
      </c>
      <c r="J367" s="0" t="inlineStr">
        <is>
          <t>NULL</t>
        </is>
      </c>
      <c r="K367" s="0" t="inlineStr">
        <is>
          <t xml:space="preserve"> NO!  	 c_char20列源备映射错误，源端为char 20位	期望更改为text	实际备端为char 20位</t>
        </is>
      </c>
      <c r="BX367" s="0" t="inlineStr">
        <is>
          <t>41行 4列，源：1933-05-11 15:30:45.123 +01:00 备：2026-04-17 17:18:22.755 +08:00</t>
        </is>
      </c>
      <c r="CM367" s="0" t="inlineStr">
        <is>
          <t>21行 15列，源：nan 备：</t>
        </is>
      </c>
      <c r="EH367" s="0" t="inlineStr">
        <is>
          <t>22行 11列，源：None 备：987654321098765410987654321098765432</t>
        </is>
      </c>
      <c r="ES367" s="0" t="inlineStr">
        <is>
          <t>22行 11列，源：None 备：987654321098765410987654321098765432</t>
        </is>
      </c>
    </row>
    <row r="368">
      <c r="B368" s="0" t="inlineStr">
        <is>
          <t>NULL</t>
        </is>
      </c>
      <c r="C368" s="0" t="inlineStr">
        <is>
          <t>NULL</t>
        </is>
      </c>
      <c r="D368" s="0" t="inlineStr">
        <is>
          <t>NULL</t>
        </is>
      </c>
      <c r="E368" s="0" t="inlineStr">
        <is>
          <t>NULL</t>
        </is>
      </c>
      <c r="F368" s="0" t="inlineStr">
        <is>
          <t>NULL</t>
        </is>
      </c>
      <c r="G368" s="0" t="inlineStr">
        <is>
          <t>NULL</t>
        </is>
      </c>
      <c r="H368" s="0" t="inlineStr">
        <is>
          <t>NULL</t>
        </is>
      </c>
      <c r="I368" s="0" t="inlineStr">
        <is>
          <t>NULL</t>
        </is>
      </c>
      <c r="J368" s="0" t="inlineStr">
        <is>
          <t>NULL</t>
        </is>
      </c>
      <c r="K368" s="0" t="inlineStr">
        <is>
          <t xml:space="preserve"> NO!  	 c_char200列源备映射错误，源端为char 200位	期望更改为text	实际备端为char 200位</t>
        </is>
      </c>
      <c r="BX368" s="0" t="inlineStr">
        <is>
          <t>41行 5列，源：1933-05-11 15:30:45.1235 +01:00 备：2026-04-17 17:18:22.7550 +08:00</t>
        </is>
      </c>
      <c r="CM368" s="0" t="inlineStr">
        <is>
          <t>21行 16列，源：nan 备：</t>
        </is>
      </c>
      <c r="EH368" s="0" t="inlineStr">
        <is>
          <t>22行 12列，源：None 备：0.98765432109874321098765432109876543200</t>
        </is>
      </c>
      <c r="ES368" s="0" t="inlineStr">
        <is>
          <t>22行 12列，源：None 备：0.98765432109874321098765432109876543200</t>
        </is>
      </c>
    </row>
    <row r="369">
      <c r="K369" s="0" t="inlineStr">
        <is>
          <t>~ 空表</t>
        </is>
      </c>
      <c r="BX369" s="0" t="inlineStr">
        <is>
          <t>41行 6列，源：1933-05-11 15:30:45.12346 +01:00 备：2026-04-17 17:18:22.75495 +08:00</t>
        </is>
      </c>
      <c r="CM369" s="0" t="inlineStr">
        <is>
          <t>21行 17列，源：None 备：</t>
        </is>
      </c>
      <c r="EH369" s="0" t="inlineStr">
        <is>
          <t>22行 13列，源：None 备：987654321098765432105432.1098542000</t>
        </is>
      </c>
      <c r="ES369" s="0" t="inlineStr">
        <is>
          <t>22行 13列，源：None 备：987654321098765432105432.1098542000</t>
        </is>
      </c>
    </row>
    <row r="370">
      <c r="A370" s="0" t="inlineStr">
        <is>
          <t>info_hierarchyid_dml_single_pk_irp</t>
        </is>
      </c>
      <c r="K370" s="0" t="inlineStr">
        <is>
          <t>[0;34m info_hierarchyid_dml_single_pk_irp [0m源备字段数相同，源端字段：2 	备端字段2</t>
        </is>
      </c>
      <c r="W370" s="2">
        <f>HYPERLINK("#2026041905hbase4!BK2","NO 源备存在差异，共5个")</f>
        <v/>
      </c>
      <c r="X370" s="0">
        <f>A370</f>
        <v/>
      </c>
      <c r="BX370" s="0" t="inlineStr">
        <is>
          <t>41行 7列，源：1933-05-11 15:30:45.123457 +01:00 备：2026-04-17 17:18:22.754952 +08:00</t>
        </is>
      </c>
      <c r="CM370" s="0" t="inlineStr">
        <is>
          <t>21行 18列，源：None 备：</t>
        </is>
      </c>
      <c r="EH370" s="0" t="inlineStr">
        <is>
          <t>22行 14列，源：None 备：1234567012456.78</t>
        </is>
      </c>
      <c r="ES370" s="0" t="inlineStr">
        <is>
          <t>22行 14列，源：None 备：1234567012456.78</t>
        </is>
      </c>
    </row>
    <row r="371">
      <c r="B371" s="0" t="inlineStr">
        <is>
          <t>YES</t>
        </is>
      </c>
      <c r="C371" s="0" t="inlineStr">
        <is>
          <t>NULL</t>
        </is>
      </c>
      <c r="D371" s="0" t="inlineStr">
        <is>
          <t>NULL</t>
        </is>
      </c>
      <c r="E371" s="0" t="inlineStr">
        <is>
          <t>NULL</t>
        </is>
      </c>
      <c r="F371" s="0" t="inlineStr">
        <is>
          <t>NULL</t>
        </is>
      </c>
      <c r="G371" s="0" t="inlineStr">
        <is>
          <t>NULL</t>
        </is>
      </c>
      <c r="H371" s="0" t="inlineStr">
        <is>
          <t>NULL</t>
        </is>
      </c>
      <c r="I371" s="0" t="inlineStr">
        <is>
          <t>YES!PK__info_hie__3213E83FCD21288A</t>
        </is>
      </c>
      <c r="J371" s="0" t="inlineStr">
        <is>
          <t>YES! 主键相关索引</t>
        </is>
      </c>
      <c r="K371" s="0" t="inlineStr">
        <is>
          <t xml:space="preserve"> NO!  	 id列源备映射错误，源端为int None位	期望更改为text	实际备端为int None位</t>
        </is>
      </c>
      <c r="BX371" s="0" t="inlineStr">
        <is>
          <t>41行 8列，源：1933-05-11 15:30:45.1234567 +01:00 备：2026-04-17 17:18:22.7549521 +08:00</t>
        </is>
      </c>
      <c r="CM371" s="0" t="inlineStr">
        <is>
          <t>21行 19列，源：None 备：</t>
        </is>
      </c>
      <c r="EH371" s="0" t="inlineStr">
        <is>
          <t>22行 15列，源：nan 备：</t>
        </is>
      </c>
      <c r="ES371" s="0" t="inlineStr">
        <is>
          <t>22行 15列，源：nan 备：</t>
        </is>
      </c>
    </row>
    <row r="372">
      <c r="B372" s="0" t="inlineStr">
        <is>
          <t>NULL</t>
        </is>
      </c>
      <c r="C372" s="0" t="inlineStr">
        <is>
          <t>NULL</t>
        </is>
      </c>
      <c r="D372" s="0" t="inlineStr">
        <is>
          <t>NULL</t>
        </is>
      </c>
      <c r="E372" s="0" t="inlineStr">
        <is>
          <t>NULL</t>
        </is>
      </c>
      <c r="F372" s="0" t="inlineStr">
        <is>
          <t>NULL</t>
        </is>
      </c>
      <c r="G372" s="0" t="inlineStr">
        <is>
          <t>NULL</t>
        </is>
      </c>
      <c r="H372" s="0" t="inlineStr">
        <is>
          <t>NULL</t>
        </is>
      </c>
      <c r="I372" s="0" t="inlineStr">
        <is>
          <t>NULL</t>
        </is>
      </c>
      <c r="J372" s="0" t="inlineStr">
        <is>
          <t>NULL</t>
        </is>
      </c>
      <c r="K372" s="0" t="inlineStr">
        <is>
          <t xml:space="preserve"> NO!  	 c_hierarchyid列源备映射错误，源端为hierarchyid 892位	期望更改为text	实际备端为hierarchyid 892位</t>
        </is>
      </c>
      <c r="BX372" s="0" t="inlineStr">
        <is>
          <t>42行 0列，源：128 备：30</t>
        </is>
      </c>
      <c r="CM372" s="0" t="inlineStr">
        <is>
          <t>22行 0列，源：24 备：9</t>
        </is>
      </c>
      <c r="EH372" s="0" t="inlineStr">
        <is>
          <t>22行 16列，源：nan 备：</t>
        </is>
      </c>
      <c r="ES372" s="0" t="inlineStr">
        <is>
          <t>22行 16列，源：nan 备：</t>
        </is>
      </c>
    </row>
    <row r="373">
      <c r="A373" s="0" t="inlineStr">
        <is>
          <t>info_datetime2_dml_batch1_pk_urp1</t>
        </is>
      </c>
      <c r="K373" s="0" t="inlineStr">
        <is>
          <t>[0;34m info_datetime2_dml_batch1_pk_urp1 [0m源备字段数相同，源端字段：9 	备端字段9</t>
        </is>
      </c>
      <c r="W373" s="0" t="inlineStr">
        <is>
          <t>YES 源备无差异</t>
        </is>
      </c>
      <c r="X373" s="0">
        <f>A373</f>
        <v/>
      </c>
      <c r="BX373" s="0" t="inlineStr">
        <is>
          <t>42行 1列，源：2000-05-11 00:30:45 +09:00 备：2013-03-12 02:00:00 -04:25</t>
        </is>
      </c>
      <c r="CM373" s="0" t="inlineStr">
        <is>
          <t>22行 1列，源：nan 备：</t>
        </is>
      </c>
      <c r="EH373" s="0" t="inlineStr">
        <is>
          <t>22行 17列，源：None 备：</t>
        </is>
      </c>
      <c r="ES373" s="0" t="inlineStr">
        <is>
          <t>22行 17列，源：None 备：</t>
        </is>
      </c>
    </row>
    <row r="374">
      <c r="B374" s="0" t="inlineStr">
        <is>
          <t>YES</t>
        </is>
      </c>
      <c r="C374" s="0" t="inlineStr">
        <is>
          <t>NULL</t>
        </is>
      </c>
      <c r="D374" s="0" t="inlineStr">
        <is>
          <t>NULL</t>
        </is>
      </c>
      <c r="E374" s="0" t="inlineStr">
        <is>
          <t>NULL</t>
        </is>
      </c>
      <c r="F374" s="0" t="inlineStr">
        <is>
          <t>NULL</t>
        </is>
      </c>
      <c r="G374" s="0" t="inlineStr">
        <is>
          <t>NULL</t>
        </is>
      </c>
      <c r="H374" s="0" t="inlineStr">
        <is>
          <t>NULL</t>
        </is>
      </c>
      <c r="I374" s="0" t="inlineStr">
        <is>
          <t>YES!PK__info_dat__3213E83FC2CA1155</t>
        </is>
      </c>
      <c r="J374" s="0" t="inlineStr">
        <is>
          <t>YES! 主键相关索引</t>
        </is>
      </c>
      <c r="K374" s="0" t="inlineStr">
        <is>
          <t xml:space="preserve"> NO!  	 id列源备映射错误，源端为int None位	期望更改为text	实际备端为int None位</t>
        </is>
      </c>
      <c r="BX374" s="0" t="inlineStr">
        <is>
          <t>42行 2列，源：2000-05-11 00:30:45.1 +09:00 备：2013-03-12 02:00:00.0 -04:25</t>
        </is>
      </c>
      <c r="CM374" s="0" t="inlineStr">
        <is>
          <t>22行 2列，源：nan 备：</t>
        </is>
      </c>
      <c r="EH374" s="0" t="inlineStr">
        <is>
          <t>22行 18列，源：None 备：</t>
        </is>
      </c>
      <c r="ES374" s="0" t="inlineStr">
        <is>
          <t>22行 18列，源：None 备：</t>
        </is>
      </c>
    </row>
    <row r="375">
      <c r="B375" s="0" t="inlineStr">
        <is>
          <t>NULL</t>
        </is>
      </c>
      <c r="C375" s="0" t="inlineStr">
        <is>
          <t>NULL</t>
        </is>
      </c>
      <c r="D375" s="0" t="inlineStr">
        <is>
          <t>NULL</t>
        </is>
      </c>
      <c r="E375" s="0" t="inlineStr">
        <is>
          <t>NULL</t>
        </is>
      </c>
      <c r="F375" s="0" t="inlineStr">
        <is>
          <t>NULL</t>
        </is>
      </c>
      <c r="G375" s="0" t="inlineStr">
        <is>
          <t>NULL</t>
        </is>
      </c>
      <c r="H375" s="0" t="inlineStr">
        <is>
          <t>NULL</t>
        </is>
      </c>
      <c r="I375" s="0" t="inlineStr">
        <is>
          <t>NULL</t>
        </is>
      </c>
      <c r="J375" s="0" t="inlineStr">
        <is>
          <t>NULL</t>
        </is>
      </c>
      <c r="K375" s="0" t="inlineStr">
        <is>
          <t xml:space="preserve"> NO!  	 c_dt2_0列源备映射错误，源端为datetime2 None位	期望更改为text	实际备端为datetime2 None位</t>
        </is>
      </c>
      <c r="BX375" s="0" t="inlineStr">
        <is>
          <t>42行 3列，源：2000-05-11 00:30:45.12 +09:00 备：2013-03-12 02:00:00.00 -04:25</t>
        </is>
      </c>
      <c r="CM375" s="0" t="inlineStr">
        <is>
          <t>22行 3列，源：nan 备：</t>
        </is>
      </c>
      <c r="EH375" s="0" t="inlineStr">
        <is>
          <t>22行 19列，源：None 备：</t>
        </is>
      </c>
      <c r="ES375" s="0" t="inlineStr">
        <is>
          <t>22行 19列，源：None 备：</t>
        </is>
      </c>
    </row>
    <row r="376">
      <c r="B376" s="0" t="inlineStr">
        <is>
          <t>NULL</t>
        </is>
      </c>
      <c r="C376" s="0" t="inlineStr">
        <is>
          <t>NULL</t>
        </is>
      </c>
      <c r="D376" s="0" t="inlineStr">
        <is>
          <t>NULL</t>
        </is>
      </c>
      <c r="E376" s="0" t="inlineStr">
        <is>
          <t>NULL</t>
        </is>
      </c>
      <c r="F376" s="0" t="inlineStr">
        <is>
          <t>NULL</t>
        </is>
      </c>
      <c r="G376" s="0" t="inlineStr">
        <is>
          <t>NULL</t>
        </is>
      </c>
      <c r="H376" s="0" t="inlineStr">
        <is>
          <t>NULL</t>
        </is>
      </c>
      <c r="I376" s="0" t="inlineStr">
        <is>
          <t>NULL</t>
        </is>
      </c>
      <c r="J376" s="0" t="inlineStr">
        <is>
          <t>NULL</t>
        </is>
      </c>
      <c r="K376" s="0" t="inlineStr">
        <is>
          <t xml:space="preserve"> NO!  	 c_dt2_1列源备映射错误，源端为datetime2 None位	期望更改为text	实际备端为datetime2 None位</t>
        </is>
      </c>
      <c r="BX376" s="0" t="inlineStr">
        <is>
          <t>42行 4列，源：2000-05-11 00:30:45.123 +09:00 备：2013-03-12 02:00:00.000 -04:25</t>
        </is>
      </c>
      <c r="CM376" s="0" t="inlineStr">
        <is>
          <t>22行 4列，源：nan 备：</t>
        </is>
      </c>
      <c r="EH376" s="0" t="inlineStr">
        <is>
          <t>23行 0列，源：54 备：120</t>
        </is>
      </c>
      <c r="ES376" s="0" t="inlineStr">
        <is>
          <t>23行 0列，源：54 备：120</t>
        </is>
      </c>
    </row>
    <row r="377">
      <c r="B377" s="0" t="inlineStr">
        <is>
          <t>NULL</t>
        </is>
      </c>
      <c r="C377" s="0" t="inlineStr">
        <is>
          <t>NULL</t>
        </is>
      </c>
      <c r="D377" s="0" t="inlineStr">
        <is>
          <t>NULL</t>
        </is>
      </c>
      <c r="E377" s="0" t="inlineStr">
        <is>
          <t>NULL</t>
        </is>
      </c>
      <c r="F377" s="0" t="inlineStr">
        <is>
          <t>NULL</t>
        </is>
      </c>
      <c r="G377" s="0" t="inlineStr">
        <is>
          <t>NULL</t>
        </is>
      </c>
      <c r="H377" s="0" t="inlineStr">
        <is>
          <t>NULL</t>
        </is>
      </c>
      <c r="I377" s="0" t="inlineStr">
        <is>
          <t>NULL</t>
        </is>
      </c>
      <c r="J377" s="0" t="inlineStr">
        <is>
          <t>NULL</t>
        </is>
      </c>
      <c r="K377" s="0" t="inlineStr">
        <is>
          <t xml:space="preserve"> NO!  	 c_dt2_2列源备映射错误，源端为datetime2 None位	期望更改为text	实际备端为datetime2 None位</t>
        </is>
      </c>
      <c r="BX377" s="0" t="inlineStr">
        <is>
          <t>42行 5列，源：2000-05-11 00:30:45.1235 +09:00 备：2013-03-12 02:00:00.0000 -04:25</t>
        </is>
      </c>
      <c r="CM377" s="0" t="inlineStr">
        <is>
          <t>22行 5列，源：None 备：</t>
        </is>
      </c>
      <c r="EH377" s="0" t="inlineStr">
        <is>
          <t>23行 1列，源：123.0 备：</t>
        </is>
      </c>
      <c r="ES377" s="0" t="inlineStr">
        <is>
          <t>23行 1列，源：123.0 备：</t>
        </is>
      </c>
    </row>
    <row r="378">
      <c r="B378" s="0" t="inlineStr">
        <is>
          <t>NULL</t>
        </is>
      </c>
      <c r="C378" s="0" t="inlineStr">
        <is>
          <t>NULL</t>
        </is>
      </c>
      <c r="D378" s="0" t="inlineStr">
        <is>
          <t>NULL</t>
        </is>
      </c>
      <c r="E378" s="0" t="inlineStr">
        <is>
          <t>NULL</t>
        </is>
      </c>
      <c r="F378" s="0" t="inlineStr">
        <is>
          <t>NULL</t>
        </is>
      </c>
      <c r="G378" s="0" t="inlineStr">
        <is>
          <t>NULL</t>
        </is>
      </c>
      <c r="H378" s="0" t="inlineStr">
        <is>
          <t>NULL</t>
        </is>
      </c>
      <c r="I378" s="0" t="inlineStr">
        <is>
          <t>NULL</t>
        </is>
      </c>
      <c r="J378" s="0" t="inlineStr">
        <is>
          <t>NULL</t>
        </is>
      </c>
      <c r="K378" s="0" t="inlineStr">
        <is>
          <t xml:space="preserve"> NO!  	 c_dt2_3列源备映射错误，源端为datetime2 None位	期望更改为text	实际备端为datetime2 None位</t>
        </is>
      </c>
      <c r="BX378" s="0" t="inlineStr">
        <is>
          <t>42行 6列，源：2000-05-11 00:30:45.12346 +09:00 备：2013-03-12 02:00:00.00000 -04:25</t>
        </is>
      </c>
      <c r="CM378" s="0" t="inlineStr">
        <is>
          <t>22行 6列，源：None 备：</t>
        </is>
      </c>
      <c r="EH378" s="0" t="inlineStr">
        <is>
          <t>23行 2列，源：12345.0 备：</t>
        </is>
      </c>
      <c r="ES378" s="0" t="inlineStr">
        <is>
          <t>23行 2列，源：12345.0 备：</t>
        </is>
      </c>
    </row>
    <row r="379">
      <c r="B379" s="0" t="inlineStr">
        <is>
          <t>NULL</t>
        </is>
      </c>
      <c r="C379" s="0" t="inlineStr">
        <is>
          <t>NULL</t>
        </is>
      </c>
      <c r="D379" s="0" t="inlineStr">
        <is>
          <t>NULL</t>
        </is>
      </c>
      <c r="E379" s="0" t="inlineStr">
        <is>
          <t>NULL</t>
        </is>
      </c>
      <c r="F379" s="0" t="inlineStr">
        <is>
          <t>NULL</t>
        </is>
      </c>
      <c r="G379" s="0" t="inlineStr">
        <is>
          <t>NULL</t>
        </is>
      </c>
      <c r="H379" s="0" t="inlineStr">
        <is>
          <t>NULL</t>
        </is>
      </c>
      <c r="I379" s="0" t="inlineStr">
        <is>
          <t>NULL</t>
        </is>
      </c>
      <c r="J379" s="0" t="inlineStr">
        <is>
          <t>NULL</t>
        </is>
      </c>
      <c r="K379" s="0" t="inlineStr">
        <is>
          <t xml:space="preserve"> NO!  	 c_dt2_4列源备映射错误，源端为datetime2 None位	期望更改为text	实际备端为datetime2 None位</t>
        </is>
      </c>
      <c r="BX379" s="0" t="inlineStr">
        <is>
          <t>42行 7列，源：2000-05-11 00:30:45.123457 +09:00 备：2013-03-12 02:00:00.000000 -04:25</t>
        </is>
      </c>
      <c r="CM379" s="0" t="inlineStr">
        <is>
          <t>22行 7列，源：None 备：</t>
        </is>
      </c>
      <c r="EH379" s="0" t="inlineStr">
        <is>
          <t>23行 3列，源：1234567890.0 备：</t>
        </is>
      </c>
      <c r="ES379" s="0" t="inlineStr">
        <is>
          <t>23行 3列，源：1234567890.0 备：</t>
        </is>
      </c>
    </row>
    <row r="380">
      <c r="B380" s="0" t="inlineStr">
        <is>
          <t>NULL</t>
        </is>
      </c>
      <c r="C380" s="0" t="inlineStr">
        <is>
          <t>NULL</t>
        </is>
      </c>
      <c r="D380" s="0" t="inlineStr">
        <is>
          <t>NULL</t>
        </is>
      </c>
      <c r="E380" s="0" t="inlineStr">
        <is>
          <t>NULL</t>
        </is>
      </c>
      <c r="F380" s="0" t="inlineStr">
        <is>
          <t>NULL</t>
        </is>
      </c>
      <c r="G380" s="0" t="inlineStr">
        <is>
          <t>NULL</t>
        </is>
      </c>
      <c r="H380" s="0" t="inlineStr">
        <is>
          <t>NULL</t>
        </is>
      </c>
      <c r="I380" s="0" t="inlineStr">
        <is>
          <t>NULL</t>
        </is>
      </c>
      <c r="J380" s="0" t="inlineStr">
        <is>
          <t>NULL</t>
        </is>
      </c>
      <c r="K380" s="0" t="inlineStr">
        <is>
          <t xml:space="preserve"> NO!  	 c_dt2_5列源备映射错误，源端为datetime2 None位	期望更改为text	实际备端为datetime2 None位</t>
        </is>
      </c>
      <c r="BX380" s="0" t="inlineStr">
        <is>
          <t>42行 8列，源：2000-05-11 00:30:45.1234567 +09:00 备：2013-03-12 02:00:00.0000000 -04:25</t>
        </is>
      </c>
      <c r="CM380" s="0" t="inlineStr">
        <is>
          <t>22行 8列，源：None 备：-0.0000000001</t>
        </is>
      </c>
      <c r="EH380" s="0" t="inlineStr">
        <is>
          <t>23行 4列，源：1234567890123456.0 备：</t>
        </is>
      </c>
      <c r="ES380" s="0" t="inlineStr">
        <is>
          <t>23行 4列，源：1234567890123456.0 备：</t>
        </is>
      </c>
    </row>
    <row r="381">
      <c r="B381" s="0" t="inlineStr">
        <is>
          <t>NULL</t>
        </is>
      </c>
      <c r="C381" s="0" t="inlineStr">
        <is>
          <t>NULL</t>
        </is>
      </c>
      <c r="D381" s="0" t="inlineStr">
        <is>
          <t>NULL</t>
        </is>
      </c>
      <c r="E381" s="0" t="inlineStr">
        <is>
          <t>NULL</t>
        </is>
      </c>
      <c r="F381" s="0" t="inlineStr">
        <is>
          <t>NULL</t>
        </is>
      </c>
      <c r="G381" s="0" t="inlineStr">
        <is>
          <t>NULL</t>
        </is>
      </c>
      <c r="H381" s="0" t="inlineStr">
        <is>
          <t>NULL</t>
        </is>
      </c>
      <c r="I381" s="0" t="inlineStr">
        <is>
          <t>NULL</t>
        </is>
      </c>
      <c r="J381" s="0" t="inlineStr">
        <is>
          <t>NULL</t>
        </is>
      </c>
      <c r="K381" s="0" t="inlineStr">
        <is>
          <t xml:space="preserve"> NO!  	 c_dt2_6列源备映射错误，源端为datetime2 None位	期望更改为text	实际备端为datetime2 None位</t>
        </is>
      </c>
      <c r="BX381" s="0" t="inlineStr">
        <is>
          <t>43行 0列，源：129 备：31</t>
        </is>
      </c>
      <c r="CM381" s="0" t="inlineStr">
        <is>
          <t>22行 9列，源：None 备：</t>
        </is>
      </c>
      <c r="EH381" s="0" t="inlineStr">
        <is>
          <t>23行 5列，源：None 备：</t>
        </is>
      </c>
      <c r="ES381" s="0" t="inlineStr">
        <is>
          <t>23行 5列，源：None 备：</t>
        </is>
      </c>
    </row>
    <row r="382">
      <c r="B382" s="0" t="inlineStr">
        <is>
          <t>NULL</t>
        </is>
      </c>
      <c r="C382" s="0" t="inlineStr">
        <is>
          <t>NULL</t>
        </is>
      </c>
      <c r="D382" s="0" t="inlineStr">
        <is>
          <t>NULL</t>
        </is>
      </c>
      <c r="E382" s="0" t="inlineStr">
        <is>
          <t>NULL</t>
        </is>
      </c>
      <c r="F382" s="0" t="inlineStr">
        <is>
          <t>NULL</t>
        </is>
      </c>
      <c r="G382" s="0" t="inlineStr">
        <is>
          <t>NULL</t>
        </is>
      </c>
      <c r="H382" s="0" t="inlineStr">
        <is>
          <t>NULL</t>
        </is>
      </c>
      <c r="I382" s="0" t="inlineStr">
        <is>
          <t>NULL</t>
        </is>
      </c>
      <c r="J382" s="0" t="inlineStr">
        <is>
          <t>NULL</t>
        </is>
      </c>
      <c r="K382" s="0" t="inlineStr">
        <is>
          <t xml:space="preserve"> NO!  	 c_dt2列源备映射错误，源端为datetime2 None位	期望更改为text	实际备端为datetime2 None位</t>
        </is>
      </c>
      <c r="BX382" s="0" t="inlineStr">
        <is>
          <t>43行 1列，源：1999-05-16 01:30:45 +10:15 备：2003-11-05 02:00:00 -05:10</t>
        </is>
      </c>
      <c r="CM382" s="0" t="inlineStr">
        <is>
          <t>22行 10列，源：None 备：</t>
        </is>
      </c>
      <c r="EH382" s="0" t="inlineStr">
        <is>
          <t>23行 6列，源：None 备：</t>
        </is>
      </c>
      <c r="ES382" s="0" t="inlineStr">
        <is>
          <t>23行 6列，源：None 备：</t>
        </is>
      </c>
    </row>
    <row r="383">
      <c r="A383" s="0" t="inlineStr">
        <is>
          <t>info_nchar_dml_batch1_pk_irp2</t>
        </is>
      </c>
      <c r="K383" s="0" t="inlineStr">
        <is>
          <t>[0;34m info_nchar_dml_batch1_pk_irp2 [0m源备字段数相同，源端字段：4 	备端字段4</t>
        </is>
      </c>
      <c r="W383" s="2">
        <f>HYPERLINK("#2026041905hbase4!BL2","NO 源备存在差异，共167个")</f>
        <v/>
      </c>
      <c r="X383" s="0">
        <f>A383</f>
        <v/>
      </c>
      <c r="BX383" s="0" t="inlineStr">
        <is>
          <t>43行 2列，源：1999-05-16 01:30:45.1 +10:15 备：2003-11-05 02:00:00.0 -05:10</t>
        </is>
      </c>
      <c r="CM383" s="0" t="inlineStr">
        <is>
          <t>22行 11列，源：None 备：</t>
        </is>
      </c>
      <c r="EH383" s="0" t="inlineStr">
        <is>
          <t>23行 7列，源：None 备：</t>
        </is>
      </c>
      <c r="ES383" s="0" t="inlineStr">
        <is>
          <t>23行 7列，源：None 备：</t>
        </is>
      </c>
    </row>
    <row r="384">
      <c r="B384" s="0" t="inlineStr">
        <is>
          <t>YES</t>
        </is>
      </c>
      <c r="C384" s="0" t="inlineStr">
        <is>
          <t>NULL</t>
        </is>
      </c>
      <c r="D384" s="0" t="inlineStr">
        <is>
          <t>NULL</t>
        </is>
      </c>
      <c r="E384" s="0" t="inlineStr">
        <is>
          <t>NULL</t>
        </is>
      </c>
      <c r="F384" s="0" t="inlineStr">
        <is>
          <t>NULL</t>
        </is>
      </c>
      <c r="G384" s="0" t="inlineStr">
        <is>
          <t>NULL</t>
        </is>
      </c>
      <c r="H384" s="0" t="inlineStr">
        <is>
          <t>NULL</t>
        </is>
      </c>
      <c r="I384" s="0" t="inlineStr">
        <is>
          <t>YES!PK__info_nch__3213E83FD5FFAC5C</t>
        </is>
      </c>
      <c r="J384" s="0" t="inlineStr">
        <is>
          <t>YES! 主键相关索引</t>
        </is>
      </c>
      <c r="K384" s="0" t="inlineStr">
        <is>
          <t xml:space="preserve"> NO!  	 id列源备映射错误，源端为int None位	期望更改为text	实际备端为int None位</t>
        </is>
      </c>
      <c r="BX384" s="0" t="inlineStr">
        <is>
          <t>43行 3列，源：1999-05-16 01:30:45.12 +10:15 备：2003-11-05 02:00:00.00 -05:10</t>
        </is>
      </c>
      <c r="CM384" s="0" t="inlineStr">
        <is>
          <t>22行 12列，源：None 备：</t>
        </is>
      </c>
      <c r="EH384" s="0" t="inlineStr">
        <is>
          <t>23行 8列，源：None 备：</t>
        </is>
      </c>
      <c r="ES384" s="0" t="inlineStr">
        <is>
          <t>23行 8列，源：None 备：</t>
        </is>
      </c>
    </row>
    <row r="385">
      <c r="B385" s="0" t="inlineStr">
        <is>
          <t>NULL</t>
        </is>
      </c>
      <c r="C385" s="0" t="inlineStr">
        <is>
          <t>NULL</t>
        </is>
      </c>
      <c r="D385" s="0" t="inlineStr">
        <is>
          <t>NULL</t>
        </is>
      </c>
      <c r="E385" s="0" t="inlineStr">
        <is>
          <t>NULL</t>
        </is>
      </c>
      <c r="F385" s="0" t="inlineStr">
        <is>
          <t>NULL</t>
        </is>
      </c>
      <c r="G385" s="0" t="inlineStr">
        <is>
          <t>NULL</t>
        </is>
      </c>
      <c r="H385" s="0" t="inlineStr">
        <is>
          <t>NULL</t>
        </is>
      </c>
      <c r="I385" s="0" t="inlineStr">
        <is>
          <t>NULL</t>
        </is>
      </c>
      <c r="J385" s="0" t="inlineStr">
        <is>
          <t>NULL</t>
        </is>
      </c>
      <c r="K385" s="0" t="inlineStr">
        <is>
          <t xml:space="preserve"> NO!  	 c_nchar列源备映射错误，源端为nchar 2位	期望更改为text	实际备端为nchar 2位</t>
        </is>
      </c>
      <c r="BX385" s="0" t="inlineStr">
        <is>
          <t>43行 4列，源：1999-05-16 01:30:45.123 +10:15 备：2003-11-05 02:00:00.000 -05:10</t>
        </is>
      </c>
      <c r="CM385" s="0" t="inlineStr">
        <is>
          <t>22行 13列，源：None 备：</t>
        </is>
      </c>
      <c r="EH385" s="0" t="inlineStr">
        <is>
          <t>23行 9列，源：None 备：</t>
        </is>
      </c>
      <c r="ES385" s="0" t="inlineStr">
        <is>
          <t>23行 9列，源：None 备：</t>
        </is>
      </c>
    </row>
    <row r="386">
      <c r="B386" s="0" t="inlineStr">
        <is>
          <t>NULL</t>
        </is>
      </c>
      <c r="C386" s="0" t="inlineStr">
        <is>
          <t>NULL</t>
        </is>
      </c>
      <c r="D386" s="0" t="inlineStr">
        <is>
          <t>NULL</t>
        </is>
      </c>
      <c r="E386" s="0" t="inlineStr">
        <is>
          <t>NULL</t>
        </is>
      </c>
      <c r="F386" s="0" t="inlineStr">
        <is>
          <t>NULL</t>
        </is>
      </c>
      <c r="G386" s="0" t="inlineStr">
        <is>
          <t>NULL</t>
        </is>
      </c>
      <c r="H386" s="0" t="inlineStr">
        <is>
          <t>NULL</t>
        </is>
      </c>
      <c r="I386" s="0" t="inlineStr">
        <is>
          <t>NULL</t>
        </is>
      </c>
      <c r="J386" s="0" t="inlineStr">
        <is>
          <t>NULL</t>
        </is>
      </c>
      <c r="K386" s="0" t="inlineStr">
        <is>
          <t xml:space="preserve"> NO!  	 c_nchar20列源备映射错误，源端为nchar 40位	期望更改为text	实际备端为nchar 40位</t>
        </is>
      </c>
      <c r="BX386" s="0" t="inlineStr">
        <is>
          <t>43行 5列，源：1999-05-16 01:30:45.1235 +10:15 备：2003-11-05 02:00:00.0000 -05:10</t>
        </is>
      </c>
      <c r="CM386" s="0" t="inlineStr">
        <is>
          <t>22行 14列，源：None 备：</t>
        </is>
      </c>
      <c r="EH386" s="0" t="inlineStr">
        <is>
          <t>23行 10列，源：None 备：</t>
        </is>
      </c>
      <c r="ES386" s="0" t="inlineStr">
        <is>
          <t>23行 10列，源：None 备：</t>
        </is>
      </c>
    </row>
    <row r="387">
      <c r="B387" s="0" t="inlineStr">
        <is>
          <t>NULL</t>
        </is>
      </c>
      <c r="C387" s="0" t="inlineStr">
        <is>
          <t>NULL</t>
        </is>
      </c>
      <c r="D387" s="0" t="inlineStr">
        <is>
          <t>NULL</t>
        </is>
      </c>
      <c r="E387" s="0" t="inlineStr">
        <is>
          <t>NULL</t>
        </is>
      </c>
      <c r="F387" s="0" t="inlineStr">
        <is>
          <t>NULL</t>
        </is>
      </c>
      <c r="G387" s="0" t="inlineStr">
        <is>
          <t>NULL</t>
        </is>
      </c>
      <c r="H387" s="0" t="inlineStr">
        <is>
          <t>NULL</t>
        </is>
      </c>
      <c r="I387" s="0" t="inlineStr">
        <is>
          <t>NULL</t>
        </is>
      </c>
      <c r="J387" s="0" t="inlineStr">
        <is>
          <t>NULL</t>
        </is>
      </c>
      <c r="K387" s="0" t="inlineStr">
        <is>
          <t xml:space="preserve"> NO!  	 c_nchar3500列源备映射错误，源端为nchar 7000位	期望更改为text	实际备端为nchar 7000位</t>
        </is>
      </c>
      <c r="BX387" s="0" t="inlineStr">
        <is>
          <t>43行 6列，源：1999-05-16 01:30:45.12346 +10:15 备：2003-11-05 02:00:00.00000 -05:10</t>
        </is>
      </c>
      <c r="CM387" s="0" t="inlineStr">
        <is>
          <t>22行 15列，源：nan 备：</t>
        </is>
      </c>
      <c r="EH387" s="0" t="inlineStr">
        <is>
          <t>23行 11列，源：None 备：</t>
        </is>
      </c>
      <c r="ES387" s="0" t="inlineStr">
        <is>
          <t>23行 11列，源：None 备：</t>
        </is>
      </c>
    </row>
    <row r="388">
      <c r="A388" s="0" t="inlineStr">
        <is>
          <t>info_char_dml_batch2_pk_irp2</t>
        </is>
      </c>
      <c r="K388" s="0" t="inlineStr">
        <is>
          <t>[0;34m info_char_dml_batch2_pk_irp2 [0m源备字段数相同，源端字段：4 	备端字段4</t>
        </is>
      </c>
      <c r="W388" s="0" t="inlineStr">
        <is>
          <t>YES 源备无差异</t>
        </is>
      </c>
      <c r="X388" s="0">
        <f>A388</f>
        <v/>
      </c>
      <c r="BX388" s="0" t="inlineStr">
        <is>
          <t>43行 7列，源：1999-05-16 01:30:45.123457 +10:15 备：2003-11-05 02:00:00.000000 -05:10</t>
        </is>
      </c>
      <c r="CM388" s="0" t="inlineStr">
        <is>
          <t>22行 16列，源：nan 备：</t>
        </is>
      </c>
      <c r="EH388" s="0" t="inlineStr">
        <is>
          <t>23行 12列，源：None 备：</t>
        </is>
      </c>
      <c r="ES388" s="0" t="inlineStr">
        <is>
          <t>23行 12列，源：None 备：</t>
        </is>
      </c>
    </row>
    <row r="389">
      <c r="B389" s="0" t="inlineStr">
        <is>
          <t>YES</t>
        </is>
      </c>
      <c r="C389" s="0" t="inlineStr">
        <is>
          <t>NULL</t>
        </is>
      </c>
      <c r="D389" s="0" t="inlineStr">
        <is>
          <t>NULL</t>
        </is>
      </c>
      <c r="E389" s="0" t="inlineStr">
        <is>
          <t>NULL</t>
        </is>
      </c>
      <c r="F389" s="0" t="inlineStr">
        <is>
          <t>NULL</t>
        </is>
      </c>
      <c r="G389" s="0" t="inlineStr">
        <is>
          <t>NULL</t>
        </is>
      </c>
      <c r="H389" s="0" t="inlineStr">
        <is>
          <t>NULL</t>
        </is>
      </c>
      <c r="I389" s="0" t="inlineStr">
        <is>
          <t>YES!PK__info_cha__3213E83FF1773D01</t>
        </is>
      </c>
      <c r="J389" s="0" t="inlineStr">
        <is>
          <t>YES! 主键相关索引</t>
        </is>
      </c>
      <c r="K389" s="0" t="inlineStr">
        <is>
          <t xml:space="preserve"> NO!  	 id列源备映射错误，源端为int None位	期望更改为text	实际备端为int None位</t>
        </is>
      </c>
      <c r="BX389" s="0" t="inlineStr">
        <is>
          <t>43行 8列，源：1999-05-16 01:30:45.1234567 +10:15 备：2003-11-05 02:00:00.0000000 -05:10</t>
        </is>
      </c>
      <c r="CM389" s="0" t="inlineStr">
        <is>
          <t>22行 17列，源：None 备：</t>
        </is>
      </c>
      <c r="EH389" s="0" t="inlineStr">
        <is>
          <t>23行 13列，源：None 备：</t>
        </is>
      </c>
      <c r="ES389" s="0" t="inlineStr">
        <is>
          <t>23行 13列，源：None 备：</t>
        </is>
      </c>
    </row>
    <row r="390">
      <c r="B390" s="0" t="inlineStr">
        <is>
          <t>NULL</t>
        </is>
      </c>
      <c r="C390" s="0" t="inlineStr">
        <is>
          <t>NULL</t>
        </is>
      </c>
      <c r="D390" s="0" t="inlineStr">
        <is>
          <t>NULL</t>
        </is>
      </c>
      <c r="E390" s="0" t="inlineStr">
        <is>
          <t>NULL</t>
        </is>
      </c>
      <c r="F390" s="0" t="inlineStr">
        <is>
          <t>NULL</t>
        </is>
      </c>
      <c r="G390" s="0" t="inlineStr">
        <is>
          <t>NULL</t>
        </is>
      </c>
      <c r="H390" s="0" t="inlineStr">
        <is>
          <t>NULL</t>
        </is>
      </c>
      <c r="I390" s="0" t="inlineStr">
        <is>
          <t>NULL</t>
        </is>
      </c>
      <c r="J390" s="0" t="inlineStr">
        <is>
          <t>NULL</t>
        </is>
      </c>
      <c r="K390" s="0" t="inlineStr">
        <is>
          <t xml:space="preserve"> NO!  	 c_char列源备映射错误，源端为char 1位	期望更改为text	实际备端为char 1位</t>
        </is>
      </c>
      <c r="BX390" s="0" t="inlineStr">
        <is>
          <t>44行 0列，源：130 备：32</t>
        </is>
      </c>
      <c r="CM390" s="0" t="inlineStr">
        <is>
          <t>22行 18列，源：None 备：</t>
        </is>
      </c>
      <c r="EH390" s="0" t="inlineStr">
        <is>
          <t>23行 14列，源：None 备：</t>
        </is>
      </c>
      <c r="ES390" s="0" t="inlineStr">
        <is>
          <t>23行 14列，源：None 备：</t>
        </is>
      </c>
    </row>
    <row r="391">
      <c r="B391" s="0" t="inlineStr">
        <is>
          <t>NULL</t>
        </is>
      </c>
      <c r="C391" s="0" t="inlineStr">
        <is>
          <t>NULL</t>
        </is>
      </c>
      <c r="D391" s="0" t="inlineStr">
        <is>
          <t>NULL</t>
        </is>
      </c>
      <c r="E391" s="0" t="inlineStr">
        <is>
          <t>NULL</t>
        </is>
      </c>
      <c r="F391" s="0" t="inlineStr">
        <is>
          <t>NULL</t>
        </is>
      </c>
      <c r="G391" s="0" t="inlineStr">
        <is>
          <t>NULL</t>
        </is>
      </c>
      <c r="H391" s="0" t="inlineStr">
        <is>
          <t>NULL</t>
        </is>
      </c>
      <c r="I391" s="0" t="inlineStr">
        <is>
          <t>NULL</t>
        </is>
      </c>
      <c r="J391" s="0" t="inlineStr">
        <is>
          <t>NULL</t>
        </is>
      </c>
      <c r="K391" s="0" t="inlineStr">
        <is>
          <t xml:space="preserve"> NO!  	 c_char20列源备映射错误，源端为char 20位	期望更改为text	实际备端为char 20位</t>
        </is>
      </c>
      <c r="BX391" s="0" t="inlineStr">
        <is>
          <t>44行 1列，源：2013-03-12 02:00:00 -04:25 备：2025-05-12 00:00:00 -14:00</t>
        </is>
      </c>
      <c r="CM391" s="0" t="inlineStr">
        <is>
          <t>22行 19列，源：True 备：</t>
        </is>
      </c>
      <c r="EH391" s="0" t="inlineStr">
        <is>
          <t>23行 15列，源：nan 备：</t>
        </is>
      </c>
      <c r="ES391" s="0" t="inlineStr">
        <is>
          <t>23行 15列，源：nan 备：</t>
        </is>
      </c>
    </row>
    <row r="392">
      <c r="B392" s="0" t="inlineStr">
        <is>
          <t>NULL</t>
        </is>
      </c>
      <c r="C392" s="0" t="inlineStr">
        <is>
          <t>NULL</t>
        </is>
      </c>
      <c r="D392" s="0" t="inlineStr">
        <is>
          <t>NULL</t>
        </is>
      </c>
      <c r="E392" s="0" t="inlineStr">
        <is>
          <t>NULL</t>
        </is>
      </c>
      <c r="F392" s="0" t="inlineStr">
        <is>
          <t>NULL</t>
        </is>
      </c>
      <c r="G392" s="0" t="inlineStr">
        <is>
          <t>NULL</t>
        </is>
      </c>
      <c r="H392" s="0" t="inlineStr">
        <is>
          <t>NULL</t>
        </is>
      </c>
      <c r="I392" s="0" t="inlineStr">
        <is>
          <t>NULL</t>
        </is>
      </c>
      <c r="J392" s="0" t="inlineStr">
        <is>
          <t>NULL</t>
        </is>
      </c>
      <c r="K392" s="0" t="inlineStr">
        <is>
          <t xml:space="preserve"> NO!  	 c_char200列源备映射错误，源端为char 200位	期望更改为text	实际备端为char 200位</t>
        </is>
      </c>
      <c r="BX392" s="0" t="inlineStr">
        <is>
          <t>44行 2列，源：2013-03-12 02:00:00.0 -04:25 备：2025-05-12 00:00:00.0 -14:00</t>
        </is>
      </c>
      <c r="EH392" s="0" t="inlineStr">
        <is>
          <t>23行 16列，源：nan 备：</t>
        </is>
      </c>
      <c r="ES392" s="0" t="inlineStr">
        <is>
          <t>23行 16列，源：nan 备：</t>
        </is>
      </c>
    </row>
    <row r="393">
      <c r="K393" s="0" t="inlineStr">
        <is>
          <t>~ 空表</t>
        </is>
      </c>
      <c r="BX393" s="0" t="inlineStr">
        <is>
          <t>44行 3列，源：2013-03-12 02:00:00.00 -04:25 备：2025-05-12 00:00:00.00 -14:00</t>
        </is>
      </c>
      <c r="EH393" s="0" t="inlineStr">
        <is>
          <t>23行 17列，源：None 备：</t>
        </is>
      </c>
      <c r="ES393" s="0" t="inlineStr">
        <is>
          <t>23行 17列，源：None 备：</t>
        </is>
      </c>
    </row>
    <row r="394">
      <c r="A394" s="0" t="inlineStr">
        <is>
          <t>info_date_dml_single_pk_urp</t>
        </is>
      </c>
      <c r="K394" s="0" t="inlineStr">
        <is>
          <t>[0;34m info_date_dml_single_pk_urp [0m源备字段数相同，源端字段：2 	备端字段2</t>
        </is>
      </c>
      <c r="W394" s="2">
        <f>HYPERLINK("#2026041905hbase4!BM2","NO 源备存在差异，共1个")</f>
        <v/>
      </c>
      <c r="X394" s="0">
        <f>A394</f>
        <v/>
      </c>
      <c r="BX394" s="0" t="inlineStr">
        <is>
          <t>44行 4列，源：2013-03-12 02:00:00.000 -04:25 备：2025-05-12 00:00:00.000 -14:00</t>
        </is>
      </c>
      <c r="EH394" s="0" t="inlineStr">
        <is>
          <t>23行 18列，源：None 备：</t>
        </is>
      </c>
      <c r="ES394" s="0" t="inlineStr">
        <is>
          <t>23行 18列，源：None 备：</t>
        </is>
      </c>
    </row>
    <row r="395">
      <c r="B395" s="0" t="inlineStr">
        <is>
          <t>YES</t>
        </is>
      </c>
      <c r="C395" s="0" t="inlineStr">
        <is>
          <t>NULL</t>
        </is>
      </c>
      <c r="D395" s="0" t="inlineStr">
        <is>
          <t>NULL</t>
        </is>
      </c>
      <c r="E395" s="0" t="inlineStr">
        <is>
          <t>NULL</t>
        </is>
      </c>
      <c r="F395" s="0" t="inlineStr">
        <is>
          <t>NULL</t>
        </is>
      </c>
      <c r="G395" s="0" t="inlineStr">
        <is>
          <t>NULL</t>
        </is>
      </c>
      <c r="H395" s="0" t="inlineStr">
        <is>
          <t>NULL</t>
        </is>
      </c>
      <c r="I395" s="0" t="inlineStr">
        <is>
          <t>YES!PK__info_dat__3213E83FD785C27E</t>
        </is>
      </c>
      <c r="J395" s="0" t="inlineStr">
        <is>
          <t>YES! 主键相关索引</t>
        </is>
      </c>
      <c r="K395" s="0" t="inlineStr">
        <is>
          <t xml:space="preserve"> NO!  	 id列源备映射错误，源端为int None位	期望更改为text	实际备端为int None位</t>
        </is>
      </c>
      <c r="BX395" s="0" t="inlineStr">
        <is>
          <t>44行 5列，源：2013-03-12 02:00:00.0000 -04:25 备：2025-05-12 00:00:00.0000 -14:00</t>
        </is>
      </c>
      <c r="EH395" s="0" t="inlineStr">
        <is>
          <t>23行 19列，源：None 备：</t>
        </is>
      </c>
      <c r="ES395" s="0" t="inlineStr">
        <is>
          <t>23行 19列，源：None 备：</t>
        </is>
      </c>
    </row>
    <row r="396">
      <c r="B396" s="0" t="inlineStr">
        <is>
          <t>NULL</t>
        </is>
      </c>
      <c r="C396" s="0" t="inlineStr">
        <is>
          <t>NULL</t>
        </is>
      </c>
      <c r="D396" s="0" t="inlineStr">
        <is>
          <t>NULL</t>
        </is>
      </c>
      <c r="E396" s="0" t="inlineStr">
        <is>
          <t>NULL</t>
        </is>
      </c>
      <c r="F396" s="0" t="inlineStr">
        <is>
          <t>NULL</t>
        </is>
      </c>
      <c r="G396" s="0" t="inlineStr">
        <is>
          <t>NULL</t>
        </is>
      </c>
      <c r="H396" s="0" t="inlineStr">
        <is>
          <t>NULL</t>
        </is>
      </c>
      <c r="I396" s="0" t="inlineStr">
        <is>
          <t>NULL</t>
        </is>
      </c>
      <c r="J396" s="0" t="inlineStr">
        <is>
          <t>NULL</t>
        </is>
      </c>
      <c r="K396" s="0" t="inlineStr">
        <is>
          <t xml:space="preserve"> NO!  	 c_date列源备映射错误，源端为date None位	期望更改为text	实际备端为date None位</t>
        </is>
      </c>
      <c r="BX396" s="0" t="inlineStr">
        <is>
          <t>44行 6列，源：2013-03-12 02:00:00.00000 -04:25 备：2025-05-12 00:00:00.00000 -14:00</t>
        </is>
      </c>
      <c r="EH396" s="0" t="inlineStr">
        <is>
          <t>24行 0列，源：55 备：13</t>
        </is>
      </c>
      <c r="ES396" s="0" t="inlineStr">
        <is>
          <t>24行 0列，源：55 备：13</t>
        </is>
      </c>
    </row>
    <row r="397">
      <c r="A397" s="0" t="inlineStr">
        <is>
          <t>info_datetime2_dml_batch1_pk_urp2</t>
        </is>
      </c>
      <c r="K397" s="0" t="inlineStr">
        <is>
          <t>[0;34m info_datetime2_dml_batch1_pk_urp2 [0m源备字段数相同，源端字段：9 	备端字段9</t>
        </is>
      </c>
      <c r="W397" s="2">
        <f>HYPERLINK("#2026041905hbase4!BN2","NO 源备存在差异，共15个")</f>
        <v/>
      </c>
      <c r="X397" s="0">
        <f>A397</f>
        <v/>
      </c>
      <c r="BX397" s="0" t="inlineStr">
        <is>
          <t>44行 7列，源：2013-03-12 02:00:00.000000 -04:25 备：2025-05-12 00:00:00.000000 -14:00</t>
        </is>
      </c>
      <c r="EH397" s="0" t="inlineStr">
        <is>
          <t>24行 1列，源：0.0 备：</t>
        </is>
      </c>
      <c r="ES397" s="0" t="inlineStr">
        <is>
          <t>24行 1列，源：0.0 备：</t>
        </is>
      </c>
    </row>
    <row r="398">
      <c r="B398" s="0" t="inlineStr">
        <is>
          <t>YES</t>
        </is>
      </c>
      <c r="C398" s="0" t="inlineStr">
        <is>
          <t>NULL</t>
        </is>
      </c>
      <c r="D398" s="0" t="inlineStr">
        <is>
          <t>NULL</t>
        </is>
      </c>
      <c r="E398" s="0" t="inlineStr">
        <is>
          <t>NULL</t>
        </is>
      </c>
      <c r="F398" s="0" t="inlineStr">
        <is>
          <t>NULL</t>
        </is>
      </c>
      <c r="G398" s="0" t="inlineStr">
        <is>
          <t>NULL</t>
        </is>
      </c>
      <c r="H398" s="0" t="inlineStr">
        <is>
          <t>NULL</t>
        </is>
      </c>
      <c r="I398" s="0" t="inlineStr">
        <is>
          <t>YES!PK__info_dat__3213E83F8DD61F52</t>
        </is>
      </c>
      <c r="J398" s="0" t="inlineStr">
        <is>
          <t>YES! 主键相关索引</t>
        </is>
      </c>
      <c r="K398" s="0" t="inlineStr">
        <is>
          <t xml:space="preserve"> NO!  	 id列源备映射错误，源端为int None位	期望更改为text	实际备端为int None位</t>
        </is>
      </c>
      <c r="BX398" s="0" t="inlineStr">
        <is>
          <t>44行 8列，源：2013-03-12 02:00:00.0000000 -04:25 备：2025-05-11 23:59:59.9999999 -14:00</t>
        </is>
      </c>
      <c r="EH398" s="0" t="inlineStr">
        <is>
          <t>24行 2列，源：0.0 备：</t>
        </is>
      </c>
      <c r="ES398" s="0" t="inlineStr">
        <is>
          <t>24行 2列，源：0.0 备：</t>
        </is>
      </c>
    </row>
    <row r="399">
      <c r="B399" s="0" t="inlineStr">
        <is>
          <t>NULL</t>
        </is>
      </c>
      <c r="C399" s="0" t="inlineStr">
        <is>
          <t>NULL</t>
        </is>
      </c>
      <c r="D399" s="0" t="inlineStr">
        <is>
          <t>NULL</t>
        </is>
      </c>
      <c r="E399" s="0" t="inlineStr">
        <is>
          <t>NULL</t>
        </is>
      </c>
      <c r="F399" s="0" t="inlineStr">
        <is>
          <t>NULL</t>
        </is>
      </c>
      <c r="G399" s="0" t="inlineStr">
        <is>
          <t>NULL</t>
        </is>
      </c>
      <c r="H399" s="0" t="inlineStr">
        <is>
          <t>NULL</t>
        </is>
      </c>
      <c r="I399" s="0" t="inlineStr">
        <is>
          <t>NULL</t>
        </is>
      </c>
      <c r="J399" s="0" t="inlineStr">
        <is>
          <t>NULL</t>
        </is>
      </c>
      <c r="K399" s="0" t="inlineStr">
        <is>
          <t xml:space="preserve"> NO!  	 c_dt2_0列源备映射错误，源端为datetime2 None位	期望更改为text	实际备端为datetime2 None位</t>
        </is>
      </c>
      <c r="BX399" s="0" t="inlineStr">
        <is>
          <t>45行 0列，源：131 备：323</t>
        </is>
      </c>
      <c r="EH399" s="0" t="inlineStr">
        <is>
          <t>24行 3列，源：0.0 备：</t>
        </is>
      </c>
      <c r="ES399" s="0" t="inlineStr">
        <is>
          <t>24行 3列，源：0.0 备：</t>
        </is>
      </c>
    </row>
    <row r="400">
      <c r="B400" s="0" t="inlineStr">
        <is>
          <t>NULL</t>
        </is>
      </c>
      <c r="C400" s="0" t="inlineStr">
        <is>
          <t>NULL</t>
        </is>
      </c>
      <c r="D400" s="0" t="inlineStr">
        <is>
          <t>NULL</t>
        </is>
      </c>
      <c r="E400" s="0" t="inlineStr">
        <is>
          <t>NULL</t>
        </is>
      </c>
      <c r="F400" s="0" t="inlineStr">
        <is>
          <t>NULL</t>
        </is>
      </c>
      <c r="G400" s="0" t="inlineStr">
        <is>
          <t>NULL</t>
        </is>
      </c>
      <c r="H400" s="0" t="inlineStr">
        <is>
          <t>NULL</t>
        </is>
      </c>
      <c r="I400" s="0" t="inlineStr">
        <is>
          <t>NULL</t>
        </is>
      </c>
      <c r="J400" s="0" t="inlineStr">
        <is>
          <t>NULL</t>
        </is>
      </c>
      <c r="K400" s="0" t="inlineStr">
        <is>
          <t xml:space="preserve"> NO!  	 c_dt2_1列源备映射错误，源端为datetime2 None位	期望更改为text	实际备端为datetime2 None位</t>
        </is>
      </c>
      <c r="BX400" s="0" t="inlineStr">
        <is>
          <t>45行 1列，源：2003-11-05 02:00:00 -05:10 备：2026-04-17 17:18:23 +08:00</t>
        </is>
      </c>
      <c r="EH400" s="0" t="inlineStr">
        <is>
          <t>24行 4列，源：0.0 备：</t>
        </is>
      </c>
      <c r="ES400" s="0" t="inlineStr">
        <is>
          <t>24行 4列，源：0.0 备：</t>
        </is>
      </c>
    </row>
    <row r="401">
      <c r="B401" s="0" t="inlineStr">
        <is>
          <t>NULL</t>
        </is>
      </c>
      <c r="C401" s="0" t="inlineStr">
        <is>
          <t>NULL</t>
        </is>
      </c>
      <c r="D401" s="0" t="inlineStr">
        <is>
          <t>NULL</t>
        </is>
      </c>
      <c r="E401" s="0" t="inlineStr">
        <is>
          <t>NULL</t>
        </is>
      </c>
      <c r="F401" s="0" t="inlineStr">
        <is>
          <t>NULL</t>
        </is>
      </c>
      <c r="G401" s="0" t="inlineStr">
        <is>
          <t>NULL</t>
        </is>
      </c>
      <c r="H401" s="0" t="inlineStr">
        <is>
          <t>NULL</t>
        </is>
      </c>
      <c r="I401" s="0" t="inlineStr">
        <is>
          <t>NULL</t>
        </is>
      </c>
      <c r="J401" s="0" t="inlineStr">
        <is>
          <t>NULL</t>
        </is>
      </c>
      <c r="K401" s="0" t="inlineStr">
        <is>
          <t xml:space="preserve"> NO!  	 c_dt2_2列源备映射错误，源端为datetime2 None位	期望更改为text	实际备端为datetime2 None位</t>
        </is>
      </c>
      <c r="BX401" s="0" t="inlineStr">
        <is>
          <t>45行 2列，源：2003-11-05 02:00:00.0 -05:10 备：2026-04-17 17:18:22.8 +08:00</t>
        </is>
      </c>
      <c r="EH401" s="0" t="inlineStr">
        <is>
          <t>24行 5列，源：None 备：-457</t>
        </is>
      </c>
      <c r="ES401" s="0" t="inlineStr">
        <is>
          <t>24行 5列，源：None 备：-457</t>
        </is>
      </c>
    </row>
    <row r="402">
      <c r="B402" s="0" t="inlineStr">
        <is>
          <t>NULL</t>
        </is>
      </c>
      <c r="C402" s="0" t="inlineStr">
        <is>
          <t>NULL</t>
        </is>
      </c>
      <c r="D402" s="0" t="inlineStr">
        <is>
          <t>NULL</t>
        </is>
      </c>
      <c r="E402" s="0" t="inlineStr">
        <is>
          <t>NULL</t>
        </is>
      </c>
      <c r="F402" s="0" t="inlineStr">
        <is>
          <t>NULL</t>
        </is>
      </c>
      <c r="G402" s="0" t="inlineStr">
        <is>
          <t>NULL</t>
        </is>
      </c>
      <c r="H402" s="0" t="inlineStr">
        <is>
          <t>NULL</t>
        </is>
      </c>
      <c r="I402" s="0" t="inlineStr">
        <is>
          <t>NULL</t>
        </is>
      </c>
      <c r="J402" s="0" t="inlineStr">
        <is>
          <t>NULL</t>
        </is>
      </c>
      <c r="K402" s="0" t="inlineStr">
        <is>
          <t xml:space="preserve"> NO!  	 c_dt2_3列源备映射错误，源端为datetime2 None位	期望更改为text	实际备端为datetime2 None位</t>
        </is>
      </c>
      <c r="BX402" s="0" t="inlineStr">
        <is>
          <t>45行 3列，源：2003-11-05 02:00:00.00 -05:10 备：2026-04-17 17:18:22.75 +08:00</t>
        </is>
      </c>
      <c r="EH402" s="0" t="inlineStr">
        <is>
          <t>24行 6列，源：None 备：-123456780123456781234589012345678</t>
        </is>
      </c>
      <c r="ES402" s="0" t="inlineStr">
        <is>
          <t>24行 6列，源：None 备：-123456780123456781234589012345678</t>
        </is>
      </c>
    </row>
    <row r="403">
      <c r="B403" s="0" t="inlineStr">
        <is>
          <t>NULL</t>
        </is>
      </c>
      <c r="C403" s="0" t="inlineStr">
        <is>
          <t>NULL</t>
        </is>
      </c>
      <c r="D403" s="0" t="inlineStr">
        <is>
          <t>NULL</t>
        </is>
      </c>
      <c r="E403" s="0" t="inlineStr">
        <is>
          <t>NULL</t>
        </is>
      </c>
      <c r="F403" s="0" t="inlineStr">
        <is>
          <t>NULL</t>
        </is>
      </c>
      <c r="G403" s="0" t="inlineStr">
        <is>
          <t>NULL</t>
        </is>
      </c>
      <c r="H403" s="0" t="inlineStr">
        <is>
          <t>NULL</t>
        </is>
      </c>
      <c r="I403" s="0" t="inlineStr">
        <is>
          <t>NULL</t>
        </is>
      </c>
      <c r="J403" s="0" t="inlineStr">
        <is>
          <t>NULL</t>
        </is>
      </c>
      <c r="K403" s="0" t="inlineStr">
        <is>
          <t xml:space="preserve"> NO!  	 c_dt2_4列源备映射错误，源端为datetime2 None位	期望更改为text	实际备端为datetime2 None位</t>
        </is>
      </c>
      <c r="BX403" s="0" t="inlineStr">
        <is>
          <t>45行 4列，源：2003-11-05 02:00:00.000 -05:10 备：2026-04-17 17:18:22.755 +08:00</t>
        </is>
      </c>
      <c r="EH403" s="0" t="inlineStr">
        <is>
          <t>24行 7列，源：None 备：-0.45678901234792345678901456789010000000</t>
        </is>
      </c>
      <c r="ES403" s="0" t="inlineStr">
        <is>
          <t>24行 7列，源：None 备：-0.45678901234792345678901456789010000000</t>
        </is>
      </c>
    </row>
    <row r="404">
      <c r="B404" s="0" t="inlineStr">
        <is>
          <t>NULL</t>
        </is>
      </c>
      <c r="C404" s="0" t="inlineStr">
        <is>
          <t>NULL</t>
        </is>
      </c>
      <c r="D404" s="0" t="inlineStr">
        <is>
          <t>NULL</t>
        </is>
      </c>
      <c r="E404" s="0" t="inlineStr">
        <is>
          <t>NULL</t>
        </is>
      </c>
      <c r="F404" s="0" t="inlineStr">
        <is>
          <t>NULL</t>
        </is>
      </c>
      <c r="G404" s="0" t="inlineStr">
        <is>
          <t>NULL</t>
        </is>
      </c>
      <c r="H404" s="0" t="inlineStr">
        <is>
          <t>NULL</t>
        </is>
      </c>
      <c r="I404" s="0" t="inlineStr">
        <is>
          <t>NULL</t>
        </is>
      </c>
      <c r="J404" s="0" t="inlineStr">
        <is>
          <t>NULL</t>
        </is>
      </c>
      <c r="K404" s="0" t="inlineStr">
        <is>
          <t xml:space="preserve"> NO!  	 c_dt2_5列源备映射错误，源端为datetime2 None位	期望更改为text	实际备端为datetime2 None位</t>
        </is>
      </c>
      <c r="BX404" s="0" t="inlineStr">
        <is>
          <t>45行 5列，源：2003-11-05 02:00:00.0000 -05:10 备：2026-04-17 17:18:22.7550 +08:00</t>
        </is>
      </c>
      <c r="EH404" s="0" t="inlineStr">
        <is>
          <t>24行 8列，源：None 备：-123456789012347890345678.9874321000</t>
        </is>
      </c>
      <c r="ES404" s="0" t="inlineStr">
        <is>
          <t>24行 8列，源：None 备：-123456789012347890345678.9874321000</t>
        </is>
      </c>
    </row>
    <row r="405">
      <c r="B405" s="0" t="inlineStr">
        <is>
          <t>NULL</t>
        </is>
      </c>
      <c r="C405" s="0" t="inlineStr">
        <is>
          <t>NULL</t>
        </is>
      </c>
      <c r="D405" s="0" t="inlineStr">
        <is>
          <t>NULL</t>
        </is>
      </c>
      <c r="E405" s="0" t="inlineStr">
        <is>
          <t>NULL</t>
        </is>
      </c>
      <c r="F405" s="0" t="inlineStr">
        <is>
          <t>NULL</t>
        </is>
      </c>
      <c r="G405" s="0" t="inlineStr">
        <is>
          <t>NULL</t>
        </is>
      </c>
      <c r="H405" s="0" t="inlineStr">
        <is>
          <t>NULL</t>
        </is>
      </c>
      <c r="I405" s="0" t="inlineStr">
        <is>
          <t>NULL</t>
        </is>
      </c>
      <c r="J405" s="0" t="inlineStr">
        <is>
          <t>NULL</t>
        </is>
      </c>
      <c r="K405" s="0" t="inlineStr">
        <is>
          <t xml:space="preserve"> NO!  	 c_dt2_6列源备映射错误，源端为datetime2 None位	期望更改为text	实际备端为datetime2 None位</t>
        </is>
      </c>
      <c r="BX405" s="0" t="inlineStr">
        <is>
          <t>45行 6列，源：2003-11-05 02:00:00.00000 -05:10 备：2026-04-17 17:18:22.75495 +08:00</t>
        </is>
      </c>
      <c r="EH405" s="0" t="inlineStr">
        <is>
          <t>24行 9列，源：None 备：-98743298765.4321</t>
        </is>
      </c>
      <c r="ES405" s="0" t="inlineStr">
        <is>
          <t>24行 9列，源：None 备：-98743298765.4321</t>
        </is>
      </c>
    </row>
    <row r="406">
      <c r="B406" s="0" t="inlineStr">
        <is>
          <t>NULL</t>
        </is>
      </c>
      <c r="C406" s="0" t="inlineStr">
        <is>
          <t>NULL</t>
        </is>
      </c>
      <c r="D406" s="0" t="inlineStr">
        <is>
          <t>NULL</t>
        </is>
      </c>
      <c r="E406" s="0" t="inlineStr">
        <is>
          <t>NULL</t>
        </is>
      </c>
      <c r="F406" s="0" t="inlineStr">
        <is>
          <t>NULL</t>
        </is>
      </c>
      <c r="G406" s="0" t="inlineStr">
        <is>
          <t>NULL</t>
        </is>
      </c>
      <c r="H406" s="0" t="inlineStr">
        <is>
          <t>NULL</t>
        </is>
      </c>
      <c r="I406" s="0" t="inlineStr">
        <is>
          <t>NULL</t>
        </is>
      </c>
      <c r="J406" s="0" t="inlineStr">
        <is>
          <t>NULL</t>
        </is>
      </c>
      <c r="K406" s="0" t="inlineStr">
        <is>
          <t xml:space="preserve"> NO!  	 c_dt2列源备映射错误，源端为datetime2 None位	期望更改为text	实际备端为datetime2 None位</t>
        </is>
      </c>
      <c r="BX406" s="0" t="inlineStr">
        <is>
          <t>45行 7列，源：2003-11-05 02:00:00.000000 -05:10 备：2026-04-17 17:18:22.754952 +08:00</t>
        </is>
      </c>
      <c r="EH406" s="0" t="inlineStr">
        <is>
          <t>24行 10列，源：None 备：-321</t>
        </is>
      </c>
      <c r="ES406" s="0" t="inlineStr">
        <is>
          <t>24行 10列，源：None 备：-321</t>
        </is>
      </c>
    </row>
    <row r="407">
      <c r="A407" s="0" t="inlineStr">
        <is>
          <t>info_varcharmax_dml_batch1_pk_irp1</t>
        </is>
      </c>
      <c r="K407" s="0" t="inlineStr">
        <is>
          <t>[0;34m info_varcharmax_dml_batch1_pk_irp1 [0m源备字段数相同，源端字段：3 	备端字段3</t>
        </is>
      </c>
      <c r="W407" s="0" t="inlineStr">
        <is>
          <t>YES 源备无差异</t>
        </is>
      </c>
      <c r="X407" s="0">
        <f>A407</f>
        <v/>
      </c>
      <c r="BX407" s="0" t="inlineStr">
        <is>
          <t>45行 8列，源：2003-11-05 02:00:00.0000000 -05:10 备：2026-04-17 17:18:22.7549521 +08:00</t>
        </is>
      </c>
      <c r="EH407" s="0" t="inlineStr">
        <is>
          <t>24行 11列，源：None 备：-987654321096543210987654321098765432</t>
        </is>
      </c>
      <c r="ES407" s="0" t="inlineStr">
        <is>
          <t>24行 11列，源：None 备：-987654321096543210987654321098765432</t>
        </is>
      </c>
    </row>
    <row r="408">
      <c r="B408" s="0" t="inlineStr">
        <is>
          <t>YES</t>
        </is>
      </c>
      <c r="C408" s="0" t="inlineStr">
        <is>
          <t>NULL</t>
        </is>
      </c>
      <c r="D408" s="0" t="inlineStr">
        <is>
          <t>NULL</t>
        </is>
      </c>
      <c r="E408" s="0" t="inlineStr">
        <is>
          <t>NULL</t>
        </is>
      </c>
      <c r="F408" s="0" t="inlineStr">
        <is>
          <t>NULL</t>
        </is>
      </c>
      <c r="G408" s="0" t="inlineStr">
        <is>
          <t>NULL</t>
        </is>
      </c>
      <c r="H408" s="0" t="inlineStr">
        <is>
          <t>NULL</t>
        </is>
      </c>
      <c r="I408" s="0" t="inlineStr">
        <is>
          <t>YES!PK__info_var__3213E83F2FF7F6A1</t>
        </is>
      </c>
      <c r="J408" s="0" t="inlineStr">
        <is>
          <t>YES! 主键相关索引</t>
        </is>
      </c>
      <c r="K408" s="0" t="inlineStr">
        <is>
          <t xml:space="preserve"> NO!  	 id列源备映射错误，源端为int None位	期望更改为text	实际备端为int None位</t>
        </is>
      </c>
      <c r="BX408" s="0" t="inlineStr">
        <is>
          <t>46行 0列，源：132 备：33</t>
        </is>
      </c>
      <c r="EH408" s="0" t="inlineStr">
        <is>
          <t>24行 12列，源：None 备：-0.12345690123456712345678901234567800000</t>
        </is>
      </c>
      <c r="ES408" s="0" t="inlineStr">
        <is>
          <t>24行 12列，源：None 备：-0.12345690123456712345678901234567800000</t>
        </is>
      </c>
    </row>
    <row r="409">
      <c r="B409" s="0" t="inlineStr">
        <is>
          <t>NULL</t>
        </is>
      </c>
      <c r="C409" s="0" t="inlineStr">
        <is>
          <t>NULL</t>
        </is>
      </c>
      <c r="D409" s="0" t="inlineStr">
        <is>
          <t>NULL</t>
        </is>
      </c>
      <c r="E409" s="0" t="inlineStr">
        <is>
          <t>NULL</t>
        </is>
      </c>
      <c r="F409" s="0" t="inlineStr">
        <is>
          <t>NULL</t>
        </is>
      </c>
      <c r="G409" s="0" t="inlineStr">
        <is>
          <t>NULL</t>
        </is>
      </c>
      <c r="H409" s="0" t="inlineStr">
        <is>
          <t>NULL</t>
        </is>
      </c>
      <c r="I409" s="0" t="inlineStr">
        <is>
          <t>NULL</t>
        </is>
      </c>
      <c r="J409" s="0" t="inlineStr">
        <is>
          <t>NULL</t>
        </is>
      </c>
      <c r="K409" s="0" t="inlineStr">
        <is>
          <t xml:space="preserve"> NO!  	 c_varchar_max列源备映射错误，源端为varchar -1位	期望更改为text	实际备端为varchar -1位</t>
        </is>
      </c>
      <c r="BX409" s="0" t="inlineStr">
        <is>
          <t>46行 1列，源：2025-05-12 00:00:00 -14:00 备：1971-05-11 00:00:00 +14:00</t>
        </is>
      </c>
      <c r="EH409" s="0" t="inlineStr">
        <is>
          <t>24行 13列，源：None 备：-6543210976543287654321.0987654321</t>
        </is>
      </c>
      <c r="ES409" s="0" t="inlineStr">
        <is>
          <t>24行 13列，源：None 备：-6543210976543287654321.0987654321</t>
        </is>
      </c>
    </row>
    <row r="410">
      <c r="B410" s="0" t="inlineStr">
        <is>
          <t>NULL</t>
        </is>
      </c>
      <c r="C410" s="0" t="inlineStr">
        <is>
          <t>NULL</t>
        </is>
      </c>
      <c r="D410" s="0" t="inlineStr">
        <is>
          <t>NULL</t>
        </is>
      </c>
      <c r="E410" s="0" t="inlineStr">
        <is>
          <t>NULL</t>
        </is>
      </c>
      <c r="F410" s="0" t="inlineStr">
        <is>
          <t>NULL</t>
        </is>
      </c>
      <c r="G410" s="0" t="inlineStr">
        <is>
          <t>NULL</t>
        </is>
      </c>
      <c r="H410" s="0" t="inlineStr">
        <is>
          <t>NULL</t>
        </is>
      </c>
      <c r="I410" s="0" t="inlineStr">
        <is>
          <t>NULL</t>
        </is>
      </c>
      <c r="J410" s="0" t="inlineStr">
        <is>
          <t>NULL</t>
        </is>
      </c>
      <c r="K410" s="0" t="inlineStr">
        <is>
          <t xml:space="preserve"> NO!  	 c_nvarchar_max列源备映射错误，源端为nvarchar -1位	期望更改为text	实际备端为nvarchar -1位</t>
        </is>
      </c>
      <c r="BX410" s="0" t="inlineStr">
        <is>
          <t>46行 2列，源：2025-05-12 00:00:00.0 -14:00 备：1971-05-11 00:00:00.0 +14:00</t>
        </is>
      </c>
      <c r="EH410" s="0" t="inlineStr">
        <is>
          <t>24行 14列，源：None 备：-9876543210954.32</t>
        </is>
      </c>
      <c r="ES410" s="0" t="inlineStr">
        <is>
          <t>24行 14列，源：None 备：-9876543210954.32</t>
        </is>
      </c>
    </row>
    <row r="411">
      <c r="K411" s="0" t="inlineStr">
        <is>
          <t>~ 空表</t>
        </is>
      </c>
      <c r="BX411" s="0" t="inlineStr">
        <is>
          <t>46行 3列，源：2025-05-12 00:00:00.00 -14:00 备：1971-05-11 00:00:00.00 +14:00</t>
        </is>
      </c>
      <c r="EH411" s="0" t="inlineStr">
        <is>
          <t>24行 15列，源：nan 备：</t>
        </is>
      </c>
      <c r="ES411" s="0" t="inlineStr">
        <is>
          <t>24行 15列，源：nan 备：</t>
        </is>
      </c>
    </row>
    <row r="412">
      <c r="A412" s="0" t="inlineStr">
        <is>
          <t>info_varcharmax_dml_batch1_pk_irp2</t>
        </is>
      </c>
      <c r="K412" s="0" t="inlineStr">
        <is>
          <t>[0;34m info_varcharmax_dml_batch1_pk_irp2 [0m源备字段数相同，源端字段：3 	备端字段3</t>
        </is>
      </c>
      <c r="W412" s="0" t="inlineStr">
        <is>
          <t>YES 源备无差异</t>
        </is>
      </c>
      <c r="X412" s="0">
        <f>A412</f>
        <v/>
      </c>
      <c r="BX412" s="0" t="inlineStr">
        <is>
          <t>46行 4列，源：2025-05-12 00:00:00.000 -14:00 备：1971-05-11 00:00:00.000 +14:00</t>
        </is>
      </c>
      <c r="EH412" s="0" t="inlineStr">
        <is>
          <t>24行 16列，源：nan 备：</t>
        </is>
      </c>
      <c r="ES412" s="0" t="inlineStr">
        <is>
          <t>24行 16列，源：nan 备：</t>
        </is>
      </c>
    </row>
    <row r="413">
      <c r="B413" s="0" t="inlineStr">
        <is>
          <t>YES</t>
        </is>
      </c>
      <c r="C413" s="0" t="inlineStr">
        <is>
          <t>NULL</t>
        </is>
      </c>
      <c r="D413" s="0" t="inlineStr">
        <is>
          <t>NULL</t>
        </is>
      </c>
      <c r="E413" s="0" t="inlineStr">
        <is>
          <t>NULL</t>
        </is>
      </c>
      <c r="F413" s="0" t="inlineStr">
        <is>
          <t>NULL</t>
        </is>
      </c>
      <c r="G413" s="0" t="inlineStr">
        <is>
          <t>NULL</t>
        </is>
      </c>
      <c r="H413" s="0" t="inlineStr">
        <is>
          <t>NULL</t>
        </is>
      </c>
      <c r="I413" s="0" t="inlineStr">
        <is>
          <t>YES!PK__info_var__3213E83F58E105F6</t>
        </is>
      </c>
      <c r="J413" s="0" t="inlineStr">
        <is>
          <t>YES! 主键相关索引</t>
        </is>
      </c>
      <c r="K413" s="0" t="inlineStr">
        <is>
          <t xml:space="preserve"> NO!  	 id列源备映射错误，源端为int None位	期望更改为text	实际备端为int None位</t>
        </is>
      </c>
      <c r="BX413" s="0" t="inlineStr">
        <is>
          <t>46行 5列，源：2025-05-12 00:00:00.0000 -14:00 备：1971-05-11 00:00:00.0000 +14:00</t>
        </is>
      </c>
      <c r="EH413" s="0" t="inlineStr">
        <is>
          <t>24行 17列，源：None 备：</t>
        </is>
      </c>
      <c r="ES413" s="0" t="inlineStr">
        <is>
          <t>24行 17列，源：None 备：</t>
        </is>
      </c>
    </row>
    <row r="414">
      <c r="B414" s="0" t="inlineStr">
        <is>
          <t>NULL</t>
        </is>
      </c>
      <c r="C414" s="0" t="inlineStr">
        <is>
          <t>NULL</t>
        </is>
      </c>
      <c r="D414" s="0" t="inlineStr">
        <is>
          <t>NULL</t>
        </is>
      </c>
      <c r="E414" s="0" t="inlineStr">
        <is>
          <t>NULL</t>
        </is>
      </c>
      <c r="F414" s="0" t="inlineStr">
        <is>
          <t>NULL</t>
        </is>
      </c>
      <c r="G414" s="0" t="inlineStr">
        <is>
          <t>NULL</t>
        </is>
      </c>
      <c r="H414" s="0" t="inlineStr">
        <is>
          <t>NULL</t>
        </is>
      </c>
      <c r="I414" s="0" t="inlineStr">
        <is>
          <t>NULL</t>
        </is>
      </c>
      <c r="J414" s="0" t="inlineStr">
        <is>
          <t>NULL</t>
        </is>
      </c>
      <c r="K414" s="0" t="inlineStr">
        <is>
          <t xml:space="preserve"> NO!  	 c_varchar_max列源备映射错误，源端为varchar -1位	期望更改为text	实际备端为varchar -1位</t>
        </is>
      </c>
      <c r="BX414" s="0" t="inlineStr">
        <is>
          <t>46行 6列，源：2025-05-12 00:00:00.00000 -14:00 备：1971-05-11 00:00:00.00000 +14:00</t>
        </is>
      </c>
      <c r="EH414" s="0" t="inlineStr">
        <is>
          <t>24行 18列，源：None 备：</t>
        </is>
      </c>
      <c r="ES414" s="0" t="inlineStr">
        <is>
          <t>24行 18列，源：None 备：</t>
        </is>
      </c>
    </row>
    <row r="415">
      <c r="B415" s="0" t="inlineStr">
        <is>
          <t>NULL</t>
        </is>
      </c>
      <c r="C415" s="0" t="inlineStr">
        <is>
          <t>NULL</t>
        </is>
      </c>
      <c r="D415" s="0" t="inlineStr">
        <is>
          <t>NULL</t>
        </is>
      </c>
      <c r="E415" s="0" t="inlineStr">
        <is>
          <t>NULL</t>
        </is>
      </c>
      <c r="F415" s="0" t="inlineStr">
        <is>
          <t>NULL</t>
        </is>
      </c>
      <c r="G415" s="0" t="inlineStr">
        <is>
          <t>NULL</t>
        </is>
      </c>
      <c r="H415" s="0" t="inlineStr">
        <is>
          <t>NULL</t>
        </is>
      </c>
      <c r="I415" s="0" t="inlineStr">
        <is>
          <t>NULL</t>
        </is>
      </c>
      <c r="J415" s="0" t="inlineStr">
        <is>
          <t>NULL</t>
        </is>
      </c>
      <c r="K415" s="0" t="inlineStr">
        <is>
          <t xml:space="preserve"> NO!  	 c_nvarchar_max列源备映射错误，源端为nvarchar -1位	期望更改为text	实际备端为nvarchar -1位</t>
        </is>
      </c>
      <c r="BX415" s="0" t="inlineStr">
        <is>
          <t>46行 7列，源：2025-05-12 00:00:00.000000 -14:00 备：1971-05-11 00:00:00.000000 +14:00</t>
        </is>
      </c>
      <c r="EH415" s="0" t="inlineStr">
        <is>
          <t>24行 19列，源：None 备：</t>
        </is>
      </c>
      <c r="ES415" s="0" t="inlineStr">
        <is>
          <t>24行 19列，源：None 备：</t>
        </is>
      </c>
    </row>
    <row r="416">
      <c r="K416" s="0" t="inlineStr">
        <is>
          <t>~ 空表</t>
        </is>
      </c>
      <c r="BX416" s="0" t="inlineStr">
        <is>
          <t>46行 8列，源：2025-05-11 23:59:59.9999999 -14:00 备：1971-05-11 00:00:00.0000001 +14:00</t>
        </is>
      </c>
      <c r="EH416" s="0" t="inlineStr">
        <is>
          <t>25行 0列，源：56 备：14</t>
        </is>
      </c>
      <c r="ES416" s="0" t="inlineStr">
        <is>
          <t>25行 0列，源：56 备：14</t>
        </is>
      </c>
    </row>
    <row r="417">
      <c r="A417" s="0" t="inlineStr">
        <is>
          <t>info_datetime2_dml_batch1_pk_drp1</t>
        </is>
      </c>
      <c r="K417" s="0" t="inlineStr">
        <is>
          <t>[0;34m info_datetime2_dml_batch1_pk_drp1 [0m源备字段数相同，源端字段：9 	备端字段9</t>
        </is>
      </c>
      <c r="W417" s="0" t="inlineStr">
        <is>
          <t>YES 源备无差异</t>
        </is>
      </c>
      <c r="X417" s="0">
        <f>A417</f>
        <v/>
      </c>
      <c r="BX417" s="0" t="inlineStr">
        <is>
          <t>47行 0列，源：133 备：373</t>
        </is>
      </c>
      <c r="EH417" s="0" t="inlineStr">
        <is>
          <t>25行 1列，源：127.0 备：</t>
        </is>
      </c>
      <c r="ES417" s="0" t="inlineStr">
        <is>
          <t>25行 1列，源：127.0 备：</t>
        </is>
      </c>
    </row>
    <row r="418">
      <c r="B418" s="0" t="inlineStr">
        <is>
          <t>YES</t>
        </is>
      </c>
      <c r="C418" s="0" t="inlineStr">
        <is>
          <t>NULL</t>
        </is>
      </c>
      <c r="D418" s="0" t="inlineStr">
        <is>
          <t>NULL</t>
        </is>
      </c>
      <c r="E418" s="0" t="inlineStr">
        <is>
          <t>NULL</t>
        </is>
      </c>
      <c r="F418" s="0" t="inlineStr">
        <is>
          <t>NULL</t>
        </is>
      </c>
      <c r="G418" s="0" t="inlineStr">
        <is>
          <t>NULL</t>
        </is>
      </c>
      <c r="H418" s="0" t="inlineStr">
        <is>
          <t>NULL</t>
        </is>
      </c>
      <c r="I418" s="0" t="inlineStr">
        <is>
          <t>YES!PK__info_dat__3213E83F059B3B82</t>
        </is>
      </c>
      <c r="J418" s="0" t="inlineStr">
        <is>
          <t>YES! 主键相关索引</t>
        </is>
      </c>
      <c r="K418" s="0" t="inlineStr">
        <is>
          <t xml:space="preserve"> NO!  	 id列源备映射错误，源端为int None位	期望更改为text	实际备端为int None位</t>
        </is>
      </c>
      <c r="BX418" s="0" t="inlineStr">
        <is>
          <t>47行 1列，源：1971-05-11 00:00:00 +14:00 备：2026-04-17 17:18:23 +08:00</t>
        </is>
      </c>
      <c r="EH418" s="0" t="inlineStr">
        <is>
          <t>25行 2列，源：255.0 备：</t>
        </is>
      </c>
      <c r="ES418" s="0" t="inlineStr">
        <is>
          <t>25行 2列，源：255.0 备：</t>
        </is>
      </c>
    </row>
    <row r="419">
      <c r="B419" s="0" t="inlineStr">
        <is>
          <t>NULL</t>
        </is>
      </c>
      <c r="C419" s="0" t="inlineStr">
        <is>
          <t>NULL</t>
        </is>
      </c>
      <c r="D419" s="0" t="inlineStr">
        <is>
          <t>NULL</t>
        </is>
      </c>
      <c r="E419" s="0" t="inlineStr">
        <is>
          <t>NULL</t>
        </is>
      </c>
      <c r="F419" s="0" t="inlineStr">
        <is>
          <t>NULL</t>
        </is>
      </c>
      <c r="G419" s="0" t="inlineStr">
        <is>
          <t>NULL</t>
        </is>
      </c>
      <c r="H419" s="0" t="inlineStr">
        <is>
          <t>NULL</t>
        </is>
      </c>
      <c r="I419" s="0" t="inlineStr">
        <is>
          <t>NULL</t>
        </is>
      </c>
      <c r="J419" s="0" t="inlineStr">
        <is>
          <t>NULL</t>
        </is>
      </c>
      <c r="K419" s="0" t="inlineStr">
        <is>
          <t xml:space="preserve"> NO!  	 c_dt2_0列源备映射错误，源端为datetime2 None位	期望更改为text	实际备端为datetime2 None位</t>
        </is>
      </c>
      <c r="BX419" s="0" t="inlineStr">
        <is>
          <t>47行 2列，源：1971-05-11 00:00:00.0 +14:00 备：2026-04-17 17:18:22.8 +08:00</t>
        </is>
      </c>
      <c r="EH419" s="0" t="inlineStr">
        <is>
          <t>25行 3列，源：65535.0 备：</t>
        </is>
      </c>
      <c r="ES419" s="0" t="inlineStr">
        <is>
          <t>25行 3列，源：65535.0 备：</t>
        </is>
      </c>
    </row>
    <row r="420">
      <c r="B420" s="0" t="inlineStr">
        <is>
          <t>NULL</t>
        </is>
      </c>
      <c r="C420" s="0" t="inlineStr">
        <is>
          <t>NULL</t>
        </is>
      </c>
      <c r="D420" s="0" t="inlineStr">
        <is>
          <t>NULL</t>
        </is>
      </c>
      <c r="E420" s="0" t="inlineStr">
        <is>
          <t>NULL</t>
        </is>
      </c>
      <c r="F420" s="0" t="inlineStr">
        <is>
          <t>NULL</t>
        </is>
      </c>
      <c r="G420" s="0" t="inlineStr">
        <is>
          <t>NULL</t>
        </is>
      </c>
      <c r="H420" s="0" t="inlineStr">
        <is>
          <t>NULL</t>
        </is>
      </c>
      <c r="I420" s="0" t="inlineStr">
        <is>
          <t>NULL</t>
        </is>
      </c>
      <c r="J420" s="0" t="inlineStr">
        <is>
          <t>NULL</t>
        </is>
      </c>
      <c r="K420" s="0" t="inlineStr">
        <is>
          <t xml:space="preserve"> NO!  	 c_dt2_1列源备映射错误，源端为datetime2 None位	期望更改为text	实际备端为datetime2 None位</t>
        </is>
      </c>
      <c r="BX420" s="0" t="inlineStr">
        <is>
          <t>47行 3列，源：1971-05-11 00:00:00.00 +14:00 备：2026-04-17 17:18:22.75 +08:00</t>
        </is>
      </c>
      <c r="EH420" s="0" t="inlineStr">
        <is>
          <t>25行 4列，源：4294967295.0 备：</t>
        </is>
      </c>
      <c r="ES420" s="0" t="inlineStr">
        <is>
          <t>25行 4列，源：4294967295.0 备：</t>
        </is>
      </c>
    </row>
    <row r="421">
      <c r="B421" s="0" t="inlineStr">
        <is>
          <t>NULL</t>
        </is>
      </c>
      <c r="C421" s="0" t="inlineStr">
        <is>
          <t>NULL</t>
        </is>
      </c>
      <c r="D421" s="0" t="inlineStr">
        <is>
          <t>NULL</t>
        </is>
      </c>
      <c r="E421" s="0" t="inlineStr">
        <is>
          <t>NULL</t>
        </is>
      </c>
      <c r="F421" s="0" t="inlineStr">
        <is>
          <t>NULL</t>
        </is>
      </c>
      <c r="G421" s="0" t="inlineStr">
        <is>
          <t>NULL</t>
        </is>
      </c>
      <c r="H421" s="0" t="inlineStr">
        <is>
          <t>NULL</t>
        </is>
      </c>
      <c r="I421" s="0" t="inlineStr">
        <is>
          <t>NULL</t>
        </is>
      </c>
      <c r="J421" s="0" t="inlineStr">
        <is>
          <t>NULL</t>
        </is>
      </c>
      <c r="K421" s="0" t="inlineStr">
        <is>
          <t xml:space="preserve"> NO!  	 c_dt2_2列源备映射错误，源端为datetime2 None位	期望更改为text	实际备端为datetime2 None位</t>
        </is>
      </c>
      <c r="BX421" s="0" t="inlineStr">
        <is>
          <t>47行 4列，源：1971-05-11 00:00:00.000 +14:00 备：2026-04-17 17:18:22.755 +08:00</t>
        </is>
      </c>
      <c r="EH421" s="0" t="inlineStr">
        <is>
          <t>25行 5列，源：None 备：1000000000000000</t>
        </is>
      </c>
      <c r="ES421" s="0" t="inlineStr">
        <is>
          <t>25行 5列，源：None 备：1000000000000000</t>
        </is>
      </c>
    </row>
    <row r="422">
      <c r="B422" s="0" t="inlineStr">
        <is>
          <t>NULL</t>
        </is>
      </c>
      <c r="C422" s="0" t="inlineStr">
        <is>
          <t>NULL</t>
        </is>
      </c>
      <c r="D422" s="0" t="inlineStr">
        <is>
          <t>NULL</t>
        </is>
      </c>
      <c r="E422" s="0" t="inlineStr">
        <is>
          <t>NULL</t>
        </is>
      </c>
      <c r="F422" s="0" t="inlineStr">
        <is>
          <t>NULL</t>
        </is>
      </c>
      <c r="G422" s="0" t="inlineStr">
        <is>
          <t>NULL</t>
        </is>
      </c>
      <c r="H422" s="0" t="inlineStr">
        <is>
          <t>NULL</t>
        </is>
      </c>
      <c r="I422" s="0" t="inlineStr">
        <is>
          <t>NULL</t>
        </is>
      </c>
      <c r="J422" s="0" t="inlineStr">
        <is>
          <t>NULL</t>
        </is>
      </c>
      <c r="K422" s="0" t="inlineStr">
        <is>
          <t xml:space="preserve"> NO!  	 c_dt2_3列源备映射错误，源端为datetime2 None位	期望更改为text	实际备端为datetime2 None位</t>
        </is>
      </c>
      <c r="BX422" s="0" t="inlineStr">
        <is>
          <t>47行 5列，源：1971-05-11 00:00:00.0000 +14:00 备：2026-04-17 17:18:22.7550 +08:00</t>
        </is>
      </c>
      <c r="EH422" s="0" t="inlineStr">
        <is>
          <t>25行 6列，源：None 备：99999999999999999999999999999999</t>
        </is>
      </c>
      <c r="ES422" s="0" t="inlineStr">
        <is>
          <t>25行 6列，源：None 备：99999999999999999999999999999999</t>
        </is>
      </c>
    </row>
    <row r="423">
      <c r="B423" s="0" t="inlineStr">
        <is>
          <t>NULL</t>
        </is>
      </c>
      <c r="C423" s="0" t="inlineStr">
        <is>
          <t>NULL</t>
        </is>
      </c>
      <c r="D423" s="0" t="inlineStr">
        <is>
          <t>NULL</t>
        </is>
      </c>
      <c r="E423" s="0" t="inlineStr">
        <is>
          <t>NULL</t>
        </is>
      </c>
      <c r="F423" s="0" t="inlineStr">
        <is>
          <t>NULL</t>
        </is>
      </c>
      <c r="G423" s="0" t="inlineStr">
        <is>
          <t>NULL</t>
        </is>
      </c>
      <c r="H423" s="0" t="inlineStr">
        <is>
          <t>NULL</t>
        </is>
      </c>
      <c r="I423" s="0" t="inlineStr">
        <is>
          <t>NULL</t>
        </is>
      </c>
      <c r="J423" s="0" t="inlineStr">
        <is>
          <t>NULL</t>
        </is>
      </c>
      <c r="K423" s="0" t="inlineStr">
        <is>
          <t xml:space="preserve"> NO!  	 c_dt2_4列源备映射错误，源端为datetime2 None位	期望更改为text	实际备端为datetime2 None位</t>
        </is>
      </c>
      <c r="BX423" s="0" t="inlineStr">
        <is>
          <t>47行 6列，源：1971-05-11 00:00:00.00000 +14:00 备：2026-04-17 17:18:22.75495 +08:00</t>
        </is>
      </c>
      <c r="EH423" s="0" t="inlineStr">
        <is>
          <t>25行 7列，源：None 备：0.99999999999999999999999999999900000000</t>
        </is>
      </c>
      <c r="ES423" s="0" t="inlineStr">
        <is>
          <t>25行 7列，源：None 备：0.99999999999999999999999999999900000000</t>
        </is>
      </c>
    </row>
    <row r="424">
      <c r="B424" s="0" t="inlineStr">
        <is>
          <t>NULL</t>
        </is>
      </c>
      <c r="C424" s="0" t="inlineStr">
        <is>
          <t>NULL</t>
        </is>
      </c>
      <c r="D424" s="0" t="inlineStr">
        <is>
          <t>NULL</t>
        </is>
      </c>
      <c r="E424" s="0" t="inlineStr">
        <is>
          <t>NULL</t>
        </is>
      </c>
      <c r="F424" s="0" t="inlineStr">
        <is>
          <t>NULL</t>
        </is>
      </c>
      <c r="G424" s="0" t="inlineStr">
        <is>
          <t>NULL</t>
        </is>
      </c>
      <c r="H424" s="0" t="inlineStr">
        <is>
          <t>NULL</t>
        </is>
      </c>
      <c r="I424" s="0" t="inlineStr">
        <is>
          <t>NULL</t>
        </is>
      </c>
      <c r="J424" s="0" t="inlineStr">
        <is>
          <t>NULL</t>
        </is>
      </c>
      <c r="K424" s="0" t="inlineStr">
        <is>
          <t xml:space="preserve"> NO!  	 c_dt2_5列源备映射错误，源端为datetime2 None位	期望更改为text	实际备端为datetime2 None位</t>
        </is>
      </c>
      <c r="BX424" s="0" t="inlineStr">
        <is>
          <t>47行 7列，源：1971-05-11 00:00:00.000000 +14:00 备：2026-04-17 17:18:22.754952 +08:00</t>
        </is>
      </c>
      <c r="EH424" s="0" t="inlineStr">
        <is>
          <t>25行 8列，源：None 备：9999999999999999999999.9999990000</t>
        </is>
      </c>
      <c r="ES424" s="0" t="inlineStr">
        <is>
          <t>25行 8列，源：None 备：9999999999999999999999.9999990000</t>
        </is>
      </c>
    </row>
    <row r="425">
      <c r="B425" s="0" t="inlineStr">
        <is>
          <t>NULL</t>
        </is>
      </c>
      <c r="C425" s="0" t="inlineStr">
        <is>
          <t>NULL</t>
        </is>
      </c>
      <c r="D425" s="0" t="inlineStr">
        <is>
          <t>NULL</t>
        </is>
      </c>
      <c r="E425" s="0" t="inlineStr">
        <is>
          <t>NULL</t>
        </is>
      </c>
      <c r="F425" s="0" t="inlineStr">
        <is>
          <t>NULL</t>
        </is>
      </c>
      <c r="G425" s="0" t="inlineStr">
        <is>
          <t>NULL</t>
        </is>
      </c>
      <c r="H425" s="0" t="inlineStr">
        <is>
          <t>NULL</t>
        </is>
      </c>
      <c r="I425" s="0" t="inlineStr">
        <is>
          <t>NULL</t>
        </is>
      </c>
      <c r="J425" s="0" t="inlineStr">
        <is>
          <t>NULL</t>
        </is>
      </c>
      <c r="K425" s="0" t="inlineStr">
        <is>
          <t xml:space="preserve"> NO!  	 c_dt2_6列源备映射错误，源端为datetime2 None位	期望更改为text	实际备端为datetime2 None位</t>
        </is>
      </c>
      <c r="BX425" s="0" t="inlineStr">
        <is>
          <t>47行 8列，源：1971-05-11 00:00:00.0000001 +14:00 备：2026-04-17 17:18:22.7549521 +08:00</t>
        </is>
      </c>
      <c r="EH425" s="0" t="inlineStr">
        <is>
          <t>25行 9列，源：None 备：999999999999.9990</t>
        </is>
      </c>
      <c r="ES425" s="0" t="inlineStr">
        <is>
          <t>25行 9列，源：None 备：999999999999.9990</t>
        </is>
      </c>
    </row>
    <row r="426">
      <c r="B426" s="0" t="inlineStr">
        <is>
          <t>NULL</t>
        </is>
      </c>
      <c r="C426" s="0" t="inlineStr">
        <is>
          <t>NULL</t>
        </is>
      </c>
      <c r="D426" s="0" t="inlineStr">
        <is>
          <t>NULL</t>
        </is>
      </c>
      <c r="E426" s="0" t="inlineStr">
        <is>
          <t>NULL</t>
        </is>
      </c>
      <c r="F426" s="0" t="inlineStr">
        <is>
          <t>NULL</t>
        </is>
      </c>
      <c r="G426" s="0" t="inlineStr">
        <is>
          <t>NULL</t>
        </is>
      </c>
      <c r="H426" s="0" t="inlineStr">
        <is>
          <t>NULL</t>
        </is>
      </c>
      <c r="I426" s="0" t="inlineStr">
        <is>
          <t>NULL</t>
        </is>
      </c>
      <c r="J426" s="0" t="inlineStr">
        <is>
          <t>NULL</t>
        </is>
      </c>
      <c r="K426" s="0" t="inlineStr">
        <is>
          <t xml:space="preserve"> NO!  	 c_dt2列源备映射错误，源端为datetime2 None位	期望更改为text	实际备端为datetime2 None位</t>
        </is>
      </c>
      <c r="BX426" s="0" t="inlineStr">
        <is>
          <t>48行 0列，源：172 备：4</t>
        </is>
      </c>
      <c r="EH426" s="0" t="inlineStr">
        <is>
          <t>25行 10列，源：None 备：100000000000000</t>
        </is>
      </c>
      <c r="ES426" s="0" t="inlineStr">
        <is>
          <t>25行 10列，源：None 备：100000000000000</t>
        </is>
      </c>
    </row>
    <row r="427">
      <c r="K427" s="0" t="inlineStr">
        <is>
          <t>~ 空表</t>
        </is>
      </c>
      <c r="BX427" s="0" t="inlineStr">
        <is>
          <t>48行 1列，源：1900-01-01 00:00:00 +00:00 备：0001-01-01 00:00:00 +00:00</t>
        </is>
      </c>
      <c r="EH427" s="0" t="inlineStr">
        <is>
          <t>25行 11列，源：None 备：999999999999999999999</t>
        </is>
      </c>
      <c r="ES427" s="0" t="inlineStr">
        <is>
          <t>25行 11列，源：None 备：999999999999999999999</t>
        </is>
      </c>
    </row>
    <row r="428">
      <c r="A428" s="0" t="inlineStr">
        <is>
          <t>info_nvarchar_dml_single_pk_irp</t>
        </is>
      </c>
      <c r="K428" s="0" t="inlineStr">
        <is>
          <t>[0;34m info_nvarchar_dml_single_pk_irp [0m源备字段数相同，源端字段：4 	备端字段4</t>
        </is>
      </c>
      <c r="W428" s="2">
        <f>HYPERLINK("#2026041905hbase4!BO2","NO 源备存在差异，共108个")</f>
        <v/>
      </c>
      <c r="X428" s="0">
        <f>A428</f>
        <v/>
      </c>
      <c r="BX428" s="0" t="inlineStr">
        <is>
          <t>48行 2列，源：1900-01-01 00:00:00.0 +00:00 备：0001-01-01 00:00:00.0 +00:00</t>
        </is>
      </c>
      <c r="EH428" s="0" t="inlineStr">
        <is>
          <t>25行 12列，源：None 备：0.99999999999999999999999999900000000000</t>
        </is>
      </c>
      <c r="ES428" s="0" t="inlineStr">
        <is>
          <t>25行 12列，源：None 备：0.99999999999999999999999999900000000000</t>
        </is>
      </c>
    </row>
    <row r="429">
      <c r="B429" s="0" t="inlineStr">
        <is>
          <t>YES</t>
        </is>
      </c>
      <c r="C429" s="0" t="inlineStr">
        <is>
          <t>NULL</t>
        </is>
      </c>
      <c r="D429" s="0" t="inlineStr">
        <is>
          <t>NULL</t>
        </is>
      </c>
      <c r="E429" s="0" t="inlineStr">
        <is>
          <t>NULL</t>
        </is>
      </c>
      <c r="F429" s="0" t="inlineStr">
        <is>
          <t>NULL</t>
        </is>
      </c>
      <c r="G429" s="0" t="inlineStr">
        <is>
          <t>NULL</t>
        </is>
      </c>
      <c r="H429" s="0" t="inlineStr">
        <is>
          <t>NULL</t>
        </is>
      </c>
      <c r="I429" s="0" t="inlineStr">
        <is>
          <t>YES!PK__info_nva__3213E83F6EB800C0</t>
        </is>
      </c>
      <c r="J429" s="0" t="inlineStr">
        <is>
          <t>YES! 主键相关索引</t>
        </is>
      </c>
      <c r="K429" s="0" t="inlineStr">
        <is>
          <t xml:space="preserve"> NO!  	 id列源备映射错误，源端为int None位	期望更改为text	实际备端为int None位</t>
        </is>
      </c>
      <c r="BX429" s="0" t="inlineStr">
        <is>
          <t>48行 3列，源：1900-01-01 00:00:00.00 +00:00 备：0001-01-01 00:00:00.00 +00:00</t>
        </is>
      </c>
      <c r="EH429" s="0" t="inlineStr">
        <is>
          <t>25行 13列，源：None 备：999999999999999999999.9999990000</t>
        </is>
      </c>
      <c r="ES429" s="0" t="inlineStr">
        <is>
          <t>25行 13列，源：None 备：999999999999999999999.9999990000</t>
        </is>
      </c>
    </row>
    <row r="430">
      <c r="B430" s="0" t="inlineStr">
        <is>
          <t>NULL</t>
        </is>
      </c>
      <c r="C430" s="0" t="inlineStr">
        <is>
          <t>NULL</t>
        </is>
      </c>
      <c r="D430" s="0" t="inlineStr">
        <is>
          <t>NULL</t>
        </is>
      </c>
      <c r="E430" s="0" t="inlineStr">
        <is>
          <t>NULL</t>
        </is>
      </c>
      <c r="F430" s="0" t="inlineStr">
        <is>
          <t>NULL</t>
        </is>
      </c>
      <c r="G430" s="0" t="inlineStr">
        <is>
          <t>NULL</t>
        </is>
      </c>
      <c r="H430" s="0" t="inlineStr">
        <is>
          <t>NULL</t>
        </is>
      </c>
      <c r="I430" s="0" t="inlineStr">
        <is>
          <t>NULL</t>
        </is>
      </c>
      <c r="J430" s="0" t="inlineStr">
        <is>
          <t>NULL</t>
        </is>
      </c>
      <c r="K430" s="0" t="inlineStr">
        <is>
          <t xml:space="preserve"> NO!  	 c_nvarchar列源备映射错误，源端为nvarchar 2位	期望更改为text	实际备端为nvarchar 2位</t>
        </is>
      </c>
      <c r="BX430" s="0" t="inlineStr">
        <is>
          <t>48行 4列，源：1900-01-01 00:00:00.000 +00:00 备：0001-01-01 00:00:00.000 +00:00</t>
        </is>
      </c>
      <c r="EH430" s="0" t="inlineStr">
        <is>
          <t>25行 14列，源：None 备：9999999999.99</t>
        </is>
      </c>
      <c r="ES430" s="0" t="inlineStr">
        <is>
          <t>25行 14列，源：None 备：9999999999.99</t>
        </is>
      </c>
    </row>
    <row r="431">
      <c r="B431" s="0" t="inlineStr">
        <is>
          <t>NULL</t>
        </is>
      </c>
      <c r="C431" s="0" t="inlineStr">
        <is>
          <t>NULL</t>
        </is>
      </c>
      <c r="D431" s="0" t="inlineStr">
        <is>
          <t>NULL</t>
        </is>
      </c>
      <c r="E431" s="0" t="inlineStr">
        <is>
          <t>NULL</t>
        </is>
      </c>
      <c r="F431" s="0" t="inlineStr">
        <is>
          <t>NULL</t>
        </is>
      </c>
      <c r="G431" s="0" t="inlineStr">
        <is>
          <t>NULL</t>
        </is>
      </c>
      <c r="H431" s="0" t="inlineStr">
        <is>
          <t>NULL</t>
        </is>
      </c>
      <c r="I431" s="0" t="inlineStr">
        <is>
          <t>NULL</t>
        </is>
      </c>
      <c r="J431" s="0" t="inlineStr">
        <is>
          <t>NULL</t>
        </is>
      </c>
      <c r="K431" s="0" t="inlineStr">
        <is>
          <t xml:space="preserve"> NO!  	 c_nvarchar20列源备映射错误，源端为nvarchar 40位	期望更改为text	实际备端为nvarchar 40位</t>
        </is>
      </c>
      <c r="BX431" s="0" t="inlineStr">
        <is>
          <t>48行 5列，源：1900-01-01 00:00:00.0000 +00:00 备：0001-01-01 00:00:00.0000 +00:00</t>
        </is>
      </c>
      <c r="EH431" s="0" t="inlineStr">
        <is>
          <t>25行 15列，源：nan 备：</t>
        </is>
      </c>
      <c r="ES431" s="0" t="inlineStr">
        <is>
          <t>25行 15列，源：nan 备：</t>
        </is>
      </c>
    </row>
    <row r="432">
      <c r="B432" s="0" t="inlineStr">
        <is>
          <t>NULL</t>
        </is>
      </c>
      <c r="C432" s="0" t="inlineStr">
        <is>
          <t>NULL</t>
        </is>
      </c>
      <c r="D432" s="0" t="inlineStr">
        <is>
          <t>NULL</t>
        </is>
      </c>
      <c r="E432" s="0" t="inlineStr">
        <is>
          <t>NULL</t>
        </is>
      </c>
      <c r="F432" s="0" t="inlineStr">
        <is>
          <t>NULL</t>
        </is>
      </c>
      <c r="G432" s="0" t="inlineStr">
        <is>
          <t>NULL</t>
        </is>
      </c>
      <c r="H432" s="0" t="inlineStr">
        <is>
          <t>NULL</t>
        </is>
      </c>
      <c r="I432" s="0" t="inlineStr">
        <is>
          <t>NULL</t>
        </is>
      </c>
      <c r="J432" s="0" t="inlineStr">
        <is>
          <t>NULL</t>
        </is>
      </c>
      <c r="K432" s="0" t="inlineStr">
        <is>
          <t xml:space="preserve"> NO!  	 c_nvarchar4000列源备映射错误，源端为nvarchar 8000位	期望更改为text	实际备端为nvarchar 8000位</t>
        </is>
      </c>
      <c r="BX432" s="0" t="inlineStr">
        <is>
          <t>48行 6列，源：1900-01-01 00:00:00.00000 +00:00 备：0001-01-01 00:00:00.00000 +00:00</t>
        </is>
      </c>
      <c r="EH432" s="0" t="inlineStr">
        <is>
          <t>25行 16列，源：nan 备：</t>
        </is>
      </c>
      <c r="ES432" s="0" t="inlineStr">
        <is>
          <t>25行 16列，源：nan 备：</t>
        </is>
      </c>
    </row>
    <row r="433">
      <c r="A433" s="0" t="inlineStr">
        <is>
          <t>info_binary_dml_batch1_pk_irp2</t>
        </is>
      </c>
      <c r="K433" s="0" t="inlineStr">
        <is>
          <t>[0;34m info_binary_dml_batch1_pk_irp2 [0m源备字段数相同，源端字段：4 	备端字段4</t>
        </is>
      </c>
      <c r="W433" s="2">
        <f>HYPERLINK("#2026041905hbase4!BP2","NO 源备存在差异，共134个")</f>
        <v/>
      </c>
      <c r="X433" s="0">
        <f>A433</f>
        <v/>
      </c>
      <c r="BX433" s="0" t="inlineStr">
        <is>
          <t>48行 7列，源：1900-01-01 00:00:00.000000 +00:00 备：0001-01-01 00:00:00.000000 +00:00</t>
        </is>
      </c>
      <c r="EH433" s="0" t="inlineStr">
        <is>
          <t>25行 17列，源：None 备：</t>
        </is>
      </c>
      <c r="ES433" s="0" t="inlineStr">
        <is>
          <t>25行 17列，源：None 备：</t>
        </is>
      </c>
    </row>
    <row r="434">
      <c r="B434" s="0" t="inlineStr">
        <is>
          <t>YES</t>
        </is>
      </c>
      <c r="C434" s="0" t="inlineStr">
        <is>
          <t>NULL</t>
        </is>
      </c>
      <c r="D434" s="0" t="inlineStr">
        <is>
          <t>NULL</t>
        </is>
      </c>
      <c r="E434" s="0" t="inlineStr">
        <is>
          <t>NULL</t>
        </is>
      </c>
      <c r="F434" s="0" t="inlineStr">
        <is>
          <t>NULL</t>
        </is>
      </c>
      <c r="G434" s="0" t="inlineStr">
        <is>
          <t>NULL</t>
        </is>
      </c>
      <c r="H434" s="0" t="inlineStr">
        <is>
          <t>NULL</t>
        </is>
      </c>
      <c r="I434" s="0" t="inlineStr">
        <is>
          <t>YES!PK__info_bin__3213E83F938B2C51</t>
        </is>
      </c>
      <c r="J434" s="0" t="inlineStr">
        <is>
          <t>YES! 主键相关索引</t>
        </is>
      </c>
      <c r="K434" s="0" t="inlineStr">
        <is>
          <t xml:space="preserve"> NO!  	 id列源备映射错误，源端为int None位	期望更改为text	实际备端为int None位</t>
        </is>
      </c>
      <c r="BX434" s="0" t="inlineStr">
        <is>
          <t>48行 8列，源：1900-01-01 00:00:00.0000000 +00:00 备：0001-01-01 00:00:00.0000000 +00:00</t>
        </is>
      </c>
      <c r="EH434" s="0" t="inlineStr">
        <is>
          <t>25行 18列，源：None 备：</t>
        </is>
      </c>
      <c r="ES434" s="0" t="inlineStr">
        <is>
          <t>25行 18列，源：None 备：</t>
        </is>
      </c>
    </row>
    <row r="435">
      <c r="B435" s="0" t="inlineStr">
        <is>
          <t>NULL</t>
        </is>
      </c>
      <c r="C435" s="0" t="inlineStr">
        <is>
          <t>NULL</t>
        </is>
      </c>
      <c r="D435" s="0" t="inlineStr">
        <is>
          <t>NULL</t>
        </is>
      </c>
      <c r="E435" s="0" t="inlineStr">
        <is>
          <t>NULL</t>
        </is>
      </c>
      <c r="F435" s="0" t="inlineStr">
        <is>
          <t>NULL</t>
        </is>
      </c>
      <c r="G435" s="0" t="inlineStr">
        <is>
          <t>NULL</t>
        </is>
      </c>
      <c r="H435" s="0" t="inlineStr">
        <is>
          <t>NULL</t>
        </is>
      </c>
      <c r="I435" s="0" t="inlineStr">
        <is>
          <t>NULL</t>
        </is>
      </c>
      <c r="J435" s="0" t="inlineStr">
        <is>
          <t>NULL</t>
        </is>
      </c>
      <c r="K435" s="0" t="inlineStr">
        <is>
          <t xml:space="preserve"> NO!  	 c_binary列源备映射错误，源端为binary 1位	期望更改为text	实际备端为binary 1位</t>
        </is>
      </c>
      <c r="BX435" s="0" t="inlineStr">
        <is>
          <t>49行 0列，源：173 备：5</t>
        </is>
      </c>
      <c r="EH435" s="0" t="inlineStr">
        <is>
          <t>25行 19列，源：None 备：</t>
        </is>
      </c>
      <c r="ES435" s="0" t="inlineStr">
        <is>
          <t>25行 19列，源：None 备：</t>
        </is>
      </c>
    </row>
    <row r="436">
      <c r="B436" s="0" t="inlineStr">
        <is>
          <t>NULL</t>
        </is>
      </c>
      <c r="C436" s="0" t="inlineStr">
        <is>
          <t>NULL</t>
        </is>
      </c>
      <c r="D436" s="0" t="inlineStr">
        <is>
          <t>NULL</t>
        </is>
      </c>
      <c r="E436" s="0" t="inlineStr">
        <is>
          <t>NULL</t>
        </is>
      </c>
      <c r="F436" s="0" t="inlineStr">
        <is>
          <t>NULL</t>
        </is>
      </c>
      <c r="G436" s="0" t="inlineStr">
        <is>
          <t>NULL</t>
        </is>
      </c>
      <c r="H436" s="0" t="inlineStr">
        <is>
          <t>NULL</t>
        </is>
      </c>
      <c r="I436" s="0" t="inlineStr">
        <is>
          <t>NULL</t>
        </is>
      </c>
      <c r="J436" s="0" t="inlineStr">
        <is>
          <t>NULL</t>
        </is>
      </c>
      <c r="K436" s="0" t="inlineStr">
        <is>
          <t xml:space="preserve"> NO!  	 c_binary_20列源备映射错误，源端为binary 20位	期望更改为text	实际备端为binary 20位</t>
        </is>
      </c>
      <c r="BX436" s="0" t="inlineStr">
        <is>
          <t>49行 1列，源：2026-04-17 17:18:23 +08:00 备：9999-12-31 23:59:59 +00:00</t>
        </is>
      </c>
      <c r="EH436" s="0" t="inlineStr">
        <is>
          <t>26行 0列，源：57 备：15</t>
        </is>
      </c>
      <c r="ES436" s="0" t="inlineStr">
        <is>
          <t>26行 0列，源：57 备：15</t>
        </is>
      </c>
    </row>
    <row r="437">
      <c r="B437" s="0" t="inlineStr">
        <is>
          <t>NULL</t>
        </is>
      </c>
      <c r="C437" s="0" t="inlineStr">
        <is>
          <t>NULL</t>
        </is>
      </c>
      <c r="D437" s="0" t="inlineStr">
        <is>
          <t>NULL</t>
        </is>
      </c>
      <c r="E437" s="0" t="inlineStr">
        <is>
          <t>NULL</t>
        </is>
      </c>
      <c r="F437" s="0" t="inlineStr">
        <is>
          <t>NULL</t>
        </is>
      </c>
      <c r="G437" s="0" t="inlineStr">
        <is>
          <t>NULL</t>
        </is>
      </c>
      <c r="H437" s="0" t="inlineStr">
        <is>
          <t>NULL</t>
        </is>
      </c>
      <c r="I437" s="0" t="inlineStr">
        <is>
          <t>NULL</t>
        </is>
      </c>
      <c r="J437" s="0" t="inlineStr">
        <is>
          <t>NULL</t>
        </is>
      </c>
      <c r="K437" s="0" t="inlineStr">
        <is>
          <t xml:space="preserve"> NO!  	 c_binary_200列源备映射错误，源端为binary 200位	期望更改为text	实际备端为binary 200位</t>
        </is>
      </c>
      <c r="BX437" s="0" t="inlineStr">
        <is>
          <t>49行 2列，源：2026-04-17 17:18:22.8 +08:00 备：9999-12-31 23:59:59.9 +00:00</t>
        </is>
      </c>
      <c r="EH437" s="0" t="inlineStr">
        <is>
          <t>26行 1列，源：255.0 备：</t>
        </is>
      </c>
      <c r="ES437" s="0" t="inlineStr">
        <is>
          <t>26行 1列，源：255.0 备：</t>
        </is>
      </c>
    </row>
    <row r="438">
      <c r="A438" s="0" t="inlineStr">
        <is>
          <t>info_datetime2_dml_batch1_pk_drp2</t>
        </is>
      </c>
      <c r="K438" s="0" t="inlineStr">
        <is>
          <t>[0;34m info_datetime2_dml_batch1_pk_drp2 [0m源备字段数相同，源端字段：9 	备端字段9</t>
        </is>
      </c>
      <c r="W438" s="2">
        <f>HYPERLINK("#2026041905hbase4!BQ2","NO 源备存在差异，共5个")</f>
        <v/>
      </c>
      <c r="X438" s="0">
        <f>A438</f>
        <v/>
      </c>
      <c r="BX438" s="0" t="inlineStr">
        <is>
          <t>49行 3列，源：2026-04-17 17:18:22.75 +08:00 备：9999-12-31 23:59:59.99 +00:00</t>
        </is>
      </c>
      <c r="EH438" s="0" t="inlineStr">
        <is>
          <t>26行 2列，源：32767.0 备：</t>
        </is>
      </c>
      <c r="ES438" s="0" t="inlineStr">
        <is>
          <t>26行 2列，源：32767.0 备：</t>
        </is>
      </c>
    </row>
    <row r="439">
      <c r="B439" s="0" t="inlineStr">
        <is>
          <t>YES</t>
        </is>
      </c>
      <c r="C439" s="0" t="inlineStr">
        <is>
          <t>NULL</t>
        </is>
      </c>
      <c r="D439" s="0" t="inlineStr">
        <is>
          <t>NULL</t>
        </is>
      </c>
      <c r="E439" s="0" t="inlineStr">
        <is>
          <t>NULL</t>
        </is>
      </c>
      <c r="F439" s="0" t="inlineStr">
        <is>
          <t>NULL</t>
        </is>
      </c>
      <c r="G439" s="0" t="inlineStr">
        <is>
          <t>NULL</t>
        </is>
      </c>
      <c r="H439" s="0" t="inlineStr">
        <is>
          <t>NULL</t>
        </is>
      </c>
      <c r="I439" s="0" t="inlineStr">
        <is>
          <t>YES!PK__info_dat__3213E83F07F2CC25</t>
        </is>
      </c>
      <c r="J439" s="0" t="inlineStr">
        <is>
          <t>YES! 主键相关索引</t>
        </is>
      </c>
      <c r="K439" s="0" t="inlineStr">
        <is>
          <t xml:space="preserve"> NO!  	 id列源备映射错误，源端为int None位	期望更改为text	实际备端为int None位</t>
        </is>
      </c>
      <c r="BX439" s="0" t="inlineStr">
        <is>
          <t>49行 4列，源：2026-04-17 17:18:22.755 +08:00 备：9999-12-31 23:59:59.999 +00:00</t>
        </is>
      </c>
      <c r="EH439" s="0" t="inlineStr">
        <is>
          <t>26行 3列，源：2147483647.0 备：</t>
        </is>
      </c>
      <c r="ES439" s="0" t="inlineStr">
        <is>
          <t>26行 3列，源：2147483647.0 备：</t>
        </is>
      </c>
    </row>
    <row r="440">
      <c r="B440" s="0" t="inlineStr">
        <is>
          <t>NULL</t>
        </is>
      </c>
      <c r="C440" s="0" t="inlineStr">
        <is>
          <t>NULL</t>
        </is>
      </c>
      <c r="D440" s="0" t="inlineStr">
        <is>
          <t>NULL</t>
        </is>
      </c>
      <c r="E440" s="0" t="inlineStr">
        <is>
          <t>NULL</t>
        </is>
      </c>
      <c r="F440" s="0" t="inlineStr">
        <is>
          <t>NULL</t>
        </is>
      </c>
      <c r="G440" s="0" t="inlineStr">
        <is>
          <t>NULL</t>
        </is>
      </c>
      <c r="H440" s="0" t="inlineStr">
        <is>
          <t>NULL</t>
        </is>
      </c>
      <c r="I440" s="0" t="inlineStr">
        <is>
          <t>NULL</t>
        </is>
      </c>
      <c r="J440" s="0" t="inlineStr">
        <is>
          <t>NULL</t>
        </is>
      </c>
      <c r="K440" s="0" t="inlineStr">
        <is>
          <t xml:space="preserve"> NO!  	 c_dt2_0列源备映射错误，源端为datetime2 None位	期望更改为text	实际备端为datetime2 None位</t>
        </is>
      </c>
      <c r="BX440" s="0" t="inlineStr">
        <is>
          <t>49行 5列，源：2026-04-17 17:18:22.7550 +08:00 备：9999-12-31 23:59:59.9999 +00:00</t>
        </is>
      </c>
      <c r="EH440" s="0" t="inlineStr">
        <is>
          <t>26行 4列，源：9.223372036854776e+18 备：</t>
        </is>
      </c>
      <c r="ES440" s="0" t="inlineStr">
        <is>
          <t>26行 4列，源：9.223372036854776e+18 备：</t>
        </is>
      </c>
    </row>
    <row r="441">
      <c r="B441" s="0" t="inlineStr">
        <is>
          <t>NULL</t>
        </is>
      </c>
      <c r="C441" s="0" t="inlineStr">
        <is>
          <t>NULL</t>
        </is>
      </c>
      <c r="D441" s="0" t="inlineStr">
        <is>
          <t>NULL</t>
        </is>
      </c>
      <c r="E441" s="0" t="inlineStr">
        <is>
          <t>NULL</t>
        </is>
      </c>
      <c r="F441" s="0" t="inlineStr">
        <is>
          <t>NULL</t>
        </is>
      </c>
      <c r="G441" s="0" t="inlineStr">
        <is>
          <t>NULL</t>
        </is>
      </c>
      <c r="H441" s="0" t="inlineStr">
        <is>
          <t>NULL</t>
        </is>
      </c>
      <c r="I441" s="0" t="inlineStr">
        <is>
          <t>NULL</t>
        </is>
      </c>
      <c r="J441" s="0" t="inlineStr">
        <is>
          <t>NULL</t>
        </is>
      </c>
      <c r="K441" s="0" t="inlineStr">
        <is>
          <t xml:space="preserve"> NO!  	 c_dt2_1列源备映射错误，源端为datetime2 None位	期望更改为text	实际备端为datetime2 None位</t>
        </is>
      </c>
      <c r="BX441" s="0" t="inlineStr">
        <is>
          <t>49行 6列，源：2026-04-17 17:18:22.75495 +08:00 备：9999-12-31 23:59:59.99999 +00:00</t>
        </is>
      </c>
      <c r="EH441" s="0" t="inlineStr">
        <is>
          <t>26行 5列，源：None 备：0</t>
        </is>
      </c>
      <c r="ES441" s="0" t="inlineStr">
        <is>
          <t>26行 5列，源：None 备：0</t>
        </is>
      </c>
    </row>
    <row r="442">
      <c r="B442" s="0" t="inlineStr">
        <is>
          <t>NULL</t>
        </is>
      </c>
      <c r="C442" s="0" t="inlineStr">
        <is>
          <t>NULL</t>
        </is>
      </c>
      <c r="D442" s="0" t="inlineStr">
        <is>
          <t>NULL</t>
        </is>
      </c>
      <c r="E442" s="0" t="inlineStr">
        <is>
          <t>NULL</t>
        </is>
      </c>
      <c r="F442" s="0" t="inlineStr">
        <is>
          <t>NULL</t>
        </is>
      </c>
      <c r="G442" s="0" t="inlineStr">
        <is>
          <t>NULL</t>
        </is>
      </c>
      <c r="H442" s="0" t="inlineStr">
        <is>
          <t>NULL</t>
        </is>
      </c>
      <c r="I442" s="0" t="inlineStr">
        <is>
          <t>NULL</t>
        </is>
      </c>
      <c r="J442" s="0" t="inlineStr">
        <is>
          <t>NULL</t>
        </is>
      </c>
      <c r="K442" s="0" t="inlineStr">
        <is>
          <t xml:space="preserve"> NO!  	 c_dt2_2列源备映射错误，源端为datetime2 None位	期望更改为text	实际备端为datetime2 None位</t>
        </is>
      </c>
      <c r="BX442" s="0" t="inlineStr">
        <is>
          <t>49行 7列，源：2026-04-17 17:18:22.754952 +08:00 备：9999-12-31 23:59:59.999999 +00:00</t>
        </is>
      </c>
      <c r="EH442" s="0" t="inlineStr">
        <is>
          <t>26行 6列，源：None 备：1</t>
        </is>
      </c>
      <c r="ES442" s="0" t="inlineStr">
        <is>
          <t>26行 6列，源：None 备：1</t>
        </is>
      </c>
    </row>
    <row r="443">
      <c r="B443" s="0" t="inlineStr">
        <is>
          <t>NULL</t>
        </is>
      </c>
      <c r="C443" s="0" t="inlineStr">
        <is>
          <t>NULL</t>
        </is>
      </c>
      <c r="D443" s="0" t="inlineStr">
        <is>
          <t>NULL</t>
        </is>
      </c>
      <c r="E443" s="0" t="inlineStr">
        <is>
          <t>NULL</t>
        </is>
      </c>
      <c r="F443" s="0" t="inlineStr">
        <is>
          <t>NULL</t>
        </is>
      </c>
      <c r="G443" s="0" t="inlineStr">
        <is>
          <t>NULL</t>
        </is>
      </c>
      <c r="H443" s="0" t="inlineStr">
        <is>
          <t>NULL</t>
        </is>
      </c>
      <c r="I443" s="0" t="inlineStr">
        <is>
          <t>NULL</t>
        </is>
      </c>
      <c r="J443" s="0" t="inlineStr">
        <is>
          <t>NULL</t>
        </is>
      </c>
      <c r="K443" s="0" t="inlineStr">
        <is>
          <t xml:space="preserve"> NO!  	 c_dt2_3列源备映射错误，源端为datetime2 None位	期望更改为text	实际备端为datetime2 None位</t>
        </is>
      </c>
      <c r="BX443" s="0" t="inlineStr">
        <is>
          <t>49行 8列，源：2026-04-17 17:18:22.7549521 +08:00 备：9999-12-31 23:59:59.9999999 +00:00</t>
        </is>
      </c>
      <c r="EH443" s="0" t="inlineStr">
        <is>
          <t>26行 7列，源：None 备：0.00000000000000000000000000100000000000</t>
        </is>
      </c>
      <c r="ES443" s="0" t="inlineStr">
        <is>
          <t>26行 7列，源：None 备：0.00000000000000000000000000100000000000</t>
        </is>
      </c>
    </row>
    <row r="444">
      <c r="B444" s="0" t="inlineStr">
        <is>
          <t>NULL</t>
        </is>
      </c>
      <c r="C444" s="0" t="inlineStr">
        <is>
          <t>NULL</t>
        </is>
      </c>
      <c r="D444" s="0" t="inlineStr">
        <is>
          <t>NULL</t>
        </is>
      </c>
      <c r="E444" s="0" t="inlineStr">
        <is>
          <t>NULL</t>
        </is>
      </c>
      <c r="F444" s="0" t="inlineStr">
        <is>
          <t>NULL</t>
        </is>
      </c>
      <c r="G444" s="0" t="inlineStr">
        <is>
          <t>NULL</t>
        </is>
      </c>
      <c r="H444" s="0" t="inlineStr">
        <is>
          <t>NULL</t>
        </is>
      </c>
      <c r="I444" s="0" t="inlineStr">
        <is>
          <t>NULL</t>
        </is>
      </c>
      <c r="J444" s="0" t="inlineStr">
        <is>
          <t>NULL</t>
        </is>
      </c>
      <c r="K444" s="0" t="inlineStr">
        <is>
          <t xml:space="preserve"> NO!  	 c_dt2_4列源备映射错误，源端为datetime2 None位	期望更改为text	实际备端为datetime2 None位</t>
        </is>
      </c>
      <c r="BX444" s="0" t="inlineStr">
        <is>
          <t>50行 0列，源：174 备：6</t>
        </is>
      </c>
      <c r="EH444" s="0" t="inlineStr">
        <is>
          <t>26行 8列，源：None 备：0.0000000010</t>
        </is>
      </c>
      <c r="ES444" s="0" t="inlineStr">
        <is>
          <t>26行 8列，源：None 备：0.0000000010</t>
        </is>
      </c>
    </row>
    <row r="445">
      <c r="B445" s="0" t="inlineStr">
        <is>
          <t>NULL</t>
        </is>
      </c>
      <c r="C445" s="0" t="inlineStr">
        <is>
          <t>NULL</t>
        </is>
      </c>
      <c r="D445" s="0" t="inlineStr">
        <is>
          <t>NULL</t>
        </is>
      </c>
      <c r="E445" s="0" t="inlineStr">
        <is>
          <t>NULL</t>
        </is>
      </c>
      <c r="F445" s="0" t="inlineStr">
        <is>
          <t>NULL</t>
        </is>
      </c>
      <c r="G445" s="0" t="inlineStr">
        <is>
          <t>NULL</t>
        </is>
      </c>
      <c r="H445" s="0" t="inlineStr">
        <is>
          <t>NULL</t>
        </is>
      </c>
      <c r="I445" s="0" t="inlineStr">
        <is>
          <t>NULL</t>
        </is>
      </c>
      <c r="J445" s="0" t="inlineStr">
        <is>
          <t>NULL</t>
        </is>
      </c>
      <c r="K445" s="0" t="inlineStr">
        <is>
          <t xml:space="preserve"> NO!  	 c_dt2_5列源备映射错误，源端为datetime2 None位	期望更改为text	实际备端为datetime2 None位</t>
        </is>
      </c>
      <c r="BX445" s="0" t="inlineStr">
        <is>
          <t>50行 1列，源：0001-01-01 00:00:00 +00:00 备：2063-05-11 10:30:45 -04:00</t>
        </is>
      </c>
      <c r="EH445" s="0" t="inlineStr">
        <is>
          <t>26行 9列，源：None 备：0.0001</t>
        </is>
      </c>
      <c r="ES445" s="0" t="inlineStr">
        <is>
          <t>26行 9列，源：None 备：0.0001</t>
        </is>
      </c>
    </row>
    <row r="446">
      <c r="B446" s="0" t="inlineStr">
        <is>
          <t>NULL</t>
        </is>
      </c>
      <c r="C446" s="0" t="inlineStr">
        <is>
          <t>NULL</t>
        </is>
      </c>
      <c r="D446" s="0" t="inlineStr">
        <is>
          <t>NULL</t>
        </is>
      </c>
      <c r="E446" s="0" t="inlineStr">
        <is>
          <t>NULL</t>
        </is>
      </c>
      <c r="F446" s="0" t="inlineStr">
        <is>
          <t>NULL</t>
        </is>
      </c>
      <c r="G446" s="0" t="inlineStr">
        <is>
          <t>NULL</t>
        </is>
      </c>
      <c r="H446" s="0" t="inlineStr">
        <is>
          <t>NULL</t>
        </is>
      </c>
      <c r="I446" s="0" t="inlineStr">
        <is>
          <t>NULL</t>
        </is>
      </c>
      <c r="J446" s="0" t="inlineStr">
        <is>
          <t>NULL</t>
        </is>
      </c>
      <c r="K446" s="0" t="inlineStr">
        <is>
          <t xml:space="preserve"> NO!  	 c_dt2_6列源备映射错误，源端为datetime2 None位	期望更改为text	实际备端为datetime2 None位</t>
        </is>
      </c>
      <c r="BX446" s="0" t="inlineStr">
        <is>
          <t>50行 2列，源：0001-01-01 00:00:00.0 +00:00 备：2063-05-11 10:30:45.1 -04:00</t>
        </is>
      </c>
      <c r="EH446" s="0" t="inlineStr">
        <is>
          <t>26行 10列，源：None 备：0</t>
        </is>
      </c>
      <c r="ES446" s="0" t="inlineStr">
        <is>
          <t>26行 10列，源：None 备：0</t>
        </is>
      </c>
    </row>
    <row r="447">
      <c r="B447" s="0" t="inlineStr">
        <is>
          <t>NULL</t>
        </is>
      </c>
      <c r="C447" s="0" t="inlineStr">
        <is>
          <t>NULL</t>
        </is>
      </c>
      <c r="D447" s="0" t="inlineStr">
        <is>
          <t>NULL</t>
        </is>
      </c>
      <c r="E447" s="0" t="inlineStr">
        <is>
          <t>NULL</t>
        </is>
      </c>
      <c r="F447" s="0" t="inlineStr">
        <is>
          <t>NULL</t>
        </is>
      </c>
      <c r="G447" s="0" t="inlineStr">
        <is>
          <t>NULL</t>
        </is>
      </c>
      <c r="H447" s="0" t="inlineStr">
        <is>
          <t>NULL</t>
        </is>
      </c>
      <c r="I447" s="0" t="inlineStr">
        <is>
          <t>NULL</t>
        </is>
      </c>
      <c r="J447" s="0" t="inlineStr">
        <is>
          <t>NULL</t>
        </is>
      </c>
      <c r="K447" s="0" t="inlineStr">
        <is>
          <t xml:space="preserve"> NO!  	 c_dt2列源备映射错误，源端为datetime2 None位	期望更改为text	实际备端为datetime2 None位</t>
        </is>
      </c>
      <c r="BX447" s="0" t="inlineStr">
        <is>
          <t>50行 3列，源：0001-01-01 00:00:00.00 +00:00 备：2063-05-11 10:30:45.12 -04:00</t>
        </is>
      </c>
      <c r="EH447" s="0" t="inlineStr">
        <is>
          <t>26行 11列，源：None 备：1</t>
        </is>
      </c>
      <c r="ES447" s="0" t="inlineStr">
        <is>
          <t>26行 11列，源：None 备：1</t>
        </is>
      </c>
    </row>
    <row r="448">
      <c r="A448" s="0" t="inlineStr">
        <is>
          <t>info_hierarchyid_dml_single_pk_urp</t>
        </is>
      </c>
      <c r="K448" s="0" t="inlineStr">
        <is>
          <t>[0;34m info_hierarchyid_dml_single_pk_urp [0m源备字段数相同，源端字段：2 	备端字段2</t>
        </is>
      </c>
      <c r="W448" s="2">
        <f>HYPERLINK("#2026041905hbase4!BR2","NO 源备存在差异，共1个")</f>
        <v/>
      </c>
      <c r="X448" s="0">
        <f>A448</f>
        <v/>
      </c>
      <c r="BX448" s="0" t="inlineStr">
        <is>
          <t>50行 4列，源：0001-01-01 00:00:00.000 +00:00 备：2063-05-11 10:30:45.123 -04:00</t>
        </is>
      </c>
      <c r="EH448" s="0" t="inlineStr">
        <is>
          <t>26行 12列，源：None 备：0.00000000000000000000000000000100000000</t>
        </is>
      </c>
      <c r="ES448" s="0" t="inlineStr">
        <is>
          <t>26行 12列，源：None 备：0.00000000000000000000000000000100000000</t>
        </is>
      </c>
    </row>
    <row r="449">
      <c r="B449" s="0" t="inlineStr">
        <is>
          <t>YES</t>
        </is>
      </c>
      <c r="C449" s="0" t="inlineStr">
        <is>
          <t>NULL</t>
        </is>
      </c>
      <c r="D449" s="0" t="inlineStr">
        <is>
          <t>NULL</t>
        </is>
      </c>
      <c r="E449" s="0" t="inlineStr">
        <is>
          <t>NULL</t>
        </is>
      </c>
      <c r="F449" s="0" t="inlineStr">
        <is>
          <t>NULL</t>
        </is>
      </c>
      <c r="G449" s="0" t="inlineStr">
        <is>
          <t>NULL</t>
        </is>
      </c>
      <c r="H449" s="0" t="inlineStr">
        <is>
          <t>NULL</t>
        </is>
      </c>
      <c r="I449" s="0" t="inlineStr">
        <is>
          <t>YES!PK__info_hie__3213E83FE5960993</t>
        </is>
      </c>
      <c r="J449" s="0" t="inlineStr">
        <is>
          <t>YES! 主键相关索引</t>
        </is>
      </c>
      <c r="K449" s="0" t="inlineStr">
        <is>
          <t xml:space="preserve"> NO!  	 id列源备映射错误，源端为int None位	期望更改为text	实际备端为int None位</t>
        </is>
      </c>
      <c r="BX449" s="0" t="inlineStr">
        <is>
          <t>50行 5列，源：0001-01-01 00:00:00.0000 +00:00 备：2063-05-11 10:30:45.1235 -04:00</t>
        </is>
      </c>
      <c r="EH449" s="0" t="inlineStr">
        <is>
          <t>26行 13列，源：None 备：0.0000010000</t>
        </is>
      </c>
      <c r="ES449" s="0" t="inlineStr">
        <is>
          <t>26行 13列，源：None 备：0.0000010000</t>
        </is>
      </c>
    </row>
    <row r="450">
      <c r="B450" s="0" t="inlineStr">
        <is>
          <t>NULL</t>
        </is>
      </c>
      <c r="C450" s="0" t="inlineStr">
        <is>
          <t>NULL</t>
        </is>
      </c>
      <c r="D450" s="0" t="inlineStr">
        <is>
          <t>NULL</t>
        </is>
      </c>
      <c r="E450" s="0" t="inlineStr">
        <is>
          <t>NULL</t>
        </is>
      </c>
      <c r="F450" s="0" t="inlineStr">
        <is>
          <t>NULL</t>
        </is>
      </c>
      <c r="G450" s="0" t="inlineStr">
        <is>
          <t>NULL</t>
        </is>
      </c>
      <c r="H450" s="0" t="inlineStr">
        <is>
          <t>NULL</t>
        </is>
      </c>
      <c r="I450" s="0" t="inlineStr">
        <is>
          <t>NULL</t>
        </is>
      </c>
      <c r="J450" s="0" t="inlineStr">
        <is>
          <t>NULL</t>
        </is>
      </c>
      <c r="K450" s="0" t="inlineStr">
        <is>
          <t xml:space="preserve"> NO!  	 c_hierarchyid列源备映射错误，源端为hierarchyid 892位	期望更改为text	实际备端为hierarchyid 892位</t>
        </is>
      </c>
      <c r="BX450" s="0" t="inlineStr">
        <is>
          <t>50行 6列，源：0001-01-01 00:00:00.00000 +00:00 备：2063-05-11 10:30:45.12346 -04:00</t>
        </is>
      </c>
      <c r="EH450" s="0" t="inlineStr">
        <is>
          <t>26行 14列，源：None 备：0.01</t>
        </is>
      </c>
      <c r="ES450" s="0" t="inlineStr">
        <is>
          <t>26行 14列，源：None 备：0.01</t>
        </is>
      </c>
    </row>
    <row r="451">
      <c r="A451" s="0" t="inlineStr">
        <is>
          <t>info_nvarchar_dml_single_pk_urp</t>
        </is>
      </c>
      <c r="K451" s="0" t="inlineStr">
        <is>
          <t>[0;34m info_nvarchar_dml_single_pk_urp [0m源备字段数相同，源端字段：4 	备端字段4</t>
        </is>
      </c>
      <c r="W451" s="2">
        <f>HYPERLINK("#2026041905hbase4!BS2","NO 源备存在差异，共54个")</f>
        <v/>
      </c>
      <c r="X451" s="0">
        <f>A451</f>
        <v/>
      </c>
      <c r="BX451" s="0" t="inlineStr">
        <is>
          <t>50行 7列，源：0001-01-01 00:00:00.000000 +00:00 备：2063-05-11 10:30:45.123457 -04:00</t>
        </is>
      </c>
      <c r="EH451" s="0" t="inlineStr">
        <is>
          <t>26行 15列，源：nan 备：</t>
        </is>
      </c>
      <c r="ES451" s="0" t="inlineStr">
        <is>
          <t>26行 15列，源：nan 备：</t>
        </is>
      </c>
    </row>
    <row r="452">
      <c r="B452" s="0" t="inlineStr">
        <is>
          <t>YES</t>
        </is>
      </c>
      <c r="C452" s="0" t="inlineStr">
        <is>
          <t>NULL</t>
        </is>
      </c>
      <c r="D452" s="0" t="inlineStr">
        <is>
          <t>NULL</t>
        </is>
      </c>
      <c r="E452" s="0" t="inlineStr">
        <is>
          <t>NULL</t>
        </is>
      </c>
      <c r="F452" s="0" t="inlineStr">
        <is>
          <t>NULL</t>
        </is>
      </c>
      <c r="G452" s="0" t="inlineStr">
        <is>
          <t>NULL</t>
        </is>
      </c>
      <c r="H452" s="0" t="inlineStr">
        <is>
          <t>NULL</t>
        </is>
      </c>
      <c r="I452" s="0" t="inlineStr">
        <is>
          <t>YES!PK__info_nva__3213E83FAF229797</t>
        </is>
      </c>
      <c r="J452" s="0" t="inlineStr">
        <is>
          <t>YES! 主键相关索引</t>
        </is>
      </c>
      <c r="K452" s="0" t="inlineStr">
        <is>
          <t xml:space="preserve"> NO!  	 id列源备映射错误，源端为int None位	期望更改为text	实际备端为int None位</t>
        </is>
      </c>
      <c r="BX452" s="0" t="inlineStr">
        <is>
          <t>50行 8列，源：0001-01-01 00:00:00.0000000 +00:00 备：2063-05-11 10:30:45.1234567 -04:00</t>
        </is>
      </c>
      <c r="EH452" s="0" t="inlineStr">
        <is>
          <t>26行 16列，源：nan 备：</t>
        </is>
      </c>
      <c r="ES452" s="0" t="inlineStr">
        <is>
          <t>26行 16列，源：nan 备：</t>
        </is>
      </c>
    </row>
    <row r="453">
      <c r="B453" s="0" t="inlineStr">
        <is>
          <t>NULL</t>
        </is>
      </c>
      <c r="C453" s="0" t="inlineStr">
        <is>
          <t>NULL</t>
        </is>
      </c>
      <c r="D453" s="0" t="inlineStr">
        <is>
          <t>NULL</t>
        </is>
      </c>
      <c r="E453" s="0" t="inlineStr">
        <is>
          <t>NULL</t>
        </is>
      </c>
      <c r="F453" s="0" t="inlineStr">
        <is>
          <t>NULL</t>
        </is>
      </c>
      <c r="G453" s="0" t="inlineStr">
        <is>
          <t>NULL</t>
        </is>
      </c>
      <c r="H453" s="0" t="inlineStr">
        <is>
          <t>NULL</t>
        </is>
      </c>
      <c r="I453" s="0" t="inlineStr">
        <is>
          <t>NULL</t>
        </is>
      </c>
      <c r="J453" s="0" t="inlineStr">
        <is>
          <t>NULL</t>
        </is>
      </c>
      <c r="K453" s="0" t="inlineStr">
        <is>
          <t xml:space="preserve"> NO!  	 c_nvarchar列源备映射错误，源端为nvarchar 2位	期望更改为text	实际备端为nvarchar 2位</t>
        </is>
      </c>
      <c r="BX453" s="0" t="inlineStr">
        <is>
          <t>51行 0列，源：177 备：7</t>
        </is>
      </c>
      <c r="EH453" s="0" t="inlineStr">
        <is>
          <t>26行 17列，源：None 备：</t>
        </is>
      </c>
      <c r="ES453" s="0" t="inlineStr">
        <is>
          <t>26行 17列，源：None 备：</t>
        </is>
      </c>
    </row>
    <row r="454">
      <c r="B454" s="0" t="inlineStr">
        <is>
          <t>NULL</t>
        </is>
      </c>
      <c r="C454" s="0" t="inlineStr">
        <is>
          <t>NULL</t>
        </is>
      </c>
      <c r="D454" s="0" t="inlineStr">
        <is>
          <t>NULL</t>
        </is>
      </c>
      <c r="E454" s="0" t="inlineStr">
        <is>
          <t>NULL</t>
        </is>
      </c>
      <c r="F454" s="0" t="inlineStr">
        <is>
          <t>NULL</t>
        </is>
      </c>
      <c r="G454" s="0" t="inlineStr">
        <is>
          <t>NULL</t>
        </is>
      </c>
      <c r="H454" s="0" t="inlineStr">
        <is>
          <t>NULL</t>
        </is>
      </c>
      <c r="I454" s="0" t="inlineStr">
        <is>
          <t>NULL</t>
        </is>
      </c>
      <c r="J454" s="0" t="inlineStr">
        <is>
          <t>NULL</t>
        </is>
      </c>
      <c r="K454" s="0" t="inlineStr">
        <is>
          <t xml:space="preserve"> NO!  	 c_nvarchar20列源备映射错误，源端为nvarchar 40位	期望更改为text	实际备端为nvarchar 40位</t>
        </is>
      </c>
      <c r="BX454" s="0" t="inlineStr">
        <is>
          <t>52行 0列，源：178 备：72</t>
        </is>
      </c>
      <c r="EH454" s="0" t="inlineStr">
        <is>
          <t>26行 18列，源：None 备：</t>
        </is>
      </c>
      <c r="ES454" s="0" t="inlineStr">
        <is>
          <t>26行 18列，源：None 备：</t>
        </is>
      </c>
    </row>
    <row r="455">
      <c r="B455" s="0" t="inlineStr">
        <is>
          <t>NULL</t>
        </is>
      </c>
      <c r="C455" s="0" t="inlineStr">
        <is>
          <t>NULL</t>
        </is>
      </c>
      <c r="D455" s="0" t="inlineStr">
        <is>
          <t>NULL</t>
        </is>
      </c>
      <c r="E455" s="0" t="inlineStr">
        <is>
          <t>NULL</t>
        </is>
      </c>
      <c r="F455" s="0" t="inlineStr">
        <is>
          <t>NULL</t>
        </is>
      </c>
      <c r="G455" s="0" t="inlineStr">
        <is>
          <t>NULL</t>
        </is>
      </c>
      <c r="H455" s="0" t="inlineStr">
        <is>
          <t>NULL</t>
        </is>
      </c>
      <c r="I455" s="0" t="inlineStr">
        <is>
          <t>NULL</t>
        </is>
      </c>
      <c r="J455" s="0" t="inlineStr">
        <is>
          <t>NULL</t>
        </is>
      </c>
      <c r="K455" s="0" t="inlineStr">
        <is>
          <t xml:space="preserve"> NO!  	 c_nvarchar4000列源备映射错误，源端为nvarchar 8000位	期望更改为text	实际备端为nvarchar 8000位</t>
        </is>
      </c>
      <c r="BX455" s="0" t="inlineStr">
        <is>
          <t>52行 1列，源：2000-05-11 00:30:45 +09:00 备：1900-01-01 00:00:00 +00:00</t>
        </is>
      </c>
      <c r="EH455" s="0" t="inlineStr">
        <is>
          <t>26行 19列，源：None 备：</t>
        </is>
      </c>
      <c r="ES455" s="0" t="inlineStr">
        <is>
          <t>26行 19列，源：None 备：</t>
        </is>
      </c>
    </row>
    <row r="456">
      <c r="A456" s="0" t="inlineStr">
        <is>
          <t>info_binary_dml_batch2_pk_irp1</t>
        </is>
      </c>
      <c r="K456" s="0" t="inlineStr">
        <is>
          <t>[0;34m info_binary_dml_batch2_pk_irp1 [0m源备字段数相同，源端字段：4 	备端字段4</t>
        </is>
      </c>
      <c r="W456" s="2">
        <f>HYPERLINK("#2026041905hbase4!BT2","NO 源备存在差异，共39个")</f>
        <v/>
      </c>
      <c r="X456" s="0">
        <f>A456</f>
        <v/>
      </c>
      <c r="BX456" s="0" t="inlineStr">
        <is>
          <t>52行 2列，源：2000-05-11 00:30:45.1 +09:00 备：1900-01-01 00:00:00.0 +00:00</t>
        </is>
      </c>
      <c r="EH456" s="0" t="inlineStr">
        <is>
          <t>27行 0列，源：58 备：151</t>
        </is>
      </c>
      <c r="ES456" s="0" t="inlineStr">
        <is>
          <t>27行 0列，源：58 备：16</t>
        </is>
      </c>
    </row>
    <row r="457">
      <c r="B457" s="0" t="inlineStr">
        <is>
          <t>YES</t>
        </is>
      </c>
      <c r="C457" s="0" t="inlineStr">
        <is>
          <t>NULL</t>
        </is>
      </c>
      <c r="D457" s="0" t="inlineStr">
        <is>
          <t>NULL</t>
        </is>
      </c>
      <c r="E457" s="0" t="inlineStr">
        <is>
          <t>NULL</t>
        </is>
      </c>
      <c r="F457" s="0" t="inlineStr">
        <is>
          <t>NULL</t>
        </is>
      </c>
      <c r="G457" s="0" t="inlineStr">
        <is>
          <t>NULL</t>
        </is>
      </c>
      <c r="H457" s="0" t="inlineStr">
        <is>
          <t>NULL</t>
        </is>
      </c>
      <c r="I457" s="0" t="inlineStr">
        <is>
          <t>YES!PK__info_bin__3213E83F3599A83E</t>
        </is>
      </c>
      <c r="J457" s="0" t="inlineStr">
        <is>
          <t>YES! 主键相关索引</t>
        </is>
      </c>
      <c r="K457" s="0" t="inlineStr">
        <is>
          <t xml:space="preserve"> NO!  	 id列源备映射错误，源端为int None位	期望更改为text	实际备端为int None位</t>
        </is>
      </c>
      <c r="BX457" s="0" t="inlineStr">
        <is>
          <t>52行 3列，源：2000-05-11 00:30:45.12 +09:00 备：1900-01-01 00:00:00.00 +00:00</t>
        </is>
      </c>
      <c r="EH457" s="0" t="inlineStr">
        <is>
          <t>27行 1列，源：0.0 备：</t>
        </is>
      </c>
      <c r="ES457" s="0" t="inlineStr">
        <is>
          <t>27行 1列，源：0.0 备：</t>
        </is>
      </c>
    </row>
    <row r="458">
      <c r="B458" s="0" t="inlineStr">
        <is>
          <t>NULL</t>
        </is>
      </c>
      <c r="C458" s="0" t="inlineStr">
        <is>
          <t>NULL</t>
        </is>
      </c>
      <c r="D458" s="0" t="inlineStr">
        <is>
          <t>NULL</t>
        </is>
      </c>
      <c r="E458" s="0" t="inlineStr">
        <is>
          <t>NULL</t>
        </is>
      </c>
      <c r="F458" s="0" t="inlineStr">
        <is>
          <t>NULL</t>
        </is>
      </c>
      <c r="G458" s="0" t="inlineStr">
        <is>
          <t>NULL</t>
        </is>
      </c>
      <c r="H458" s="0" t="inlineStr">
        <is>
          <t>NULL</t>
        </is>
      </c>
      <c r="I458" s="0" t="inlineStr">
        <is>
          <t>NULL</t>
        </is>
      </c>
      <c r="J458" s="0" t="inlineStr">
        <is>
          <t>NULL</t>
        </is>
      </c>
      <c r="K458" s="0" t="inlineStr">
        <is>
          <t xml:space="preserve"> NO!  	 c_binary列源备映射错误，源端为binary 1位	期望更改为text	实际备端为binary 1位</t>
        </is>
      </c>
      <c r="BX458" s="0" t="inlineStr">
        <is>
          <t>52行 4列，源：2000-05-11 00:30:45.123 +09:00 备：1900-01-01 00:00:00.000 +00:00</t>
        </is>
      </c>
      <c r="EH458" s="0" t="inlineStr">
        <is>
          <t>27行 2列，源：-32768.0 备：</t>
        </is>
      </c>
      <c r="ES458" s="0" t="inlineStr">
        <is>
          <t>27行 2列，源：-32768.0 备：</t>
        </is>
      </c>
    </row>
    <row r="459">
      <c r="B459" s="0" t="inlineStr">
        <is>
          <t>NULL</t>
        </is>
      </c>
      <c r="C459" s="0" t="inlineStr">
        <is>
          <t>NULL</t>
        </is>
      </c>
      <c r="D459" s="0" t="inlineStr">
        <is>
          <t>NULL</t>
        </is>
      </c>
      <c r="E459" s="0" t="inlineStr">
        <is>
          <t>NULL</t>
        </is>
      </c>
      <c r="F459" s="0" t="inlineStr">
        <is>
          <t>NULL</t>
        </is>
      </c>
      <c r="G459" s="0" t="inlineStr">
        <is>
          <t>NULL</t>
        </is>
      </c>
      <c r="H459" s="0" t="inlineStr">
        <is>
          <t>NULL</t>
        </is>
      </c>
      <c r="I459" s="0" t="inlineStr">
        <is>
          <t>NULL</t>
        </is>
      </c>
      <c r="J459" s="0" t="inlineStr">
        <is>
          <t>NULL</t>
        </is>
      </c>
      <c r="K459" s="0" t="inlineStr">
        <is>
          <t xml:space="preserve"> NO!  	 c_binary_20列源备映射错误，源端为binary 20位	期望更改为text	实际备端为binary 20位</t>
        </is>
      </c>
      <c r="BX459" s="0" t="inlineStr">
        <is>
          <t>52行 5列，源：2000-05-11 00:30:45.1235 +09:00 备：1900-01-01 00:00:00.0000 +00:00</t>
        </is>
      </c>
      <c r="EH459" s="0" t="inlineStr">
        <is>
          <t>27行 3列，源：-2147483648.0 备：</t>
        </is>
      </c>
      <c r="ES459" s="0" t="inlineStr">
        <is>
          <t>27行 3列，源：-2147483648.0 备：</t>
        </is>
      </c>
    </row>
    <row r="460">
      <c r="B460" s="0" t="inlineStr">
        <is>
          <t>NULL</t>
        </is>
      </c>
      <c r="C460" s="0" t="inlineStr">
        <is>
          <t>NULL</t>
        </is>
      </c>
      <c r="D460" s="0" t="inlineStr">
        <is>
          <t>NULL</t>
        </is>
      </c>
      <c r="E460" s="0" t="inlineStr">
        <is>
          <t>NULL</t>
        </is>
      </c>
      <c r="F460" s="0" t="inlineStr">
        <is>
          <t>NULL</t>
        </is>
      </c>
      <c r="G460" s="0" t="inlineStr">
        <is>
          <t>NULL</t>
        </is>
      </c>
      <c r="H460" s="0" t="inlineStr">
        <is>
          <t>NULL</t>
        </is>
      </c>
      <c r="I460" s="0" t="inlineStr">
        <is>
          <t>NULL</t>
        </is>
      </c>
      <c r="J460" s="0" t="inlineStr">
        <is>
          <t>NULL</t>
        </is>
      </c>
      <c r="K460" s="0" t="inlineStr">
        <is>
          <t xml:space="preserve"> NO!  	 c_binary_200列源备映射错误，源端为binary 200位	期望更改为text	实际备端为binary 200位</t>
        </is>
      </c>
      <c r="BX460" s="0" t="inlineStr">
        <is>
          <t>52行 6列，源：2000-05-11 00:30:45.12346 +09:00 备：1900-01-01 00:00:00.00000 +00:00</t>
        </is>
      </c>
      <c r="EH460" s="0" t="inlineStr">
        <is>
          <t>27行 4列，源：-9.223372036854776e+18 备：</t>
        </is>
      </c>
      <c r="ES460" s="0" t="inlineStr">
        <is>
          <t>27行 4列，源：-9.223372036854776e+18 备：</t>
        </is>
      </c>
    </row>
    <row r="461">
      <c r="A461" s="0" t="inlineStr">
        <is>
          <t>info_nchar_dml_batch2_pk_irp1</t>
        </is>
      </c>
      <c r="K461" s="0" t="inlineStr">
        <is>
          <t>[0;34m info_nchar_dml_batch2_pk_irp1 [0m源备字段数相同，源端字段：4 	备端字段4</t>
        </is>
      </c>
      <c r="W461" s="2">
        <f>HYPERLINK("#2026041905hbase4!BU2","NO 源备存在差异，共3个")</f>
        <v/>
      </c>
      <c r="X461" s="0">
        <f>A461</f>
        <v/>
      </c>
      <c r="BX461" s="0" t="inlineStr">
        <is>
          <t>52行 7列，源：2000-05-11 00:30:45.123457 +09:00 备：1900-01-01 00:00:00.000000 +00:00</t>
        </is>
      </c>
      <c r="EH461" s="0" t="inlineStr">
        <is>
          <t>27行 5列，源：None 备：</t>
        </is>
      </c>
      <c r="ES461" s="0" t="inlineStr">
        <is>
          <t>27行 5列，源：None 备：</t>
        </is>
      </c>
    </row>
    <row r="462">
      <c r="B462" s="0" t="inlineStr">
        <is>
          <t>YES</t>
        </is>
      </c>
      <c r="C462" s="0" t="inlineStr">
        <is>
          <t>NULL</t>
        </is>
      </c>
      <c r="D462" s="0" t="inlineStr">
        <is>
          <t>NULL</t>
        </is>
      </c>
      <c r="E462" s="0" t="inlineStr">
        <is>
          <t>NULL</t>
        </is>
      </c>
      <c r="F462" s="0" t="inlineStr">
        <is>
          <t>NULL</t>
        </is>
      </c>
      <c r="G462" s="0" t="inlineStr">
        <is>
          <t>NULL</t>
        </is>
      </c>
      <c r="H462" s="0" t="inlineStr">
        <is>
          <t>NULL</t>
        </is>
      </c>
      <c r="I462" s="0" t="inlineStr">
        <is>
          <t>YES!PK__info_nch__3213E83FD88EF579</t>
        </is>
      </c>
      <c r="J462" s="0" t="inlineStr">
        <is>
          <t>YES! 主键相关索引</t>
        </is>
      </c>
      <c r="K462" s="0" t="inlineStr">
        <is>
          <t xml:space="preserve"> NO!  	 id列源备映射错误，源端为int None位	期望更改为text	实际备端为int None位</t>
        </is>
      </c>
      <c r="BX462" s="0" t="inlineStr">
        <is>
          <t>52行 8列，源：2000-05-11 00:30:45.1234567 +09:00 备：1900-01-01 00:00:00.0000000 +00:00</t>
        </is>
      </c>
      <c r="EH462" s="0" t="inlineStr">
        <is>
          <t>27行 6列，源：None 备：</t>
        </is>
      </c>
      <c r="ES462" s="0" t="inlineStr">
        <is>
          <t>27行 6列，源：None 备：</t>
        </is>
      </c>
    </row>
    <row r="463">
      <c r="B463" s="0" t="inlineStr">
        <is>
          <t>NULL</t>
        </is>
      </c>
      <c r="C463" s="0" t="inlineStr">
        <is>
          <t>NULL</t>
        </is>
      </c>
      <c r="D463" s="0" t="inlineStr">
        <is>
          <t>NULL</t>
        </is>
      </c>
      <c r="E463" s="0" t="inlineStr">
        <is>
          <t>NULL</t>
        </is>
      </c>
      <c r="F463" s="0" t="inlineStr">
        <is>
          <t>NULL</t>
        </is>
      </c>
      <c r="G463" s="0" t="inlineStr">
        <is>
          <t>NULL</t>
        </is>
      </c>
      <c r="H463" s="0" t="inlineStr">
        <is>
          <t>NULL</t>
        </is>
      </c>
      <c r="I463" s="0" t="inlineStr">
        <is>
          <t>NULL</t>
        </is>
      </c>
      <c r="J463" s="0" t="inlineStr">
        <is>
          <t>NULL</t>
        </is>
      </c>
      <c r="K463" s="0" t="inlineStr">
        <is>
          <t xml:space="preserve"> NO!  	 c_nchar列源备映射错误，源端为nchar 2位	期望更改为text	实际备端为nchar 2位</t>
        </is>
      </c>
      <c r="BX463" s="0" t="inlineStr">
        <is>
          <t>53行 0列，源：179 备：73</t>
        </is>
      </c>
      <c r="EH463" s="0" t="inlineStr">
        <is>
          <t>27行 7列，源：None 备：</t>
        </is>
      </c>
      <c r="ES463" s="0" t="inlineStr">
        <is>
          <t>27行 7列，源：None 备：</t>
        </is>
      </c>
    </row>
    <row r="464">
      <c r="B464" s="0" t="inlineStr">
        <is>
          <t>NULL</t>
        </is>
      </c>
      <c r="C464" s="0" t="inlineStr">
        <is>
          <t>NULL</t>
        </is>
      </c>
      <c r="D464" s="0" t="inlineStr">
        <is>
          <t>NULL</t>
        </is>
      </c>
      <c r="E464" s="0" t="inlineStr">
        <is>
          <t>NULL</t>
        </is>
      </c>
      <c r="F464" s="0" t="inlineStr">
        <is>
          <t>NULL</t>
        </is>
      </c>
      <c r="G464" s="0" t="inlineStr">
        <is>
          <t>NULL</t>
        </is>
      </c>
      <c r="H464" s="0" t="inlineStr">
        <is>
          <t>NULL</t>
        </is>
      </c>
      <c r="I464" s="0" t="inlineStr">
        <is>
          <t>NULL</t>
        </is>
      </c>
      <c r="J464" s="0" t="inlineStr">
        <is>
          <t>NULL</t>
        </is>
      </c>
      <c r="K464" s="0" t="inlineStr">
        <is>
          <t xml:space="preserve"> NO!  	 c_nchar20列源备映射错误，源端为nchar 40位	期望更改为text	实际备端为nchar 40位</t>
        </is>
      </c>
      <c r="BX464" s="0" t="inlineStr">
        <is>
          <t>53行 1列，源：1999-05-16 01:30:45 +10:15 备：2026-04-17 17:18:23 +08:00</t>
        </is>
      </c>
      <c r="EH464" s="0" t="inlineStr">
        <is>
          <t>27行 8列，源：None 备：</t>
        </is>
      </c>
      <c r="ES464" s="0" t="inlineStr">
        <is>
          <t>27行 8列，源：None 备：</t>
        </is>
      </c>
    </row>
    <row r="465">
      <c r="B465" s="0" t="inlineStr">
        <is>
          <t>NULL</t>
        </is>
      </c>
      <c r="C465" s="0" t="inlineStr">
        <is>
          <t>NULL</t>
        </is>
      </c>
      <c r="D465" s="0" t="inlineStr">
        <is>
          <t>NULL</t>
        </is>
      </c>
      <c r="E465" s="0" t="inlineStr">
        <is>
          <t>NULL</t>
        </is>
      </c>
      <c r="F465" s="0" t="inlineStr">
        <is>
          <t>NULL</t>
        </is>
      </c>
      <c r="G465" s="0" t="inlineStr">
        <is>
          <t>NULL</t>
        </is>
      </c>
      <c r="H465" s="0" t="inlineStr">
        <is>
          <t>NULL</t>
        </is>
      </c>
      <c r="I465" s="0" t="inlineStr">
        <is>
          <t>NULL</t>
        </is>
      </c>
      <c r="J465" s="0" t="inlineStr">
        <is>
          <t>NULL</t>
        </is>
      </c>
      <c r="K465" s="0" t="inlineStr">
        <is>
          <t xml:space="preserve"> NO!  	 c_nchar3500列源备映射错误，源端为nchar 7000位	期望更改为text	实际备端为nchar 7000位</t>
        </is>
      </c>
      <c r="BX465" s="0" t="inlineStr">
        <is>
          <t>53行 2列，源：1999-05-16 01:30:45.1 +10:15 备：2026-04-17 17:18:22.8 +08:00</t>
        </is>
      </c>
      <c r="EH465" s="0" t="inlineStr">
        <is>
          <t>27行 9列，源：None 备：</t>
        </is>
      </c>
      <c r="ES465" s="0" t="inlineStr">
        <is>
          <t>27行 9列，源：None 备：</t>
        </is>
      </c>
    </row>
    <row r="466">
      <c r="A466" s="0" t="inlineStr">
        <is>
          <t>info_datetime2_dml_batch1_pk</t>
        </is>
      </c>
      <c r="K466" s="0" t="inlineStr">
        <is>
          <t>[0;34m info_datetime2_dml_batch1_pk [0m源备字段数相同，源端字段：9 	备端字段9</t>
        </is>
      </c>
      <c r="W466" s="0" t="inlineStr">
        <is>
          <t>YES 源备无差异</t>
        </is>
      </c>
      <c r="X466" s="0">
        <f>A466</f>
        <v/>
      </c>
      <c r="BX466" s="0" t="inlineStr">
        <is>
          <t>53行 3列，源：1999-05-16 01:30:45.12 +10:15 备：2026-04-17 17:18:22.75 +08:00</t>
        </is>
      </c>
      <c r="EH466" s="0" t="inlineStr">
        <is>
          <t>27行 10列，源：None 备：</t>
        </is>
      </c>
      <c r="ES466" s="0" t="inlineStr">
        <is>
          <t>27行 10列，源：None 备：</t>
        </is>
      </c>
    </row>
    <row r="467">
      <c r="B467" s="0" t="inlineStr">
        <is>
          <t>YES</t>
        </is>
      </c>
      <c r="C467" s="0" t="inlineStr">
        <is>
          <t>NULL</t>
        </is>
      </c>
      <c r="D467" s="0" t="inlineStr">
        <is>
          <t>NULL</t>
        </is>
      </c>
      <c r="E467" s="0" t="inlineStr">
        <is>
          <t>NULL</t>
        </is>
      </c>
      <c r="F467" s="0" t="inlineStr">
        <is>
          <t>NULL</t>
        </is>
      </c>
      <c r="G467" s="0" t="inlineStr">
        <is>
          <t>NULL</t>
        </is>
      </c>
      <c r="H467" s="0" t="inlineStr">
        <is>
          <t>NULL</t>
        </is>
      </c>
      <c r="I467" s="0" t="inlineStr">
        <is>
          <t>YES!PK__info_dat__3213E83F0727CB4E</t>
        </is>
      </c>
      <c r="J467" s="0" t="inlineStr">
        <is>
          <t>YES! 主键相关索引</t>
        </is>
      </c>
      <c r="K467" s="0" t="inlineStr">
        <is>
          <t xml:space="preserve"> NO!  	 id列源备映射错误，源端为int None位	期望更改为text	实际备端为int None位</t>
        </is>
      </c>
      <c r="BX467" s="0" t="inlineStr">
        <is>
          <t>53行 4列，源：1999-05-16 01:30:45.123 +10:15 备：2026-04-17 17:18:22.755 +08:00</t>
        </is>
      </c>
      <c r="EH467" s="0" t="inlineStr">
        <is>
          <t>27行 11列，源：None 备：</t>
        </is>
      </c>
      <c r="ES467" s="0" t="inlineStr">
        <is>
          <t>27行 11列，源：None 备：</t>
        </is>
      </c>
    </row>
    <row r="468">
      <c r="B468" s="0" t="inlineStr">
        <is>
          <t>NULL</t>
        </is>
      </c>
      <c r="C468" s="0" t="inlineStr">
        <is>
          <t>NULL</t>
        </is>
      </c>
      <c r="D468" s="0" t="inlineStr">
        <is>
          <t>NULL</t>
        </is>
      </c>
      <c r="E468" s="0" t="inlineStr">
        <is>
          <t>NULL</t>
        </is>
      </c>
      <c r="F468" s="0" t="inlineStr">
        <is>
          <t>NULL</t>
        </is>
      </c>
      <c r="G468" s="0" t="inlineStr">
        <is>
          <t>NULL</t>
        </is>
      </c>
      <c r="H468" s="0" t="inlineStr">
        <is>
          <t>NULL</t>
        </is>
      </c>
      <c r="I468" s="0" t="inlineStr">
        <is>
          <t>NULL</t>
        </is>
      </c>
      <c r="J468" s="0" t="inlineStr">
        <is>
          <t>NULL</t>
        </is>
      </c>
      <c r="K468" s="0" t="inlineStr">
        <is>
          <t xml:space="preserve"> NO!  	 c_dt2_0列源备映射错误，源端为datetime2 None位	期望更改为text	实际备端为datetime2 None位</t>
        </is>
      </c>
      <c r="BX468" s="0" t="inlineStr">
        <is>
          <t>53行 5列，源：1999-05-16 01:30:45.1235 +10:15 备：2026-04-17 17:18:22.7550 +08:00</t>
        </is>
      </c>
      <c r="EH468" s="0" t="inlineStr">
        <is>
          <t>27行 12列，源：None 备：</t>
        </is>
      </c>
      <c r="ES468" s="0" t="inlineStr">
        <is>
          <t>27行 12列，源：None 备：</t>
        </is>
      </c>
    </row>
    <row r="469">
      <c r="B469" s="0" t="inlineStr">
        <is>
          <t>NULL</t>
        </is>
      </c>
      <c r="C469" s="0" t="inlineStr">
        <is>
          <t>NULL</t>
        </is>
      </c>
      <c r="D469" s="0" t="inlineStr">
        <is>
          <t>NULL</t>
        </is>
      </c>
      <c r="E469" s="0" t="inlineStr">
        <is>
          <t>NULL</t>
        </is>
      </c>
      <c r="F469" s="0" t="inlineStr">
        <is>
          <t>NULL</t>
        </is>
      </c>
      <c r="G469" s="0" t="inlineStr">
        <is>
          <t>NULL</t>
        </is>
      </c>
      <c r="H469" s="0" t="inlineStr">
        <is>
          <t>NULL</t>
        </is>
      </c>
      <c r="I469" s="0" t="inlineStr">
        <is>
          <t>NULL</t>
        </is>
      </c>
      <c r="J469" s="0" t="inlineStr">
        <is>
          <t>NULL</t>
        </is>
      </c>
      <c r="K469" s="0" t="inlineStr">
        <is>
          <t xml:space="preserve"> NO!  	 c_dt2_1列源备映射错误，源端为datetime2 None位	期望更改为text	实际备端为datetime2 None位</t>
        </is>
      </c>
      <c r="BX469" s="0" t="inlineStr">
        <is>
          <t>53行 6列，源：1999-05-16 01:30:45.12346 +10:15 备：2026-04-17 17:18:22.75495 +08:00</t>
        </is>
      </c>
      <c r="EH469" s="0" t="inlineStr">
        <is>
          <t>27行 13列，源：None 备：</t>
        </is>
      </c>
      <c r="ES469" s="0" t="inlineStr">
        <is>
          <t>27行 13列，源：None 备：</t>
        </is>
      </c>
    </row>
    <row r="470">
      <c r="B470" s="0" t="inlineStr">
        <is>
          <t>NULL</t>
        </is>
      </c>
      <c r="C470" s="0" t="inlineStr">
        <is>
          <t>NULL</t>
        </is>
      </c>
      <c r="D470" s="0" t="inlineStr">
        <is>
          <t>NULL</t>
        </is>
      </c>
      <c r="E470" s="0" t="inlineStr">
        <is>
          <t>NULL</t>
        </is>
      </c>
      <c r="F470" s="0" t="inlineStr">
        <is>
          <t>NULL</t>
        </is>
      </c>
      <c r="G470" s="0" t="inlineStr">
        <is>
          <t>NULL</t>
        </is>
      </c>
      <c r="H470" s="0" t="inlineStr">
        <is>
          <t>NULL</t>
        </is>
      </c>
      <c r="I470" s="0" t="inlineStr">
        <is>
          <t>NULL</t>
        </is>
      </c>
      <c r="J470" s="0" t="inlineStr">
        <is>
          <t>NULL</t>
        </is>
      </c>
      <c r="K470" s="0" t="inlineStr">
        <is>
          <t xml:space="preserve"> NO!  	 c_dt2_2列源备映射错误，源端为datetime2 None位	期望更改为text	实际备端为datetime2 None位</t>
        </is>
      </c>
      <c r="BX470" s="0" t="inlineStr">
        <is>
          <t>53行 7列，源：1999-05-16 01:30:45.123457 +10:15 备：2026-04-17 17:18:22.754952 +08:00</t>
        </is>
      </c>
      <c r="EH470" s="0" t="inlineStr">
        <is>
          <t>27行 14列，源：None 备：</t>
        </is>
      </c>
      <c r="ES470" s="0" t="inlineStr">
        <is>
          <t>27行 14列，源：None 备：</t>
        </is>
      </c>
    </row>
    <row r="471">
      <c r="B471" s="0" t="inlineStr">
        <is>
          <t>NULL</t>
        </is>
      </c>
      <c r="C471" s="0" t="inlineStr">
        <is>
          <t>NULL</t>
        </is>
      </c>
      <c r="D471" s="0" t="inlineStr">
        <is>
          <t>NULL</t>
        </is>
      </c>
      <c r="E471" s="0" t="inlineStr">
        <is>
          <t>NULL</t>
        </is>
      </c>
      <c r="F471" s="0" t="inlineStr">
        <is>
          <t>NULL</t>
        </is>
      </c>
      <c r="G471" s="0" t="inlineStr">
        <is>
          <t>NULL</t>
        </is>
      </c>
      <c r="H471" s="0" t="inlineStr">
        <is>
          <t>NULL</t>
        </is>
      </c>
      <c r="I471" s="0" t="inlineStr">
        <is>
          <t>NULL</t>
        </is>
      </c>
      <c r="J471" s="0" t="inlineStr">
        <is>
          <t>NULL</t>
        </is>
      </c>
      <c r="K471" s="0" t="inlineStr">
        <is>
          <t xml:space="preserve"> NO!  	 c_dt2_3列源备映射错误，源端为datetime2 None位	期望更改为text	实际备端为datetime2 None位</t>
        </is>
      </c>
      <c r="BX471" s="0" t="inlineStr">
        <is>
          <t>53行 8列，源：1999-05-16 01:30:45.1234567 +10:15 备：2026-04-17 17:18:22.7549521 +08:00</t>
        </is>
      </c>
      <c r="EH471" s="0" t="inlineStr">
        <is>
          <t>27行 15列，源：nan 备：</t>
        </is>
      </c>
      <c r="ES471" s="0" t="inlineStr">
        <is>
          <t>27行 15列，源：nan 备：123456789000000002003480098325095514112.0000000000000</t>
        </is>
      </c>
    </row>
    <row r="472">
      <c r="B472" s="0" t="inlineStr">
        <is>
          <t>NULL</t>
        </is>
      </c>
      <c r="C472" s="0" t="inlineStr">
        <is>
          <t>NULL</t>
        </is>
      </c>
      <c r="D472" s="0" t="inlineStr">
        <is>
          <t>NULL</t>
        </is>
      </c>
      <c r="E472" s="0" t="inlineStr">
        <is>
          <t>NULL</t>
        </is>
      </c>
      <c r="F472" s="0" t="inlineStr">
        <is>
          <t>NULL</t>
        </is>
      </c>
      <c r="G472" s="0" t="inlineStr">
        <is>
          <t>NULL</t>
        </is>
      </c>
      <c r="H472" s="0" t="inlineStr">
        <is>
          <t>NULL</t>
        </is>
      </c>
      <c r="I472" s="0" t="inlineStr">
        <is>
          <t>NULL</t>
        </is>
      </c>
      <c r="J472" s="0" t="inlineStr">
        <is>
          <t>NULL</t>
        </is>
      </c>
      <c r="K472" s="0" t="inlineStr">
        <is>
          <t xml:space="preserve"> NO!  	 c_dt2_4列源备映射错误，源端为datetime2 None位	期望更改为text	实际备端为datetime2 None位</t>
        </is>
      </c>
      <c r="BX472" s="0" t="inlineStr">
        <is>
          <t>54行 0列，源：180 备：74</t>
        </is>
      </c>
      <c r="EH472" s="0" t="inlineStr">
        <is>
          <t>27行 16列，源：nan 备：</t>
        </is>
      </c>
      <c r="ES472" s="0" t="inlineStr">
        <is>
          <t>27行 16列，源：nan 备：340282306073709652508363335590014353408.000000</t>
        </is>
      </c>
    </row>
    <row r="473">
      <c r="B473" s="0" t="inlineStr">
        <is>
          <t>NULL</t>
        </is>
      </c>
      <c r="C473" s="0" t="inlineStr">
        <is>
          <t>NULL</t>
        </is>
      </c>
      <c r="D473" s="0" t="inlineStr">
        <is>
          <t>NULL</t>
        </is>
      </c>
      <c r="E473" s="0" t="inlineStr">
        <is>
          <t>NULL</t>
        </is>
      </c>
      <c r="F473" s="0" t="inlineStr">
        <is>
          <t>NULL</t>
        </is>
      </c>
      <c r="G473" s="0" t="inlineStr">
        <is>
          <t>NULL</t>
        </is>
      </c>
      <c r="H473" s="0" t="inlineStr">
        <is>
          <t>NULL</t>
        </is>
      </c>
      <c r="I473" s="0" t="inlineStr">
        <is>
          <t>NULL</t>
        </is>
      </c>
      <c r="J473" s="0" t="inlineStr">
        <is>
          <t>NULL</t>
        </is>
      </c>
      <c r="K473" s="0" t="inlineStr">
        <is>
          <t xml:space="preserve"> NO!  	 c_dt2_5列源备映射错误，源端为datetime2 None位	期望更改为text	实际备端为datetime2 None位</t>
        </is>
      </c>
      <c r="BX473" s="0" t="inlineStr">
        <is>
          <t>54行 1列，源：2013-03-12 02:00:00 -04:25 备：0001-01-01 00:00:00 +00:00</t>
        </is>
      </c>
      <c r="EH473" s="0" t="inlineStr">
        <is>
          <t>27行 17列，源：None 备：</t>
        </is>
      </c>
      <c r="ES473" s="0" t="inlineStr">
        <is>
          <t>27行 17列，源：None 备：123456.7890</t>
        </is>
      </c>
    </row>
    <row r="474">
      <c r="B474" s="0" t="inlineStr">
        <is>
          <t>NULL</t>
        </is>
      </c>
      <c r="C474" s="0" t="inlineStr">
        <is>
          <t>NULL</t>
        </is>
      </c>
      <c r="D474" s="0" t="inlineStr">
        <is>
          <t>NULL</t>
        </is>
      </c>
      <c r="E474" s="0" t="inlineStr">
        <is>
          <t>NULL</t>
        </is>
      </c>
      <c r="F474" s="0" t="inlineStr">
        <is>
          <t>NULL</t>
        </is>
      </c>
      <c r="G474" s="0" t="inlineStr">
        <is>
          <t>NULL</t>
        </is>
      </c>
      <c r="H474" s="0" t="inlineStr">
        <is>
          <t>NULL</t>
        </is>
      </c>
      <c r="I474" s="0" t="inlineStr">
        <is>
          <t>NULL</t>
        </is>
      </c>
      <c r="J474" s="0" t="inlineStr">
        <is>
          <t>NULL</t>
        </is>
      </c>
      <c r="K474" s="0" t="inlineStr">
        <is>
          <t xml:space="preserve"> NO!  	 c_dt2_6列源备映射错误，源端为datetime2 None位	期望更改为text	实际备端为datetime2 None位</t>
        </is>
      </c>
      <c r="BX474" s="0" t="inlineStr">
        <is>
          <t>54行 2列，源：2013-03-12 02:00:00.0 -04:25 备：0001-01-01 00:00:00.0 +00:00</t>
        </is>
      </c>
      <c r="EH474" s="0" t="inlineStr">
        <is>
          <t>27行 18列，源：None 备：</t>
        </is>
      </c>
      <c r="ES474" s="0" t="inlineStr">
        <is>
          <t>27行 18列，源：None 备：1234.5678</t>
        </is>
      </c>
    </row>
    <row r="475">
      <c r="B475" s="0" t="inlineStr">
        <is>
          <t>NULL</t>
        </is>
      </c>
      <c r="C475" s="0" t="inlineStr">
        <is>
          <t>NULL</t>
        </is>
      </c>
      <c r="D475" s="0" t="inlineStr">
        <is>
          <t>NULL</t>
        </is>
      </c>
      <c r="E475" s="0" t="inlineStr">
        <is>
          <t>NULL</t>
        </is>
      </c>
      <c r="F475" s="0" t="inlineStr">
        <is>
          <t>NULL</t>
        </is>
      </c>
      <c r="G475" s="0" t="inlineStr">
        <is>
          <t>NULL</t>
        </is>
      </c>
      <c r="H475" s="0" t="inlineStr">
        <is>
          <t>NULL</t>
        </is>
      </c>
      <c r="I475" s="0" t="inlineStr">
        <is>
          <t>NULL</t>
        </is>
      </c>
      <c r="J475" s="0" t="inlineStr">
        <is>
          <t>NULL</t>
        </is>
      </c>
      <c r="K475" s="0" t="inlineStr">
        <is>
          <t xml:space="preserve"> NO!  	 c_dt2列源备映射错误，源端为datetime2 None位	期望更改为text	实际备端为datetime2 None位</t>
        </is>
      </c>
      <c r="BX475" s="0" t="inlineStr">
        <is>
          <t>54行 3列，源：2013-03-12 02:00:00.00 -04:25 备：0001-01-01 00:00:00.00 +00:00</t>
        </is>
      </c>
      <c r="EH475" s="0" t="inlineStr">
        <is>
          <t>27行 19列，源：None 备：</t>
        </is>
      </c>
      <c r="ES475" s="0" t="inlineStr">
        <is>
          <t>27行 19列，源：None 备：1</t>
        </is>
      </c>
    </row>
    <row r="476">
      <c r="A476" s="0" t="inlineStr">
        <is>
          <t>info_hierarchyid_dml_single_pk_drp</t>
        </is>
      </c>
      <c r="K476" s="0" t="inlineStr">
        <is>
          <t>[0;34m info_hierarchyid_dml_single_pk_drp [0m源备字段数相同，源端字段：2 	备端字段2</t>
        </is>
      </c>
      <c r="W476" s="0" t="inlineStr">
        <is>
          <t>YES 源备无差异</t>
        </is>
      </c>
      <c r="X476" s="0">
        <f>A476</f>
        <v/>
      </c>
      <c r="BX476" s="0" t="inlineStr">
        <is>
          <t>54行 4列，源：2013-03-12 02:00:00.000 -04:25 备：0001-01-01 00:00:00.000 +00:00</t>
        </is>
      </c>
      <c r="EH476" s="0" t="inlineStr">
        <is>
          <t>28行 0列，源：59 备：152</t>
        </is>
      </c>
      <c r="ES476" s="0" t="inlineStr">
        <is>
          <t>28行 0列，源：59 备：17</t>
        </is>
      </c>
    </row>
    <row r="477">
      <c r="B477" s="0" t="inlineStr">
        <is>
          <t>YES</t>
        </is>
      </c>
      <c r="C477" s="0" t="inlineStr">
        <is>
          <t>NULL</t>
        </is>
      </c>
      <c r="D477" s="0" t="inlineStr">
        <is>
          <t>NULL</t>
        </is>
      </c>
      <c r="E477" s="0" t="inlineStr">
        <is>
          <t>NULL</t>
        </is>
      </c>
      <c r="F477" s="0" t="inlineStr">
        <is>
          <t>NULL</t>
        </is>
      </c>
      <c r="G477" s="0" t="inlineStr">
        <is>
          <t>NULL</t>
        </is>
      </c>
      <c r="H477" s="0" t="inlineStr">
        <is>
          <t>NULL</t>
        </is>
      </c>
      <c r="I477" s="0" t="inlineStr">
        <is>
          <t>YES!PK__info_hie__3213E83F6DDD526F</t>
        </is>
      </c>
      <c r="J477" s="0" t="inlineStr">
        <is>
          <t>YES! 主键相关索引</t>
        </is>
      </c>
      <c r="K477" s="0" t="inlineStr">
        <is>
          <t xml:space="preserve"> NO!  	 id列源备映射错误，源端为int None位	期望更改为text	实际备端为int None位</t>
        </is>
      </c>
      <c r="BX477" s="0" t="inlineStr">
        <is>
          <t>54行 5列，源：2013-03-12 02:00:00.0000 -04:25 备：0001-01-01 00:00:00.0000 +00:00</t>
        </is>
      </c>
      <c r="EH477" s="0" t="inlineStr">
        <is>
          <t>28行 1列，源：42.0 备：</t>
        </is>
      </c>
      <c r="ES477" s="0" t="inlineStr">
        <is>
          <t>28行 1列，源：42.0 备：</t>
        </is>
      </c>
    </row>
    <row r="478">
      <c r="B478" s="0" t="inlineStr">
        <is>
          <t>NULL</t>
        </is>
      </c>
      <c r="C478" s="0" t="inlineStr">
        <is>
          <t>NULL</t>
        </is>
      </c>
      <c r="D478" s="0" t="inlineStr">
        <is>
          <t>NULL</t>
        </is>
      </c>
      <c r="E478" s="0" t="inlineStr">
        <is>
          <t>NULL</t>
        </is>
      </c>
      <c r="F478" s="0" t="inlineStr">
        <is>
          <t>NULL</t>
        </is>
      </c>
      <c r="G478" s="0" t="inlineStr">
        <is>
          <t>NULL</t>
        </is>
      </c>
      <c r="H478" s="0" t="inlineStr">
        <is>
          <t>NULL</t>
        </is>
      </c>
      <c r="I478" s="0" t="inlineStr">
        <is>
          <t>NULL</t>
        </is>
      </c>
      <c r="J478" s="0" t="inlineStr">
        <is>
          <t>NULL</t>
        </is>
      </c>
      <c r="K478" s="0" t="inlineStr">
        <is>
          <t xml:space="preserve"> NO!  	 c_hierarchyid列源备映射错误，源端为hierarchyid 892位	期望更改为text	实际备端为hierarchyid 892位</t>
        </is>
      </c>
      <c r="BX478" s="0" t="inlineStr">
        <is>
          <t>54行 6列，源：2013-03-12 02:00:00.00000 -04:25 备：0001-01-01 00:00:00.00000 +00:00</t>
        </is>
      </c>
      <c r="EH478" s="0" t="inlineStr">
        <is>
          <t>28行 2列，源：12345.0 备：</t>
        </is>
      </c>
      <c r="ES478" s="0" t="inlineStr">
        <is>
          <t>28行 2列，源：12345.0 备：</t>
        </is>
      </c>
    </row>
    <row r="479">
      <c r="A479" s="0" t="inlineStr">
        <is>
          <t>info_date_dml_single_pk_drp</t>
        </is>
      </c>
      <c r="K479" s="0" t="inlineStr">
        <is>
          <t>[0;34m info_date_dml_single_pk_drp [0m源备字段数相同，源端字段：2 	备端字段2</t>
        </is>
      </c>
      <c r="W479" s="0" t="inlineStr">
        <is>
          <t>YES 源备无差异</t>
        </is>
      </c>
      <c r="X479" s="0">
        <f>A479</f>
        <v/>
      </c>
      <c r="BX479" s="0" t="inlineStr">
        <is>
          <t>54行 7列，源：2013-03-12 02:00:00.000000 -04:25 备：0001-01-01 00:00:00.000000 +00:00</t>
        </is>
      </c>
      <c r="EH479" s="0" t="inlineStr">
        <is>
          <t>28行 3列，源：123456789.0 备：</t>
        </is>
      </c>
      <c r="ES479" s="0" t="inlineStr">
        <is>
          <t>28行 3列，源：123456789.0 备：</t>
        </is>
      </c>
    </row>
    <row r="480">
      <c r="B480" s="0" t="inlineStr">
        <is>
          <t>YES</t>
        </is>
      </c>
      <c r="C480" s="0" t="inlineStr">
        <is>
          <t>NULL</t>
        </is>
      </c>
      <c r="D480" s="0" t="inlineStr">
        <is>
          <t>NULL</t>
        </is>
      </c>
      <c r="E480" s="0" t="inlineStr">
        <is>
          <t>NULL</t>
        </is>
      </c>
      <c r="F480" s="0" t="inlineStr">
        <is>
          <t>NULL</t>
        </is>
      </c>
      <c r="G480" s="0" t="inlineStr">
        <is>
          <t>NULL</t>
        </is>
      </c>
      <c r="H480" s="0" t="inlineStr">
        <is>
          <t>NULL</t>
        </is>
      </c>
      <c r="I480" s="0" t="inlineStr">
        <is>
          <t>YES!PK__info_dat__3213E83FB23FC544</t>
        </is>
      </c>
      <c r="J480" s="0" t="inlineStr">
        <is>
          <t>YES! 主键相关索引</t>
        </is>
      </c>
      <c r="K480" s="0" t="inlineStr">
        <is>
          <t xml:space="preserve"> NO!  	 id列源备映射错误，源端为int None位	期望更改为text	实际备端为int None位</t>
        </is>
      </c>
      <c r="BX480" s="0" t="inlineStr">
        <is>
          <t>54行 8列，源：2013-03-12 02:00:00.0000000 -04:25 备：0001-01-01 00:00:00.0000000 +00:00</t>
        </is>
      </c>
      <c r="EH480" s="0" t="inlineStr">
        <is>
          <t>28行 4列，源：123456789012345.0 备：</t>
        </is>
      </c>
      <c r="ES480" s="0" t="inlineStr">
        <is>
          <t>28行 4列，源：123456789012345.0 备：</t>
        </is>
      </c>
    </row>
    <row r="481">
      <c r="B481" s="0" t="inlineStr">
        <is>
          <t>NULL</t>
        </is>
      </c>
      <c r="C481" s="0" t="inlineStr">
        <is>
          <t>NULL</t>
        </is>
      </c>
      <c r="D481" s="0" t="inlineStr">
        <is>
          <t>NULL</t>
        </is>
      </c>
      <c r="E481" s="0" t="inlineStr">
        <is>
          <t>NULL</t>
        </is>
      </c>
      <c r="F481" s="0" t="inlineStr">
        <is>
          <t>NULL</t>
        </is>
      </c>
      <c r="G481" s="0" t="inlineStr">
        <is>
          <t>NULL</t>
        </is>
      </c>
      <c r="H481" s="0" t="inlineStr">
        <is>
          <t>NULL</t>
        </is>
      </c>
      <c r="I481" s="0" t="inlineStr">
        <is>
          <t>NULL</t>
        </is>
      </c>
      <c r="J481" s="0" t="inlineStr">
        <is>
          <t>NULL</t>
        </is>
      </c>
      <c r="K481" s="0" t="inlineStr">
        <is>
          <t xml:space="preserve"> NO!  	 c_date列源备映射错误，源端为date None位	期望更改为text	实际备端为date None位</t>
        </is>
      </c>
      <c r="BX481" s="0" t="inlineStr">
        <is>
          <t>55行 0列，源：181 备：75</t>
        </is>
      </c>
      <c r="EH481" s="0" t="inlineStr">
        <is>
          <t>28行 5列，源：None 备：</t>
        </is>
      </c>
      <c r="ES481" s="0" t="inlineStr">
        <is>
          <t>28行 5列，源：None 备：</t>
        </is>
      </c>
    </row>
    <row r="482">
      <c r="A482" s="0" t="inlineStr">
        <is>
          <t>info_datetimeoffset_dml_batch1_pk_irp1</t>
        </is>
      </c>
      <c r="K482" s="0" t="inlineStr">
        <is>
          <t>[0;34m info_datetimeoffset_dml_batch1_pk_irp1 [0m源备字段数相同，源端字段：9 	备端字段9</t>
        </is>
      </c>
      <c r="W482" s="2">
        <f>HYPERLINK("#2026041905hbase4!BV2","NO 源备存在差异，共116个")</f>
        <v/>
      </c>
      <c r="X482" s="0">
        <f>A482</f>
        <v/>
      </c>
      <c r="BX482" s="0" t="inlineStr">
        <is>
          <t>55行 1列，源：2003-11-05 02:00:00 -05:10 备：9999-12-31 23:59:59 +00:00</t>
        </is>
      </c>
      <c r="EH482" s="0" t="inlineStr">
        <is>
          <t>28行 6列，源：None 备：</t>
        </is>
      </c>
      <c r="ES482" s="0" t="inlineStr">
        <is>
          <t>28行 6列，源：None 备：</t>
        </is>
      </c>
    </row>
    <row r="483">
      <c r="B483" s="0" t="inlineStr">
        <is>
          <t>YES</t>
        </is>
      </c>
      <c r="C483" s="0" t="inlineStr">
        <is>
          <t>NULL</t>
        </is>
      </c>
      <c r="D483" s="0" t="inlineStr">
        <is>
          <t>NULL</t>
        </is>
      </c>
      <c r="E483" s="0" t="inlineStr">
        <is>
          <t>NULL</t>
        </is>
      </c>
      <c r="F483" s="0" t="inlineStr">
        <is>
          <t>NULL</t>
        </is>
      </c>
      <c r="G483" s="0" t="inlineStr">
        <is>
          <t>NULL</t>
        </is>
      </c>
      <c r="H483" s="0" t="inlineStr">
        <is>
          <t>NULL</t>
        </is>
      </c>
      <c r="I483" s="0" t="inlineStr">
        <is>
          <t>YES!PK__info_dat__3213E83F3A6AC0AD</t>
        </is>
      </c>
      <c r="J483" s="0" t="inlineStr">
        <is>
          <t>YES! 主键相关索引</t>
        </is>
      </c>
      <c r="K483" s="0" t="inlineStr">
        <is>
          <t xml:space="preserve"> NO!  	 id列源备映射错误，源端为int None位	期望更改为text	实际备端为int None位</t>
        </is>
      </c>
      <c r="BX483" s="0" t="inlineStr">
        <is>
          <t>55行 2列，源：2003-11-05 02:00:00.0 -05:10 备：9999-12-31 23:59:59.9 +00:00</t>
        </is>
      </c>
      <c r="EH483" s="0" t="inlineStr">
        <is>
          <t>28行 7列，源：None 备：</t>
        </is>
      </c>
      <c r="ES483" s="0" t="inlineStr">
        <is>
          <t>28行 7列，源：None 备：</t>
        </is>
      </c>
    </row>
    <row r="484">
      <c r="B484" s="0" t="inlineStr">
        <is>
          <t>NULL</t>
        </is>
      </c>
      <c r="C484" s="0" t="inlineStr">
        <is>
          <t>NULL</t>
        </is>
      </c>
      <c r="D484" s="0" t="inlineStr">
        <is>
          <t>NULL</t>
        </is>
      </c>
      <c r="E484" s="0" t="inlineStr">
        <is>
          <t>NULL</t>
        </is>
      </c>
      <c r="F484" s="0" t="inlineStr">
        <is>
          <t>NULL</t>
        </is>
      </c>
      <c r="G484" s="0" t="inlineStr">
        <is>
          <t>NULL</t>
        </is>
      </c>
      <c r="H484" s="0" t="inlineStr">
        <is>
          <t>NULL</t>
        </is>
      </c>
      <c r="I484" s="0" t="inlineStr">
        <is>
          <t>NULL</t>
        </is>
      </c>
      <c r="J484" s="0" t="inlineStr">
        <is>
          <t>NULL</t>
        </is>
      </c>
      <c r="K484" s="0" t="inlineStr">
        <is>
          <t xml:space="preserve"> NO!  	 c_dtoffset_0列源备映射错误，源端为datetimeoffset None位	期望更改为text	实际备端为datetimeoffset None位</t>
        </is>
      </c>
      <c r="BX484" s="0" t="inlineStr">
        <is>
          <t>55行 3列，源：2003-11-05 02:00:00.00 -05:10 备：9999-12-31 23:59:59.99 +00:00</t>
        </is>
      </c>
      <c r="EH484" s="0" t="inlineStr">
        <is>
          <t>28行 8列，源：None 备：</t>
        </is>
      </c>
      <c r="ES484" s="0" t="inlineStr">
        <is>
          <t>28行 8列，源：None 备：</t>
        </is>
      </c>
    </row>
    <row r="485">
      <c r="B485" s="0" t="inlineStr">
        <is>
          <t>NULL</t>
        </is>
      </c>
      <c r="C485" s="0" t="inlineStr">
        <is>
          <t>NULL</t>
        </is>
      </c>
      <c r="D485" s="0" t="inlineStr">
        <is>
          <t>NULL</t>
        </is>
      </c>
      <c r="E485" s="0" t="inlineStr">
        <is>
          <t>NULL</t>
        </is>
      </c>
      <c r="F485" s="0" t="inlineStr">
        <is>
          <t>NULL</t>
        </is>
      </c>
      <c r="G485" s="0" t="inlineStr">
        <is>
          <t>NULL</t>
        </is>
      </c>
      <c r="H485" s="0" t="inlineStr">
        <is>
          <t>NULL</t>
        </is>
      </c>
      <c r="I485" s="0" t="inlineStr">
        <is>
          <t>NULL</t>
        </is>
      </c>
      <c r="J485" s="0" t="inlineStr">
        <is>
          <t>NULL</t>
        </is>
      </c>
      <c r="K485" s="0" t="inlineStr">
        <is>
          <t xml:space="preserve"> NO!  	 c_dtoffset_1列源备映射错误，源端为datetimeoffset None位	期望更改为text	实际备端为datetimeoffset None位</t>
        </is>
      </c>
      <c r="BX485" s="0" t="inlineStr">
        <is>
          <t>55行 4列，源：2003-11-05 02:00:00.000 -05:10 备：9999-12-31 23:59:59.999 +00:00</t>
        </is>
      </c>
      <c r="EH485" s="0" t="inlineStr">
        <is>
          <t>28行 9列，源：None 备：</t>
        </is>
      </c>
      <c r="ES485" s="0" t="inlineStr">
        <is>
          <t>28行 9列，源：None 备：</t>
        </is>
      </c>
    </row>
    <row r="486">
      <c r="B486" s="0" t="inlineStr">
        <is>
          <t>NULL</t>
        </is>
      </c>
      <c r="C486" s="0" t="inlineStr">
        <is>
          <t>NULL</t>
        </is>
      </c>
      <c r="D486" s="0" t="inlineStr">
        <is>
          <t>NULL</t>
        </is>
      </c>
      <c r="E486" s="0" t="inlineStr">
        <is>
          <t>NULL</t>
        </is>
      </c>
      <c r="F486" s="0" t="inlineStr">
        <is>
          <t>NULL</t>
        </is>
      </c>
      <c r="G486" s="0" t="inlineStr">
        <is>
          <t>NULL</t>
        </is>
      </c>
      <c r="H486" s="0" t="inlineStr">
        <is>
          <t>NULL</t>
        </is>
      </c>
      <c r="I486" s="0" t="inlineStr">
        <is>
          <t>NULL</t>
        </is>
      </c>
      <c r="J486" s="0" t="inlineStr">
        <is>
          <t>NULL</t>
        </is>
      </c>
      <c r="K486" s="0" t="inlineStr">
        <is>
          <t xml:space="preserve"> NO!  	 c_dtoffset_2列源备映射错误，源端为datetimeoffset None位	期望更改为text	实际备端为datetimeoffset None位</t>
        </is>
      </c>
      <c r="BX486" s="0" t="inlineStr">
        <is>
          <t>55行 5列，源：2003-11-05 02:00:00.0000 -05:10 备：9999-12-31 23:59:59.9999 +00:00</t>
        </is>
      </c>
      <c r="EH486" s="0" t="inlineStr">
        <is>
          <t>28行 10列，源：None 备：</t>
        </is>
      </c>
      <c r="ES486" s="0" t="inlineStr">
        <is>
          <t>28行 10列，源：None 备：</t>
        </is>
      </c>
    </row>
    <row r="487">
      <c r="B487" s="0" t="inlineStr">
        <is>
          <t>NULL</t>
        </is>
      </c>
      <c r="C487" s="0" t="inlineStr">
        <is>
          <t>NULL</t>
        </is>
      </c>
      <c r="D487" s="0" t="inlineStr">
        <is>
          <t>NULL</t>
        </is>
      </c>
      <c r="E487" s="0" t="inlineStr">
        <is>
          <t>NULL</t>
        </is>
      </c>
      <c r="F487" s="0" t="inlineStr">
        <is>
          <t>NULL</t>
        </is>
      </c>
      <c r="G487" s="0" t="inlineStr">
        <is>
          <t>NULL</t>
        </is>
      </c>
      <c r="H487" s="0" t="inlineStr">
        <is>
          <t>NULL</t>
        </is>
      </c>
      <c r="I487" s="0" t="inlineStr">
        <is>
          <t>NULL</t>
        </is>
      </c>
      <c r="J487" s="0" t="inlineStr">
        <is>
          <t>NULL</t>
        </is>
      </c>
      <c r="K487" s="0" t="inlineStr">
        <is>
          <t xml:space="preserve"> NO!  	 c_dtoffset_3列源备映射错误，源端为datetimeoffset None位	期望更改为text	实际备端为datetimeoffset None位</t>
        </is>
      </c>
      <c r="BX487" s="0" t="inlineStr">
        <is>
          <t>55行 6列，源：2003-11-05 02:00:00.00000 -05:10 备：9999-12-31 23:59:59.99999 +00:00</t>
        </is>
      </c>
      <c r="EH487" s="0" t="inlineStr">
        <is>
          <t>28行 11列，源：None 备：</t>
        </is>
      </c>
      <c r="ES487" s="0" t="inlineStr">
        <is>
          <t>28行 11列，源：None 备：</t>
        </is>
      </c>
    </row>
    <row r="488">
      <c r="B488" s="0" t="inlineStr">
        <is>
          <t>NULL</t>
        </is>
      </c>
      <c r="C488" s="0" t="inlineStr">
        <is>
          <t>NULL</t>
        </is>
      </c>
      <c r="D488" s="0" t="inlineStr">
        <is>
          <t>NULL</t>
        </is>
      </c>
      <c r="E488" s="0" t="inlineStr">
        <is>
          <t>NULL</t>
        </is>
      </c>
      <c r="F488" s="0" t="inlineStr">
        <is>
          <t>NULL</t>
        </is>
      </c>
      <c r="G488" s="0" t="inlineStr">
        <is>
          <t>NULL</t>
        </is>
      </c>
      <c r="H488" s="0" t="inlineStr">
        <is>
          <t>NULL</t>
        </is>
      </c>
      <c r="I488" s="0" t="inlineStr">
        <is>
          <t>NULL</t>
        </is>
      </c>
      <c r="J488" s="0" t="inlineStr">
        <is>
          <t>NULL</t>
        </is>
      </c>
      <c r="K488" s="0" t="inlineStr">
        <is>
          <t xml:space="preserve"> NO!  	 c_dtoffset_4列源备映射错误，源端为datetimeoffset None位	期望更改为text	实际备端为datetimeoffset None位</t>
        </is>
      </c>
      <c r="BX488" s="0" t="inlineStr">
        <is>
          <t>55行 7列，源：2003-11-05 02:00:00.000000 -05:10 备：9999-12-31 23:59:59.999999 +00:00</t>
        </is>
      </c>
      <c r="EH488" s="0" t="inlineStr">
        <is>
          <t>28行 12列，源：None 备：</t>
        </is>
      </c>
      <c r="ES488" s="0" t="inlineStr">
        <is>
          <t>28行 12列，源：None 备：</t>
        </is>
      </c>
    </row>
    <row r="489">
      <c r="B489" s="0" t="inlineStr">
        <is>
          <t>NULL</t>
        </is>
      </c>
      <c r="C489" s="0" t="inlineStr">
        <is>
          <t>NULL</t>
        </is>
      </c>
      <c r="D489" s="0" t="inlineStr">
        <is>
          <t>NULL</t>
        </is>
      </c>
      <c r="E489" s="0" t="inlineStr">
        <is>
          <t>NULL</t>
        </is>
      </c>
      <c r="F489" s="0" t="inlineStr">
        <is>
          <t>NULL</t>
        </is>
      </c>
      <c r="G489" s="0" t="inlineStr">
        <is>
          <t>NULL</t>
        </is>
      </c>
      <c r="H489" s="0" t="inlineStr">
        <is>
          <t>NULL</t>
        </is>
      </c>
      <c r="I489" s="0" t="inlineStr">
        <is>
          <t>NULL</t>
        </is>
      </c>
      <c r="J489" s="0" t="inlineStr">
        <is>
          <t>NULL</t>
        </is>
      </c>
      <c r="K489" s="0" t="inlineStr">
        <is>
          <t xml:space="preserve"> NO!  	 c_dtoffset_5列源备映射错误，源端为datetimeoffset None位	期望更改为text	实际备端为datetimeoffset None位</t>
        </is>
      </c>
      <c r="BX489" s="0" t="inlineStr">
        <is>
          <t>55行 8列，源：2003-11-05 02:00:00.0000000 -05:10 备：9999-12-31 23:59:59.9999999 +00:00</t>
        </is>
      </c>
      <c r="EH489" s="0" t="inlineStr">
        <is>
          <t>28行 13列，源：None 备：</t>
        </is>
      </c>
      <c r="ES489" s="0" t="inlineStr">
        <is>
          <t>28行 13列，源：None 备：</t>
        </is>
      </c>
    </row>
    <row r="490">
      <c r="B490" s="0" t="inlineStr">
        <is>
          <t>NULL</t>
        </is>
      </c>
      <c r="C490" s="0" t="inlineStr">
        <is>
          <t>NULL</t>
        </is>
      </c>
      <c r="D490" s="0" t="inlineStr">
        <is>
          <t>NULL</t>
        </is>
      </c>
      <c r="E490" s="0" t="inlineStr">
        <is>
          <t>NULL</t>
        </is>
      </c>
      <c r="F490" s="0" t="inlineStr">
        <is>
          <t>NULL</t>
        </is>
      </c>
      <c r="G490" s="0" t="inlineStr">
        <is>
          <t>NULL</t>
        </is>
      </c>
      <c r="H490" s="0" t="inlineStr">
        <is>
          <t>NULL</t>
        </is>
      </c>
      <c r="I490" s="0" t="inlineStr">
        <is>
          <t>NULL</t>
        </is>
      </c>
      <c r="J490" s="0" t="inlineStr">
        <is>
          <t>NULL</t>
        </is>
      </c>
      <c r="K490" s="0" t="inlineStr">
        <is>
          <t xml:space="preserve"> NO!  	 c_dtoffset_6列源备映射错误，源端为datetimeoffset None位	期望更改为text	实际备端为datetimeoffset None位</t>
        </is>
      </c>
      <c r="BX490" s="0" t="inlineStr">
        <is>
          <t>56行 0列，源：182 备：76</t>
        </is>
      </c>
      <c r="EH490" s="0" t="inlineStr">
        <is>
          <t>28行 14列，源：None 备：</t>
        </is>
      </c>
      <c r="ES490" s="0" t="inlineStr">
        <is>
          <t>28行 14列，源：None 备：</t>
        </is>
      </c>
    </row>
    <row r="491">
      <c r="B491" s="0" t="inlineStr">
        <is>
          <t>NULL</t>
        </is>
      </c>
      <c r="C491" s="0" t="inlineStr">
        <is>
          <t>NULL</t>
        </is>
      </c>
      <c r="D491" s="0" t="inlineStr">
        <is>
          <t>NULL</t>
        </is>
      </c>
      <c r="E491" s="0" t="inlineStr">
        <is>
          <t>NULL</t>
        </is>
      </c>
      <c r="F491" s="0" t="inlineStr">
        <is>
          <t>NULL</t>
        </is>
      </c>
      <c r="G491" s="0" t="inlineStr">
        <is>
          <t>NULL</t>
        </is>
      </c>
      <c r="H491" s="0" t="inlineStr">
        <is>
          <t>NULL</t>
        </is>
      </c>
      <c r="I491" s="0" t="inlineStr">
        <is>
          <t>NULL</t>
        </is>
      </c>
      <c r="J491" s="0" t="inlineStr">
        <is>
          <t>NULL</t>
        </is>
      </c>
      <c r="K491" s="0" t="inlineStr">
        <is>
          <t xml:space="preserve"> NO!  	 c_dtoffset列源备映射错误，源端为datetimeoffset None位	期望更改为text	实际备端为datetimeoffset None位</t>
        </is>
      </c>
      <c r="BX491" s="0" t="inlineStr">
        <is>
          <t>56行 1列，源：2025-05-12 00:00:00 -14:00 备：2063-05-11 10:30:45 -04:00</t>
        </is>
      </c>
      <c r="EH491" s="0" t="inlineStr">
        <is>
          <t>28行 15列，源：nan 备：</t>
        </is>
      </c>
      <c r="ES491" s="0" t="inlineStr">
        <is>
          <t>28行 15列，源：nan 备：-123456789000000002003480098325095514112.0000000000000</t>
        </is>
      </c>
    </row>
    <row r="492">
      <c r="A492" s="0" t="inlineStr">
        <is>
          <t>info_nchar_dml_batch2_pk_irp2</t>
        </is>
      </c>
      <c r="K492" s="0" t="inlineStr">
        <is>
          <t>[0;34m info_nchar_dml_batch2_pk_irp2 [0m源备字段数相同，源端字段：4 	备端字段4</t>
        </is>
      </c>
      <c r="W492" s="2">
        <f>HYPERLINK("#2026041905hbase4!BW2","NO 源备存在差异，共3个")</f>
        <v/>
      </c>
      <c r="X492" s="0">
        <f>A492</f>
        <v/>
      </c>
      <c r="BX492" s="0" t="inlineStr">
        <is>
          <t>56行 2列，源：2025-05-12 00:00:00.0 -14:00 备：2063-05-11 10:30:45.1 -04:00</t>
        </is>
      </c>
      <c r="EH492" s="0" t="inlineStr">
        <is>
          <t>28行 16列，源：nan 备：</t>
        </is>
      </c>
      <c r="ES492" s="0" t="inlineStr">
        <is>
          <t>28行 16列，源：nan 备：-340282306073709652508363335590014353408.000000</t>
        </is>
      </c>
    </row>
    <row r="493">
      <c r="B493" s="0" t="inlineStr">
        <is>
          <t>YES</t>
        </is>
      </c>
      <c r="C493" s="0" t="inlineStr">
        <is>
          <t>NULL</t>
        </is>
      </c>
      <c r="D493" s="0" t="inlineStr">
        <is>
          <t>NULL</t>
        </is>
      </c>
      <c r="E493" s="0" t="inlineStr">
        <is>
          <t>NULL</t>
        </is>
      </c>
      <c r="F493" s="0" t="inlineStr">
        <is>
          <t>NULL</t>
        </is>
      </c>
      <c r="G493" s="0" t="inlineStr">
        <is>
          <t>NULL</t>
        </is>
      </c>
      <c r="H493" s="0" t="inlineStr">
        <is>
          <t>NULL</t>
        </is>
      </c>
      <c r="I493" s="0" t="inlineStr">
        <is>
          <t>YES!PK__info_nch__3213E83FD518DE0D</t>
        </is>
      </c>
      <c r="J493" s="0" t="inlineStr">
        <is>
          <t>YES! 主键相关索引</t>
        </is>
      </c>
      <c r="K493" s="0" t="inlineStr">
        <is>
          <t xml:space="preserve"> NO!  	 id列源备映射错误，源端为int None位	期望更改为text	实际备端为int None位</t>
        </is>
      </c>
      <c r="BX493" s="0" t="inlineStr">
        <is>
          <t>56行 3列，源：2025-05-12 00:00:00.00 -14:00 备：2063-05-11 10:30:45.12 -04:00</t>
        </is>
      </c>
      <c r="EH493" s="0" t="inlineStr">
        <is>
          <t>28行 17列，源：None 备：</t>
        </is>
      </c>
      <c r="ES493" s="0" t="inlineStr">
        <is>
          <t>28行 17列，源：None 备：-123456.7890</t>
        </is>
      </c>
    </row>
    <row r="494">
      <c r="B494" s="0" t="inlineStr">
        <is>
          <t>NULL</t>
        </is>
      </c>
      <c r="C494" s="0" t="inlineStr">
        <is>
          <t>NULL</t>
        </is>
      </c>
      <c r="D494" s="0" t="inlineStr">
        <is>
          <t>NULL</t>
        </is>
      </c>
      <c r="E494" s="0" t="inlineStr">
        <is>
          <t>NULL</t>
        </is>
      </c>
      <c r="F494" s="0" t="inlineStr">
        <is>
          <t>NULL</t>
        </is>
      </c>
      <c r="G494" s="0" t="inlineStr">
        <is>
          <t>NULL</t>
        </is>
      </c>
      <c r="H494" s="0" t="inlineStr">
        <is>
          <t>NULL</t>
        </is>
      </c>
      <c r="I494" s="0" t="inlineStr">
        <is>
          <t>NULL</t>
        </is>
      </c>
      <c r="J494" s="0" t="inlineStr">
        <is>
          <t>NULL</t>
        </is>
      </c>
      <c r="K494" s="0" t="inlineStr">
        <is>
          <t xml:space="preserve"> NO!  	 c_nchar列源备映射错误，源端为nchar 2位	期望更改为text	实际备端为nchar 2位</t>
        </is>
      </c>
      <c r="BX494" s="0" t="inlineStr">
        <is>
          <t>56行 4列，源：2025-05-12 00:00:00.000 -14:00 备：2063-05-11 10:30:45.123 -04:00</t>
        </is>
      </c>
      <c r="EH494" s="0" t="inlineStr">
        <is>
          <t>28行 18列，源：None 备：</t>
        </is>
      </c>
      <c r="ES494" s="0" t="inlineStr">
        <is>
          <t>28行 18列，源：None 备：-1234.5678</t>
        </is>
      </c>
    </row>
    <row r="495">
      <c r="B495" s="0" t="inlineStr">
        <is>
          <t>NULL</t>
        </is>
      </c>
      <c r="C495" s="0" t="inlineStr">
        <is>
          <t>NULL</t>
        </is>
      </c>
      <c r="D495" s="0" t="inlineStr">
        <is>
          <t>NULL</t>
        </is>
      </c>
      <c r="E495" s="0" t="inlineStr">
        <is>
          <t>NULL</t>
        </is>
      </c>
      <c r="F495" s="0" t="inlineStr">
        <is>
          <t>NULL</t>
        </is>
      </c>
      <c r="G495" s="0" t="inlineStr">
        <is>
          <t>NULL</t>
        </is>
      </c>
      <c r="H495" s="0" t="inlineStr">
        <is>
          <t>NULL</t>
        </is>
      </c>
      <c r="I495" s="0" t="inlineStr">
        <is>
          <t>NULL</t>
        </is>
      </c>
      <c r="J495" s="0" t="inlineStr">
        <is>
          <t>NULL</t>
        </is>
      </c>
      <c r="K495" s="0" t="inlineStr">
        <is>
          <t xml:space="preserve"> NO!  	 c_nchar20列源备映射错误，源端为nchar 40位	期望更改为text	实际备端为nchar 40位</t>
        </is>
      </c>
      <c r="BX495" s="0" t="inlineStr">
        <is>
          <t>56行 5列，源：2025-05-12 00:00:00.0000 -14:00 备：2063-05-11 10:30:45.1235 -04:00</t>
        </is>
      </c>
      <c r="EH495" s="0" t="inlineStr">
        <is>
          <t>28行 19列，源：None 备：</t>
        </is>
      </c>
      <c r="ES495" s="0" t="inlineStr">
        <is>
          <t>28行 19列，源：None 备：0</t>
        </is>
      </c>
    </row>
    <row r="496">
      <c r="B496" s="0" t="inlineStr">
        <is>
          <t>NULL</t>
        </is>
      </c>
      <c r="C496" s="0" t="inlineStr">
        <is>
          <t>NULL</t>
        </is>
      </c>
      <c r="D496" s="0" t="inlineStr">
        <is>
          <t>NULL</t>
        </is>
      </c>
      <c r="E496" s="0" t="inlineStr">
        <is>
          <t>NULL</t>
        </is>
      </c>
      <c r="F496" s="0" t="inlineStr">
        <is>
          <t>NULL</t>
        </is>
      </c>
      <c r="G496" s="0" t="inlineStr">
        <is>
          <t>NULL</t>
        </is>
      </c>
      <c r="H496" s="0" t="inlineStr">
        <is>
          <t>NULL</t>
        </is>
      </c>
      <c r="I496" s="0" t="inlineStr">
        <is>
          <t>NULL</t>
        </is>
      </c>
      <c r="J496" s="0" t="inlineStr">
        <is>
          <t>NULL</t>
        </is>
      </c>
      <c r="K496" s="0" t="inlineStr">
        <is>
          <t xml:space="preserve"> NO!  	 c_nchar3500列源备映射错误，源端为nchar 7000位	期望更改为text	实际备端为nchar 7000位</t>
        </is>
      </c>
      <c r="BX496" s="0" t="inlineStr">
        <is>
          <t>56行 6列，源：2025-05-12 00:00:00.00000 -14:00 备：2063-05-11 10:30:45.12346 -04:00</t>
        </is>
      </c>
      <c r="EH496" s="0" t="inlineStr">
        <is>
          <t>29行 0列，源：60 备：153</t>
        </is>
      </c>
      <c r="ES496" s="0" t="inlineStr">
        <is>
          <t>29行 0列，源：60 备：18</t>
        </is>
      </c>
    </row>
    <row r="497">
      <c r="A497" s="0" t="inlineStr">
        <is>
          <t>info_date_dml_single_pk</t>
        </is>
      </c>
      <c r="K497" s="0" t="inlineStr">
        <is>
          <t>[0;34m info_date_dml_single_pk [0m源备字段数相同，源端字段：2 	备端字段2</t>
        </is>
      </c>
      <c r="W497" s="0" t="inlineStr">
        <is>
          <t>YES 源备无差异</t>
        </is>
      </c>
      <c r="X497" s="0">
        <f>A497</f>
        <v/>
      </c>
      <c r="BX497" s="0" t="inlineStr">
        <is>
          <t>56行 7列，源：2025-05-12 00:00:00.000000 -14:00 备：2063-05-11 10:30:45.123457 -04:00</t>
        </is>
      </c>
      <c r="EH497" s="0" t="inlineStr">
        <is>
          <t>29行 1列，源：99.0 备：</t>
        </is>
      </c>
      <c r="ES497" s="0" t="inlineStr">
        <is>
          <t>29行 1列，源：99.0 备：</t>
        </is>
      </c>
    </row>
    <row r="498">
      <c r="B498" s="0" t="inlineStr">
        <is>
          <t>YES</t>
        </is>
      </c>
      <c r="C498" s="0" t="inlineStr">
        <is>
          <t>NULL</t>
        </is>
      </c>
      <c r="D498" s="0" t="inlineStr">
        <is>
          <t>NULL</t>
        </is>
      </c>
      <c r="E498" s="0" t="inlineStr">
        <is>
          <t>NULL</t>
        </is>
      </c>
      <c r="F498" s="0" t="inlineStr">
        <is>
          <t>NULL</t>
        </is>
      </c>
      <c r="G498" s="0" t="inlineStr">
        <is>
          <t>NULL</t>
        </is>
      </c>
      <c r="H498" s="0" t="inlineStr">
        <is>
          <t>NULL</t>
        </is>
      </c>
      <c r="I498" s="0" t="inlineStr">
        <is>
          <t>YES!PK__info_dat__3213E83F4D5BF0FD</t>
        </is>
      </c>
      <c r="J498" s="0" t="inlineStr">
        <is>
          <t>YES! 主键相关索引</t>
        </is>
      </c>
      <c r="K498" s="0" t="inlineStr">
        <is>
          <t xml:space="preserve"> NO!  	 id列源备映射错误，源端为int None位	期望更改为text	实际备端为int None位</t>
        </is>
      </c>
      <c r="BX498" s="0" t="inlineStr">
        <is>
          <t>56行 8列，源：2025-05-11 23:59:59.9999999 -14:00 备：2063-05-11 10:30:45.1234567 -04:00</t>
        </is>
      </c>
      <c r="EH498" s="0" t="inlineStr">
        <is>
          <t>29行 2列，源：-12345.0 备：</t>
        </is>
      </c>
      <c r="ES498" s="0" t="inlineStr">
        <is>
          <t>29行 2列，源：-12345.0 备：</t>
        </is>
      </c>
    </row>
    <row r="499">
      <c r="B499" s="0" t="inlineStr">
        <is>
          <t>NULL</t>
        </is>
      </c>
      <c r="C499" s="0" t="inlineStr">
        <is>
          <t>NULL</t>
        </is>
      </c>
      <c r="D499" s="0" t="inlineStr">
        <is>
          <t>NULL</t>
        </is>
      </c>
      <c r="E499" s="0" t="inlineStr">
        <is>
          <t>NULL</t>
        </is>
      </c>
      <c r="F499" s="0" t="inlineStr">
        <is>
          <t>NULL</t>
        </is>
      </c>
      <c r="G499" s="0" t="inlineStr">
        <is>
          <t>NULL</t>
        </is>
      </c>
      <c r="H499" s="0" t="inlineStr">
        <is>
          <t>NULL</t>
        </is>
      </c>
      <c r="I499" s="0" t="inlineStr">
        <is>
          <t>NULL</t>
        </is>
      </c>
      <c r="J499" s="0" t="inlineStr">
        <is>
          <t>NULL</t>
        </is>
      </c>
      <c r="K499" s="0" t="inlineStr">
        <is>
          <t xml:space="preserve"> NO!  	 c_date列源备映射错误，源端为date None位	期望更改为text	实际备端为date None位</t>
        </is>
      </c>
      <c r="BX499" s="0" t="inlineStr">
        <is>
          <t>57行 0列，源：183 备：77</t>
        </is>
      </c>
      <c r="EH499" s="0" t="inlineStr">
        <is>
          <t>29行 3列，源：-123456789.0 备：</t>
        </is>
      </c>
      <c r="ES499" s="0" t="inlineStr">
        <is>
          <t>29行 3列，源：-123456789.0 备：</t>
        </is>
      </c>
    </row>
    <row r="500">
      <c r="A500" s="0" t="inlineStr">
        <is>
          <t>info_datetimeoffset_dml_batch1_pk_irp2</t>
        </is>
      </c>
      <c r="K500" s="0" t="inlineStr">
        <is>
          <t>[0;34m info_datetimeoffset_dml_batch1_pk_irp2 [0m源备字段数相同，源端字段：9 	备端字段9</t>
        </is>
      </c>
      <c r="W500" s="2">
        <f>HYPERLINK("#2026041905hbase4!BX2","NO 源备存在差异，共577个")</f>
        <v/>
      </c>
      <c r="X500" s="0">
        <f>A500</f>
        <v/>
      </c>
      <c r="BX500" s="0" t="inlineStr">
        <is>
          <t>57行 1列，源：1971-05-11 00:00:00 +14:00 备：1933-05-11 15:30:45 +01:00</t>
        </is>
      </c>
      <c r="EH500" s="0" t="inlineStr">
        <is>
          <t>29行 4列，源：-123456789012345.0 备：</t>
        </is>
      </c>
      <c r="ES500" s="0" t="inlineStr">
        <is>
          <t>29行 4列，源：-123456789012345.0 备：</t>
        </is>
      </c>
    </row>
    <row r="501">
      <c r="B501" s="0" t="inlineStr">
        <is>
          <t>YES</t>
        </is>
      </c>
      <c r="C501" s="0" t="inlineStr">
        <is>
          <t>NULL</t>
        </is>
      </c>
      <c r="D501" s="0" t="inlineStr">
        <is>
          <t>NULL</t>
        </is>
      </c>
      <c r="E501" s="0" t="inlineStr">
        <is>
          <t>NULL</t>
        </is>
      </c>
      <c r="F501" s="0" t="inlineStr">
        <is>
          <t>NULL</t>
        </is>
      </c>
      <c r="G501" s="0" t="inlineStr">
        <is>
          <t>NULL</t>
        </is>
      </c>
      <c r="H501" s="0" t="inlineStr">
        <is>
          <t>NULL</t>
        </is>
      </c>
      <c r="I501" s="0" t="inlineStr">
        <is>
          <t>YES!PK__info_dat__3213E83F3DD2A7AA</t>
        </is>
      </c>
      <c r="J501" s="0" t="inlineStr">
        <is>
          <t>YES! 主键相关索引</t>
        </is>
      </c>
      <c r="K501" s="0" t="inlineStr">
        <is>
          <t xml:space="preserve"> NO!  	 id列源备映射错误，源端为int None位	期望更改为text	实际备端为int None位</t>
        </is>
      </c>
      <c r="BX501" s="0" t="inlineStr">
        <is>
          <t>57行 2列，源：1971-05-11 00:00:00.0 +14:00 备：1933-05-11 15:30:45.1 +01:00</t>
        </is>
      </c>
      <c r="EH501" s="0" t="inlineStr">
        <is>
          <t>29行 5列，源：None 备：</t>
        </is>
      </c>
      <c r="ES501" s="0" t="inlineStr">
        <is>
          <t>29行 5列，源：None 备：</t>
        </is>
      </c>
    </row>
    <row r="502">
      <c r="B502" s="0" t="inlineStr">
        <is>
          <t>NULL</t>
        </is>
      </c>
      <c r="C502" s="0" t="inlineStr">
        <is>
          <t>NULL</t>
        </is>
      </c>
      <c r="D502" s="0" t="inlineStr">
        <is>
          <t>NULL</t>
        </is>
      </c>
      <c r="E502" s="0" t="inlineStr">
        <is>
          <t>NULL</t>
        </is>
      </c>
      <c r="F502" s="0" t="inlineStr">
        <is>
          <t>NULL</t>
        </is>
      </c>
      <c r="G502" s="0" t="inlineStr">
        <is>
          <t>NULL</t>
        </is>
      </c>
      <c r="H502" s="0" t="inlineStr">
        <is>
          <t>NULL</t>
        </is>
      </c>
      <c r="I502" s="0" t="inlineStr">
        <is>
          <t>NULL</t>
        </is>
      </c>
      <c r="J502" s="0" t="inlineStr">
        <is>
          <t>NULL</t>
        </is>
      </c>
      <c r="K502" s="0" t="inlineStr">
        <is>
          <t xml:space="preserve"> NO!  	 c_dtoffset_0列源备映射错误，源端为datetimeoffset None位	期望更改为text	实际备端为datetimeoffset None位</t>
        </is>
      </c>
      <c r="BX502" s="0" t="inlineStr">
        <is>
          <t>57行 3列，源：1971-05-11 00:00:00.00 +14:00 备：1933-05-11 15:30:45.12 +01:00</t>
        </is>
      </c>
      <c r="EH502" s="0" t="inlineStr">
        <is>
          <t>29行 6列，源：None 备：</t>
        </is>
      </c>
      <c r="ES502" s="0" t="inlineStr">
        <is>
          <t>29行 6列，源：None 备：</t>
        </is>
      </c>
    </row>
    <row r="503">
      <c r="B503" s="0" t="inlineStr">
        <is>
          <t>NULL</t>
        </is>
      </c>
      <c r="C503" s="0" t="inlineStr">
        <is>
          <t>NULL</t>
        </is>
      </c>
      <c r="D503" s="0" t="inlineStr">
        <is>
          <t>NULL</t>
        </is>
      </c>
      <c r="E503" s="0" t="inlineStr">
        <is>
          <t>NULL</t>
        </is>
      </c>
      <c r="F503" s="0" t="inlineStr">
        <is>
          <t>NULL</t>
        </is>
      </c>
      <c r="G503" s="0" t="inlineStr">
        <is>
          <t>NULL</t>
        </is>
      </c>
      <c r="H503" s="0" t="inlineStr">
        <is>
          <t>NULL</t>
        </is>
      </c>
      <c r="I503" s="0" t="inlineStr">
        <is>
          <t>NULL</t>
        </is>
      </c>
      <c r="J503" s="0" t="inlineStr">
        <is>
          <t>NULL</t>
        </is>
      </c>
      <c r="K503" s="0" t="inlineStr">
        <is>
          <t xml:space="preserve"> NO!  	 c_dtoffset_1列源备映射错误，源端为datetimeoffset None位	期望更改为text	实际备端为datetimeoffset None位</t>
        </is>
      </c>
      <c r="BX503" s="0" t="inlineStr">
        <is>
          <t>57行 4列，源：1971-05-11 00:00:00.000 +14:00 备：1933-05-11 15:30:45.123 +01:00</t>
        </is>
      </c>
      <c r="EH503" s="0" t="inlineStr">
        <is>
          <t>29行 7列，源：None 备：</t>
        </is>
      </c>
      <c r="ES503" s="0" t="inlineStr">
        <is>
          <t>29行 7列，源：None 备：</t>
        </is>
      </c>
    </row>
    <row r="504">
      <c r="B504" s="0" t="inlineStr">
        <is>
          <t>NULL</t>
        </is>
      </c>
      <c r="C504" s="0" t="inlineStr">
        <is>
          <t>NULL</t>
        </is>
      </c>
      <c r="D504" s="0" t="inlineStr">
        <is>
          <t>NULL</t>
        </is>
      </c>
      <c r="E504" s="0" t="inlineStr">
        <is>
          <t>NULL</t>
        </is>
      </c>
      <c r="F504" s="0" t="inlineStr">
        <is>
          <t>NULL</t>
        </is>
      </c>
      <c r="G504" s="0" t="inlineStr">
        <is>
          <t>NULL</t>
        </is>
      </c>
      <c r="H504" s="0" t="inlineStr">
        <is>
          <t>NULL</t>
        </is>
      </c>
      <c r="I504" s="0" t="inlineStr">
        <is>
          <t>NULL</t>
        </is>
      </c>
      <c r="J504" s="0" t="inlineStr">
        <is>
          <t>NULL</t>
        </is>
      </c>
      <c r="K504" s="0" t="inlineStr">
        <is>
          <t xml:space="preserve"> NO!  	 c_dtoffset_2列源备映射错误，源端为datetimeoffset None位	期望更改为text	实际备端为datetimeoffset None位</t>
        </is>
      </c>
      <c r="BX504" s="0" t="inlineStr">
        <is>
          <t>57行 5列，源：1971-05-11 00:00:00.0000 +14:00 备：1933-05-11 15:30:45.1235 +01:00</t>
        </is>
      </c>
      <c r="EH504" s="0" t="inlineStr">
        <is>
          <t>29行 8列，源：None 备：</t>
        </is>
      </c>
      <c r="ES504" s="0" t="inlineStr">
        <is>
          <t>29行 8列，源：None 备：</t>
        </is>
      </c>
    </row>
    <row r="505">
      <c r="B505" s="0" t="inlineStr">
        <is>
          <t>NULL</t>
        </is>
      </c>
      <c r="C505" s="0" t="inlineStr">
        <is>
          <t>NULL</t>
        </is>
      </c>
      <c r="D505" s="0" t="inlineStr">
        <is>
          <t>NULL</t>
        </is>
      </c>
      <c r="E505" s="0" t="inlineStr">
        <is>
          <t>NULL</t>
        </is>
      </c>
      <c r="F505" s="0" t="inlineStr">
        <is>
          <t>NULL</t>
        </is>
      </c>
      <c r="G505" s="0" t="inlineStr">
        <is>
          <t>NULL</t>
        </is>
      </c>
      <c r="H505" s="0" t="inlineStr">
        <is>
          <t>NULL</t>
        </is>
      </c>
      <c r="I505" s="0" t="inlineStr">
        <is>
          <t>NULL</t>
        </is>
      </c>
      <c r="J505" s="0" t="inlineStr">
        <is>
          <t>NULL</t>
        </is>
      </c>
      <c r="K505" s="0" t="inlineStr">
        <is>
          <t xml:space="preserve"> NO!  	 c_dtoffset_3列源备映射错误，源端为datetimeoffset None位	期望更改为text	实际备端为datetimeoffset None位</t>
        </is>
      </c>
      <c r="BX505" s="0" t="inlineStr">
        <is>
          <t>57行 6列，源：1971-05-11 00:00:00.00000 +14:00 备：1933-05-11 15:30:45.12346 +01:00</t>
        </is>
      </c>
      <c r="EH505" s="0" t="inlineStr">
        <is>
          <t>29行 9列，源：None 备：</t>
        </is>
      </c>
      <c r="ES505" s="0" t="inlineStr">
        <is>
          <t>29行 9列，源：None 备：</t>
        </is>
      </c>
    </row>
    <row r="506">
      <c r="B506" s="0" t="inlineStr">
        <is>
          <t>NULL</t>
        </is>
      </c>
      <c r="C506" s="0" t="inlineStr">
        <is>
          <t>NULL</t>
        </is>
      </c>
      <c r="D506" s="0" t="inlineStr">
        <is>
          <t>NULL</t>
        </is>
      </c>
      <c r="E506" s="0" t="inlineStr">
        <is>
          <t>NULL</t>
        </is>
      </c>
      <c r="F506" s="0" t="inlineStr">
        <is>
          <t>NULL</t>
        </is>
      </c>
      <c r="G506" s="0" t="inlineStr">
        <is>
          <t>NULL</t>
        </is>
      </c>
      <c r="H506" s="0" t="inlineStr">
        <is>
          <t>NULL</t>
        </is>
      </c>
      <c r="I506" s="0" t="inlineStr">
        <is>
          <t>NULL</t>
        </is>
      </c>
      <c r="J506" s="0" t="inlineStr">
        <is>
          <t>NULL</t>
        </is>
      </c>
      <c r="K506" s="0" t="inlineStr">
        <is>
          <t xml:space="preserve"> NO!  	 c_dtoffset_4列源备映射错误，源端为datetimeoffset None位	期望更改为text	实际备端为datetimeoffset None位</t>
        </is>
      </c>
      <c r="BX506" s="0" t="inlineStr">
        <is>
          <t>57行 7列，源：1971-05-11 00:00:00.000000 +14:00 备：1933-05-11 15:30:45.123457 +01:00</t>
        </is>
      </c>
      <c r="EH506" s="0" t="inlineStr">
        <is>
          <t>29行 10列，源：None 备：</t>
        </is>
      </c>
      <c r="ES506" s="0" t="inlineStr">
        <is>
          <t>29行 10列，源：None 备：</t>
        </is>
      </c>
    </row>
    <row r="507">
      <c r="B507" s="0" t="inlineStr">
        <is>
          <t>NULL</t>
        </is>
      </c>
      <c r="C507" s="0" t="inlineStr">
        <is>
          <t>NULL</t>
        </is>
      </c>
      <c r="D507" s="0" t="inlineStr">
        <is>
          <t>NULL</t>
        </is>
      </c>
      <c r="E507" s="0" t="inlineStr">
        <is>
          <t>NULL</t>
        </is>
      </c>
      <c r="F507" s="0" t="inlineStr">
        <is>
          <t>NULL</t>
        </is>
      </c>
      <c r="G507" s="0" t="inlineStr">
        <is>
          <t>NULL</t>
        </is>
      </c>
      <c r="H507" s="0" t="inlineStr">
        <is>
          <t>NULL</t>
        </is>
      </c>
      <c r="I507" s="0" t="inlineStr">
        <is>
          <t>NULL</t>
        </is>
      </c>
      <c r="J507" s="0" t="inlineStr">
        <is>
          <t>NULL</t>
        </is>
      </c>
      <c r="K507" s="0" t="inlineStr">
        <is>
          <t xml:space="preserve"> NO!  	 c_dtoffset_5列源备映射错误，源端为datetimeoffset None位	期望更改为text	实际备端为datetimeoffset None位</t>
        </is>
      </c>
      <c r="BX507" s="0" t="inlineStr">
        <is>
          <t>57行 8列，源：1971-05-11 00:00:00.0000001 +14:00 备：1933-05-11 15:30:45.1234567 +01:00</t>
        </is>
      </c>
      <c r="EH507" s="0" t="inlineStr">
        <is>
          <t>29行 11列，源：None 备：</t>
        </is>
      </c>
      <c r="ES507" s="0" t="inlineStr">
        <is>
          <t>29行 11列，源：None 备：</t>
        </is>
      </c>
    </row>
    <row r="508">
      <c r="B508" s="0" t="inlineStr">
        <is>
          <t>NULL</t>
        </is>
      </c>
      <c r="C508" s="0" t="inlineStr">
        <is>
          <t>NULL</t>
        </is>
      </c>
      <c r="D508" s="0" t="inlineStr">
        <is>
          <t>NULL</t>
        </is>
      </c>
      <c r="E508" s="0" t="inlineStr">
        <is>
          <t>NULL</t>
        </is>
      </c>
      <c r="F508" s="0" t="inlineStr">
        <is>
          <t>NULL</t>
        </is>
      </c>
      <c r="G508" s="0" t="inlineStr">
        <is>
          <t>NULL</t>
        </is>
      </c>
      <c r="H508" s="0" t="inlineStr">
        <is>
          <t>NULL</t>
        </is>
      </c>
      <c r="I508" s="0" t="inlineStr">
        <is>
          <t>NULL</t>
        </is>
      </c>
      <c r="J508" s="0" t="inlineStr">
        <is>
          <t>NULL</t>
        </is>
      </c>
      <c r="K508" s="0" t="inlineStr">
        <is>
          <t xml:space="preserve"> NO!  	 c_dtoffset_6列源备映射错误，源端为datetimeoffset None位	期望更改为text	实际备端为datetimeoffset None位</t>
        </is>
      </c>
      <c r="BX508" s="0" t="inlineStr">
        <is>
          <t>58行 0列，源：223 备：78</t>
        </is>
      </c>
      <c r="EH508" s="0" t="inlineStr">
        <is>
          <t>29行 12列，源：None 备：</t>
        </is>
      </c>
      <c r="ES508" s="0" t="inlineStr">
        <is>
          <t>29行 12列，源：None 备：</t>
        </is>
      </c>
    </row>
    <row r="509">
      <c r="B509" s="0" t="inlineStr">
        <is>
          <t>NULL</t>
        </is>
      </c>
      <c r="C509" s="0" t="inlineStr">
        <is>
          <t>NULL</t>
        </is>
      </c>
      <c r="D509" s="0" t="inlineStr">
        <is>
          <t>NULL</t>
        </is>
      </c>
      <c r="E509" s="0" t="inlineStr">
        <is>
          <t>NULL</t>
        </is>
      </c>
      <c r="F509" s="0" t="inlineStr">
        <is>
          <t>NULL</t>
        </is>
      </c>
      <c r="G509" s="0" t="inlineStr">
        <is>
          <t>NULL</t>
        </is>
      </c>
      <c r="H509" s="0" t="inlineStr">
        <is>
          <t>NULL</t>
        </is>
      </c>
      <c r="I509" s="0" t="inlineStr">
        <is>
          <t>NULL</t>
        </is>
      </c>
      <c r="J509" s="0" t="inlineStr">
        <is>
          <t>NULL</t>
        </is>
      </c>
      <c r="K509" s="0" t="inlineStr">
        <is>
          <t xml:space="preserve"> NO!  	 c_dtoffset列源备映射错误，源端为datetimeoffset None位	期望更改为text	实际备端为datetimeoffset None位</t>
        </is>
      </c>
      <c r="BX509" s="0" t="inlineStr">
        <is>
          <t>58行 1列，源：2026-04-17 17:18:23 +08:00 备：2000-05-11 00:30:45 +09:00</t>
        </is>
      </c>
      <c r="EH509" s="0" t="inlineStr">
        <is>
          <t>29行 13列，源：None 备：</t>
        </is>
      </c>
      <c r="ES509" s="0" t="inlineStr">
        <is>
          <t>29行 13列，源：None 备：</t>
        </is>
      </c>
    </row>
    <row r="510">
      <c r="A510" s="0" t="inlineStr">
        <is>
          <t>info_date_dml_batch1_pk_irp1</t>
        </is>
      </c>
      <c r="K510" s="0" t="inlineStr">
        <is>
          <t>[0;34m info_date_dml_batch1_pk_irp1 [0m源备字段数相同，源端字段：2 	备端字段2</t>
        </is>
      </c>
      <c r="W510" s="0" t="inlineStr">
        <is>
          <t>YES 源备无差异</t>
        </is>
      </c>
      <c r="X510" s="0">
        <f>A510</f>
        <v/>
      </c>
      <c r="BX510" s="0" t="inlineStr">
        <is>
          <t>58行 2列，源：2026-04-17 17:18:22.8 +08:00 备：2000-05-11 00:30:45.1 +09:00</t>
        </is>
      </c>
      <c r="EH510" s="0" t="inlineStr">
        <is>
          <t>29行 14列，源：None 备：</t>
        </is>
      </c>
      <c r="ES510" s="0" t="inlineStr">
        <is>
          <t>29行 14列，源：None 备：</t>
        </is>
      </c>
    </row>
    <row r="511">
      <c r="B511" s="0" t="inlineStr">
        <is>
          <t>YES</t>
        </is>
      </c>
      <c r="C511" s="0" t="inlineStr">
        <is>
          <t>NULL</t>
        </is>
      </c>
      <c r="D511" s="0" t="inlineStr">
        <is>
          <t>NULL</t>
        </is>
      </c>
      <c r="E511" s="0" t="inlineStr">
        <is>
          <t>NULL</t>
        </is>
      </c>
      <c r="F511" s="0" t="inlineStr">
        <is>
          <t>NULL</t>
        </is>
      </c>
      <c r="G511" s="0" t="inlineStr">
        <is>
          <t>NULL</t>
        </is>
      </c>
      <c r="H511" s="0" t="inlineStr">
        <is>
          <t>NULL</t>
        </is>
      </c>
      <c r="I511" s="0" t="inlineStr">
        <is>
          <t>YES!PK__info_dat__3213E83FD91EDE60</t>
        </is>
      </c>
      <c r="J511" s="0" t="inlineStr">
        <is>
          <t>YES! 主键相关索引</t>
        </is>
      </c>
      <c r="K511" s="0" t="inlineStr">
        <is>
          <t xml:space="preserve"> NO!  	 id列源备映射错误，源端为int None位	期望更改为text	实际备端为int None位</t>
        </is>
      </c>
      <c r="BX511" s="0" t="inlineStr">
        <is>
          <t>58行 3列，源：2026-04-17 17:18:22.75 +08:00 备：2000-05-11 00:30:45.12 +09:00</t>
        </is>
      </c>
      <c r="EH511" s="0" t="inlineStr">
        <is>
          <t>29行 15列，源：nan 备：</t>
        </is>
      </c>
      <c r="ES511" s="0" t="inlineStr">
        <is>
          <t>29行 15列，源：nan 备：0.0000000000000</t>
        </is>
      </c>
    </row>
    <row r="512">
      <c r="B512" s="0" t="inlineStr">
        <is>
          <t>NULL</t>
        </is>
      </c>
      <c r="C512" s="0" t="inlineStr">
        <is>
          <t>NULL</t>
        </is>
      </c>
      <c r="D512" s="0" t="inlineStr">
        <is>
          <t>NULL</t>
        </is>
      </c>
      <c r="E512" s="0" t="inlineStr">
        <is>
          <t>NULL</t>
        </is>
      </c>
      <c r="F512" s="0" t="inlineStr">
        <is>
          <t>NULL</t>
        </is>
      </c>
      <c r="G512" s="0" t="inlineStr">
        <is>
          <t>NULL</t>
        </is>
      </c>
      <c r="H512" s="0" t="inlineStr">
        <is>
          <t>NULL</t>
        </is>
      </c>
      <c r="I512" s="0" t="inlineStr">
        <is>
          <t>NULL</t>
        </is>
      </c>
      <c r="J512" s="0" t="inlineStr">
        <is>
          <t>NULL</t>
        </is>
      </c>
      <c r="K512" s="0" t="inlineStr">
        <is>
          <t xml:space="preserve"> NO!  	 c_date列源备映射错误，源端为date None位	期望更改为text	实际备端为date None位</t>
        </is>
      </c>
      <c r="BX512" s="0" t="inlineStr">
        <is>
          <t>58行 4列，源：2026-04-17 17:18:22.755 +08:00 备：2000-05-11 00:30:45.123 +09:00</t>
        </is>
      </c>
      <c r="EH512" s="0" t="inlineStr">
        <is>
          <t>29行 16列，源：nan 备：</t>
        </is>
      </c>
      <c r="ES512" s="0" t="inlineStr">
        <is>
          <t>29行 16列，源：nan 备：0.000000</t>
        </is>
      </c>
    </row>
    <row r="513">
      <c r="K513" s="0" t="inlineStr">
        <is>
          <t>~ 空表</t>
        </is>
      </c>
      <c r="BX513" s="0" t="inlineStr">
        <is>
          <t>58行 5列，源：2026-04-17 17:18:22.7550 +08:00 备：2000-05-11 00:30:45.1235 +09:00</t>
        </is>
      </c>
      <c r="EH513" s="0" t="inlineStr">
        <is>
          <t>29行 17列，源：None 备：</t>
        </is>
      </c>
      <c r="ES513" s="0" t="inlineStr">
        <is>
          <t>29行 17列，源：None 备：0.0001</t>
        </is>
      </c>
    </row>
    <row r="514">
      <c r="A514" s="0" t="inlineStr">
        <is>
          <t>info_datetimeoffset_dml_batch2_pk_irp1</t>
        </is>
      </c>
      <c r="K514" s="0" t="inlineStr">
        <is>
          <t>[0;34m info_datetimeoffset_dml_batch2_pk_irp1 [0m源备字段数相同，源端字段：9 	备端字段9</t>
        </is>
      </c>
      <c r="W514" s="2">
        <f>HYPERLINK("#2026041905hbase4!BY2","NO 源备存在差异，共116个")</f>
        <v/>
      </c>
      <c r="X514" s="0">
        <f>A514</f>
        <v/>
      </c>
      <c r="BX514" s="0" t="inlineStr">
        <is>
          <t>58行 6列，源：2026-04-17 17:18:22.75495 +08:00 备：2000-05-11 00:30:45.12346 +09:00</t>
        </is>
      </c>
      <c r="EH514" s="0" t="inlineStr">
        <is>
          <t>29行 18列，源：None 备：</t>
        </is>
      </c>
      <c r="ES514" s="0" t="inlineStr">
        <is>
          <t>29行 18列，源：None 备：0.0001</t>
        </is>
      </c>
    </row>
    <row r="515">
      <c r="B515" s="0" t="inlineStr">
        <is>
          <t>YES</t>
        </is>
      </c>
      <c r="C515" s="0" t="inlineStr">
        <is>
          <t>NULL</t>
        </is>
      </c>
      <c r="D515" s="0" t="inlineStr">
        <is>
          <t>NULL</t>
        </is>
      </c>
      <c r="E515" s="0" t="inlineStr">
        <is>
          <t>NULL</t>
        </is>
      </c>
      <c r="F515" s="0" t="inlineStr">
        <is>
          <t>NULL</t>
        </is>
      </c>
      <c r="G515" s="0" t="inlineStr">
        <is>
          <t>NULL</t>
        </is>
      </c>
      <c r="H515" s="0" t="inlineStr">
        <is>
          <t>NULL</t>
        </is>
      </c>
      <c r="I515" s="0" t="inlineStr">
        <is>
          <t>YES!PK__info_dat__3213E83F6835EF1A</t>
        </is>
      </c>
      <c r="J515" s="0" t="inlineStr">
        <is>
          <t>YES! 主键相关索引</t>
        </is>
      </c>
      <c r="K515" s="0" t="inlineStr">
        <is>
          <t xml:space="preserve"> NO!  	 id列源备映射错误，源端为int None位	期望更改为text	实际备端为int None位</t>
        </is>
      </c>
      <c r="BX515" s="0" t="inlineStr">
        <is>
          <t>58行 7列，源：2026-04-17 17:18:22.754952 +08:00 备：2000-05-11 00:30:45.123457 +09:00</t>
        </is>
      </c>
      <c r="EH515" s="0" t="inlineStr">
        <is>
          <t>29行 19列，源：None 备：</t>
        </is>
      </c>
      <c r="ES515" s="0" t="inlineStr">
        <is>
          <t>29行 19列，源：None 备：1</t>
        </is>
      </c>
    </row>
    <row r="516">
      <c r="B516" s="0" t="inlineStr">
        <is>
          <t>NULL</t>
        </is>
      </c>
      <c r="C516" s="0" t="inlineStr">
        <is>
          <t>NULL</t>
        </is>
      </c>
      <c r="D516" s="0" t="inlineStr">
        <is>
          <t>NULL</t>
        </is>
      </c>
      <c r="E516" s="0" t="inlineStr">
        <is>
          <t>NULL</t>
        </is>
      </c>
      <c r="F516" s="0" t="inlineStr">
        <is>
          <t>NULL</t>
        </is>
      </c>
      <c r="G516" s="0" t="inlineStr">
        <is>
          <t>NULL</t>
        </is>
      </c>
      <c r="H516" s="0" t="inlineStr">
        <is>
          <t>NULL</t>
        </is>
      </c>
      <c r="I516" s="0" t="inlineStr">
        <is>
          <t>NULL</t>
        </is>
      </c>
      <c r="J516" s="0" t="inlineStr">
        <is>
          <t>NULL</t>
        </is>
      </c>
      <c r="K516" s="0" t="inlineStr">
        <is>
          <t xml:space="preserve"> NO!  	 c_dtoffset_0列源备映射错误，源端为datetimeoffset None位	期望更改为text	实际备端为datetimeoffset None位</t>
        </is>
      </c>
      <c r="BX516" s="0" t="inlineStr">
        <is>
          <t>58行 8列，源：2026-04-17 17:18:22.7549521 +08:00 备：2000-05-11 00:30:45.1234567 +09:00</t>
        </is>
      </c>
      <c r="EH516" s="0" t="inlineStr">
        <is>
          <t>30行 0列，源：61 备：154</t>
        </is>
      </c>
      <c r="ES516" s="0" t="inlineStr">
        <is>
          <t>30行 0列，源：61 备：19</t>
        </is>
      </c>
    </row>
    <row r="517">
      <c r="B517" s="0" t="inlineStr">
        <is>
          <t>NULL</t>
        </is>
      </c>
      <c r="C517" s="0" t="inlineStr">
        <is>
          <t>NULL</t>
        </is>
      </c>
      <c r="D517" s="0" t="inlineStr">
        <is>
          <t>NULL</t>
        </is>
      </c>
      <c r="E517" s="0" t="inlineStr">
        <is>
          <t>NULL</t>
        </is>
      </c>
      <c r="F517" s="0" t="inlineStr">
        <is>
          <t>NULL</t>
        </is>
      </c>
      <c r="G517" s="0" t="inlineStr">
        <is>
          <t>NULL</t>
        </is>
      </c>
      <c r="H517" s="0" t="inlineStr">
        <is>
          <t>NULL</t>
        </is>
      </c>
      <c r="I517" s="0" t="inlineStr">
        <is>
          <t>NULL</t>
        </is>
      </c>
      <c r="J517" s="0" t="inlineStr">
        <is>
          <t>NULL</t>
        </is>
      </c>
      <c r="K517" s="0" t="inlineStr">
        <is>
          <t xml:space="preserve"> NO!  	 c_dtoffset_1列源备映射错误，源端为datetimeoffset None位	期望更改为text	实际备端为datetimeoffset None位</t>
        </is>
      </c>
      <c r="BX517" s="0" t="inlineStr">
        <is>
          <t>59行 0列，源：225 备：79</t>
        </is>
      </c>
      <c r="EH517" s="0" t="inlineStr">
        <is>
          <t>30行 1列，源：200.0 备：</t>
        </is>
      </c>
      <c r="ES517" s="0" t="inlineStr">
        <is>
          <t>30行 1列，源：200.0 备：</t>
        </is>
      </c>
    </row>
    <row r="518">
      <c r="B518" s="0" t="inlineStr">
        <is>
          <t>NULL</t>
        </is>
      </c>
      <c r="C518" s="0" t="inlineStr">
        <is>
          <t>NULL</t>
        </is>
      </c>
      <c r="D518" s="0" t="inlineStr">
        <is>
          <t>NULL</t>
        </is>
      </c>
      <c r="E518" s="0" t="inlineStr">
        <is>
          <t>NULL</t>
        </is>
      </c>
      <c r="F518" s="0" t="inlineStr">
        <is>
          <t>NULL</t>
        </is>
      </c>
      <c r="G518" s="0" t="inlineStr">
        <is>
          <t>NULL</t>
        </is>
      </c>
      <c r="H518" s="0" t="inlineStr">
        <is>
          <t>NULL</t>
        </is>
      </c>
      <c r="I518" s="0" t="inlineStr">
        <is>
          <t>NULL</t>
        </is>
      </c>
      <c r="J518" s="0" t="inlineStr">
        <is>
          <t>NULL</t>
        </is>
      </c>
      <c r="K518" s="0" t="inlineStr">
        <is>
          <t xml:space="preserve"> NO!  	 c_dtoffset_2列源备映射错误，源端为datetimeoffset None位	期望更改为text	实际备端为datetimeoffset None位</t>
        </is>
      </c>
      <c r="BX518" s="0" t="inlineStr">
        <is>
          <t>59行 1列，源：9999-12-31 23:59:59 +00:00 备：1999-05-16 01:30:45 +10:15</t>
        </is>
      </c>
      <c r="EH518" s="0" t="inlineStr">
        <is>
          <t>30行 2列，源：20000.0 备：</t>
        </is>
      </c>
      <c r="ES518" s="0" t="inlineStr">
        <is>
          <t>30行 2列，源：20000.0 备：</t>
        </is>
      </c>
    </row>
    <row r="519">
      <c r="B519" s="0" t="inlineStr">
        <is>
          <t>NULL</t>
        </is>
      </c>
      <c r="C519" s="0" t="inlineStr">
        <is>
          <t>NULL</t>
        </is>
      </c>
      <c r="D519" s="0" t="inlineStr">
        <is>
          <t>NULL</t>
        </is>
      </c>
      <c r="E519" s="0" t="inlineStr">
        <is>
          <t>NULL</t>
        </is>
      </c>
      <c r="F519" s="0" t="inlineStr">
        <is>
          <t>NULL</t>
        </is>
      </c>
      <c r="G519" s="0" t="inlineStr">
        <is>
          <t>NULL</t>
        </is>
      </c>
      <c r="H519" s="0" t="inlineStr">
        <is>
          <t>NULL</t>
        </is>
      </c>
      <c r="I519" s="0" t="inlineStr">
        <is>
          <t>NULL</t>
        </is>
      </c>
      <c r="J519" s="0" t="inlineStr">
        <is>
          <t>NULL</t>
        </is>
      </c>
      <c r="K519" s="0" t="inlineStr">
        <is>
          <t xml:space="preserve"> NO!  	 c_dtoffset_3列源备映射错误，源端为datetimeoffset None位	期望更改为text	实际备端为datetimeoffset None位</t>
        </is>
      </c>
      <c r="BX519" s="0" t="inlineStr">
        <is>
          <t>59行 2列，源：9999-12-31 23:59:59.9 +00:00 备：1999-05-16 01:30:45.1 +10:15</t>
        </is>
      </c>
      <c r="EH519" s="0" t="inlineStr">
        <is>
          <t>30行 3列，源：2000000000.0 备：</t>
        </is>
      </c>
      <c r="ES519" s="0" t="inlineStr">
        <is>
          <t>30行 3列，源：2000000000.0 备：</t>
        </is>
      </c>
    </row>
    <row r="520">
      <c r="B520" s="0" t="inlineStr">
        <is>
          <t>NULL</t>
        </is>
      </c>
      <c r="C520" s="0" t="inlineStr">
        <is>
          <t>NULL</t>
        </is>
      </c>
      <c r="D520" s="0" t="inlineStr">
        <is>
          <t>NULL</t>
        </is>
      </c>
      <c r="E520" s="0" t="inlineStr">
        <is>
          <t>NULL</t>
        </is>
      </c>
      <c r="F520" s="0" t="inlineStr">
        <is>
          <t>NULL</t>
        </is>
      </c>
      <c r="G520" s="0" t="inlineStr">
        <is>
          <t>NULL</t>
        </is>
      </c>
      <c r="H520" s="0" t="inlineStr">
        <is>
          <t>NULL</t>
        </is>
      </c>
      <c r="I520" s="0" t="inlineStr">
        <is>
          <t>NULL</t>
        </is>
      </c>
      <c r="J520" s="0" t="inlineStr">
        <is>
          <t>NULL</t>
        </is>
      </c>
      <c r="K520" s="0" t="inlineStr">
        <is>
          <t xml:space="preserve"> NO!  	 c_dtoffset_4列源备映射错误，源端为datetimeoffset None位	期望更改为text	实际备端为datetimeoffset None位</t>
        </is>
      </c>
      <c r="BX520" s="0" t="inlineStr">
        <is>
          <t>59行 3列，源：9999-12-31 23:59:59.99 +00:00 备：1999-05-16 01:30:45.12 +10:15</t>
        </is>
      </c>
      <c r="EH520" s="0" t="inlineStr">
        <is>
          <t>30行 4列，源：2000000000000000.0 备：</t>
        </is>
      </c>
      <c r="ES520" s="0" t="inlineStr">
        <is>
          <t>30行 4列，源：2000000000000000.0 备：</t>
        </is>
      </c>
    </row>
    <row r="521">
      <c r="B521" s="0" t="inlineStr">
        <is>
          <t>NULL</t>
        </is>
      </c>
      <c r="C521" s="0" t="inlineStr">
        <is>
          <t>NULL</t>
        </is>
      </c>
      <c r="D521" s="0" t="inlineStr">
        <is>
          <t>NULL</t>
        </is>
      </c>
      <c r="E521" s="0" t="inlineStr">
        <is>
          <t>NULL</t>
        </is>
      </c>
      <c r="F521" s="0" t="inlineStr">
        <is>
          <t>NULL</t>
        </is>
      </c>
      <c r="G521" s="0" t="inlineStr">
        <is>
          <t>NULL</t>
        </is>
      </c>
      <c r="H521" s="0" t="inlineStr">
        <is>
          <t>NULL</t>
        </is>
      </c>
      <c r="I521" s="0" t="inlineStr">
        <is>
          <t>NULL</t>
        </is>
      </c>
      <c r="J521" s="0" t="inlineStr">
        <is>
          <t>NULL</t>
        </is>
      </c>
      <c r="K521" s="0" t="inlineStr">
        <is>
          <t xml:space="preserve"> NO!  	 c_dtoffset_5列源备映射错误，源端为datetimeoffset None位	期望更改为text	实际备端为datetimeoffset None位</t>
        </is>
      </c>
      <c r="BX521" s="0" t="inlineStr">
        <is>
          <t>59行 4列，源：9999-12-31 23:59:59.999 +00:00 备：1999-05-16 01:30:45.123 +10:15</t>
        </is>
      </c>
      <c r="EH521" s="0" t="inlineStr">
        <is>
          <t>30行 5列，源：None 备：</t>
        </is>
      </c>
      <c r="ES521" s="0" t="inlineStr">
        <is>
          <t>30行 5列，源：None 备：</t>
        </is>
      </c>
    </row>
    <row r="522">
      <c r="B522" s="0" t="inlineStr">
        <is>
          <t>NULL</t>
        </is>
      </c>
      <c r="C522" s="0" t="inlineStr">
        <is>
          <t>NULL</t>
        </is>
      </c>
      <c r="D522" s="0" t="inlineStr">
        <is>
          <t>NULL</t>
        </is>
      </c>
      <c r="E522" s="0" t="inlineStr">
        <is>
          <t>NULL</t>
        </is>
      </c>
      <c r="F522" s="0" t="inlineStr">
        <is>
          <t>NULL</t>
        </is>
      </c>
      <c r="G522" s="0" t="inlineStr">
        <is>
          <t>NULL</t>
        </is>
      </c>
      <c r="H522" s="0" t="inlineStr">
        <is>
          <t>NULL</t>
        </is>
      </c>
      <c r="I522" s="0" t="inlineStr">
        <is>
          <t>NULL</t>
        </is>
      </c>
      <c r="J522" s="0" t="inlineStr">
        <is>
          <t>NULL</t>
        </is>
      </c>
      <c r="K522" s="0" t="inlineStr">
        <is>
          <t xml:space="preserve"> NO!  	 c_dtoffset_6列源备映射错误，源端为datetimeoffset None位	期望更改为text	实际备端为datetimeoffset None位</t>
        </is>
      </c>
      <c r="BX522" s="0" t="inlineStr">
        <is>
          <t>59行 5列，源：9999-12-31 23:59:59.9999 +00:00 备：1999-05-16 01:30:45.1235 +10:15</t>
        </is>
      </c>
      <c r="EH522" s="0" t="inlineStr">
        <is>
          <t>30行 6列，源：None 备：</t>
        </is>
      </c>
      <c r="ES522" s="0" t="inlineStr">
        <is>
          <t>30行 6列，源：None 备：</t>
        </is>
      </c>
    </row>
    <row r="523">
      <c r="B523" s="0" t="inlineStr">
        <is>
          <t>NULL</t>
        </is>
      </c>
      <c r="C523" s="0" t="inlineStr">
        <is>
          <t>NULL</t>
        </is>
      </c>
      <c r="D523" s="0" t="inlineStr">
        <is>
          <t>NULL</t>
        </is>
      </c>
      <c r="E523" s="0" t="inlineStr">
        <is>
          <t>NULL</t>
        </is>
      </c>
      <c r="F523" s="0" t="inlineStr">
        <is>
          <t>NULL</t>
        </is>
      </c>
      <c r="G523" s="0" t="inlineStr">
        <is>
          <t>NULL</t>
        </is>
      </c>
      <c r="H523" s="0" t="inlineStr">
        <is>
          <t>NULL</t>
        </is>
      </c>
      <c r="I523" s="0" t="inlineStr">
        <is>
          <t>NULL</t>
        </is>
      </c>
      <c r="J523" s="0" t="inlineStr">
        <is>
          <t>NULL</t>
        </is>
      </c>
      <c r="K523" s="0" t="inlineStr">
        <is>
          <t xml:space="preserve"> NO!  	 c_dtoffset列源备映射错误，源端为datetimeoffset None位	期望更改为text	实际备端为datetimeoffset None位</t>
        </is>
      </c>
      <c r="BX523" s="0" t="inlineStr">
        <is>
          <t>59行 6列，源：9999-12-31 23:59:59.99999 +00:00 备：1999-05-16 01:30:45.12346 +10:15</t>
        </is>
      </c>
      <c r="EH523" s="0" t="inlineStr">
        <is>
          <t>30行 7列，源：None 备：</t>
        </is>
      </c>
      <c r="ES523" s="0" t="inlineStr">
        <is>
          <t>30行 7列，源：None 备：</t>
        </is>
      </c>
    </row>
    <row r="524">
      <c r="A524" s="0" t="inlineStr">
        <is>
          <t>info_char_dml_batch1_pk_urp1</t>
        </is>
      </c>
      <c r="K524" s="0" t="inlineStr">
        <is>
          <t>[0;34m info_char_dml_batch1_pk_urp1 [0m源备字段数相同，源端字段：4 	备端字段4</t>
        </is>
      </c>
      <c r="W524" s="2">
        <f>HYPERLINK("#2026041905hbase4!BZ2","NO 源备存在差异，共12个")</f>
        <v/>
      </c>
      <c r="X524" s="0">
        <f>A524</f>
        <v/>
      </c>
      <c r="BX524" s="0" t="inlineStr">
        <is>
          <t>59行 7列，源：9999-12-31 23:59:59.999999 +00:00 备：1999-05-16 01:30:45.123457 +10:15</t>
        </is>
      </c>
      <c r="EH524" s="0" t="inlineStr">
        <is>
          <t>30行 8列，源：None 备：</t>
        </is>
      </c>
      <c r="ES524" s="0" t="inlineStr">
        <is>
          <t>30行 8列，源：None 备：</t>
        </is>
      </c>
    </row>
    <row r="525">
      <c r="B525" s="0" t="inlineStr">
        <is>
          <t>YES</t>
        </is>
      </c>
      <c r="C525" s="0" t="inlineStr">
        <is>
          <t>NULL</t>
        </is>
      </c>
      <c r="D525" s="0" t="inlineStr">
        <is>
          <t>NULL</t>
        </is>
      </c>
      <c r="E525" s="0" t="inlineStr">
        <is>
          <t>NULL</t>
        </is>
      </c>
      <c r="F525" s="0" t="inlineStr">
        <is>
          <t>NULL</t>
        </is>
      </c>
      <c r="G525" s="0" t="inlineStr">
        <is>
          <t>NULL</t>
        </is>
      </c>
      <c r="H525" s="0" t="inlineStr">
        <is>
          <t>NULL</t>
        </is>
      </c>
      <c r="I525" s="0" t="inlineStr">
        <is>
          <t>YES!PK__info_cha__3213E83F8C3D92E9</t>
        </is>
      </c>
      <c r="J525" s="0" t="inlineStr">
        <is>
          <t>YES! 主键相关索引</t>
        </is>
      </c>
      <c r="K525" s="0" t="inlineStr">
        <is>
          <t xml:space="preserve"> NO!  	 id列源备映射错误，源端为int None位	期望更改为text	实际备端为int None位</t>
        </is>
      </c>
      <c r="BX525" s="0" t="inlineStr">
        <is>
          <t>59行 8列，源：9999-12-31 23:59:59.9999999 +00:00 备：1999-05-16 01:30:45.1234567 +10:15</t>
        </is>
      </c>
      <c r="EH525" s="0" t="inlineStr">
        <is>
          <t>30行 9列，源：None 备：</t>
        </is>
      </c>
      <c r="ES525" s="0" t="inlineStr">
        <is>
          <t>30行 9列，源：None 备：</t>
        </is>
      </c>
    </row>
    <row r="526">
      <c r="B526" s="0" t="inlineStr">
        <is>
          <t>NULL</t>
        </is>
      </c>
      <c r="C526" s="0" t="inlineStr">
        <is>
          <t>NULL</t>
        </is>
      </c>
      <c r="D526" s="0" t="inlineStr">
        <is>
          <t>NULL</t>
        </is>
      </c>
      <c r="E526" s="0" t="inlineStr">
        <is>
          <t>NULL</t>
        </is>
      </c>
      <c r="F526" s="0" t="inlineStr">
        <is>
          <t>NULL</t>
        </is>
      </c>
      <c r="G526" s="0" t="inlineStr">
        <is>
          <t>NULL</t>
        </is>
      </c>
      <c r="H526" s="0" t="inlineStr">
        <is>
          <t>NULL</t>
        </is>
      </c>
      <c r="I526" s="0" t="inlineStr">
        <is>
          <t>NULL</t>
        </is>
      </c>
      <c r="J526" s="0" t="inlineStr">
        <is>
          <t>NULL</t>
        </is>
      </c>
      <c r="K526" s="0" t="inlineStr">
        <is>
          <t xml:space="preserve"> NO!  	 c_char列源备映射错误，源端为char 1位	期望更改为text	实际备端为char 1位</t>
        </is>
      </c>
      <c r="BX526" s="0" t="inlineStr">
        <is>
          <t>60行 0列，源：226 备：8</t>
        </is>
      </c>
      <c r="EH526" s="0" t="inlineStr">
        <is>
          <t>30行 10列，源：None 备：</t>
        </is>
      </c>
      <c r="ES526" s="0" t="inlineStr">
        <is>
          <t>30行 10列，源：None 备：</t>
        </is>
      </c>
    </row>
    <row r="527">
      <c r="B527" s="0" t="inlineStr">
        <is>
          <t>NULL</t>
        </is>
      </c>
      <c r="C527" s="0" t="inlineStr">
        <is>
          <t>NULL</t>
        </is>
      </c>
      <c r="D527" s="0" t="inlineStr">
        <is>
          <t>NULL</t>
        </is>
      </c>
      <c r="E527" s="0" t="inlineStr">
        <is>
          <t>NULL</t>
        </is>
      </c>
      <c r="F527" s="0" t="inlineStr">
        <is>
          <t>NULL</t>
        </is>
      </c>
      <c r="G527" s="0" t="inlineStr">
        <is>
          <t>NULL</t>
        </is>
      </c>
      <c r="H527" s="0" t="inlineStr">
        <is>
          <t>NULL</t>
        </is>
      </c>
      <c r="I527" s="0" t="inlineStr">
        <is>
          <t>NULL</t>
        </is>
      </c>
      <c r="J527" s="0" t="inlineStr">
        <is>
          <t>NULL</t>
        </is>
      </c>
      <c r="K527" s="0" t="inlineStr">
        <is>
          <t xml:space="preserve"> NO!  	 c_char20列源备映射错误，源端为char 20位	期望更改为text	实际备端为char 20位</t>
        </is>
      </c>
      <c r="BX527" s="0" t="inlineStr">
        <is>
          <t>60行 1列，源：2063-05-11 10:30:45 -04:00 备：2000-05-11 00:30:45 +09:00</t>
        </is>
      </c>
      <c r="EH527" s="0" t="inlineStr">
        <is>
          <t>30行 11列，源：None 备：</t>
        </is>
      </c>
      <c r="ES527" s="0" t="inlineStr">
        <is>
          <t>30行 11列，源：None 备：</t>
        </is>
      </c>
    </row>
    <row r="528">
      <c r="B528" s="0" t="inlineStr">
        <is>
          <t>NULL</t>
        </is>
      </c>
      <c r="C528" s="0" t="inlineStr">
        <is>
          <t>NULL</t>
        </is>
      </c>
      <c r="D528" s="0" t="inlineStr">
        <is>
          <t>NULL</t>
        </is>
      </c>
      <c r="E528" s="0" t="inlineStr">
        <is>
          <t>NULL</t>
        </is>
      </c>
      <c r="F528" s="0" t="inlineStr">
        <is>
          <t>NULL</t>
        </is>
      </c>
      <c r="G528" s="0" t="inlineStr">
        <is>
          <t>NULL</t>
        </is>
      </c>
      <c r="H528" s="0" t="inlineStr">
        <is>
          <t>NULL</t>
        </is>
      </c>
      <c r="I528" s="0" t="inlineStr">
        <is>
          <t>NULL</t>
        </is>
      </c>
      <c r="J528" s="0" t="inlineStr">
        <is>
          <t>NULL</t>
        </is>
      </c>
      <c r="K528" s="0" t="inlineStr">
        <is>
          <t xml:space="preserve"> NO!  	 c_char7000列源备映射错误，源端为char 7000位	期望更改为text	实际备端为char 7000位</t>
        </is>
      </c>
      <c r="BX528" s="0" t="inlineStr">
        <is>
          <t>60行 2列，源：2063-05-11 10:30:45.1 -04:00 备：2000-05-11 00:30:45.1 +09:00</t>
        </is>
      </c>
      <c r="EH528" s="0" t="inlineStr">
        <is>
          <t>30行 12列，源：None 备：</t>
        </is>
      </c>
      <c r="ES528" s="0" t="inlineStr">
        <is>
          <t>30行 12列，源：None 备：</t>
        </is>
      </c>
    </row>
    <row r="529">
      <c r="A529" s="0" t="inlineStr">
        <is>
          <t>info_binary_dml_batch2_pk_irp2</t>
        </is>
      </c>
      <c r="K529" s="0" t="inlineStr">
        <is>
          <t>[0;34m info_binary_dml_batch2_pk_irp2 [0m源备字段数相同，源端字段：4 	备端字段4</t>
        </is>
      </c>
      <c r="W529" s="2">
        <f>HYPERLINK("#2026041905hbase4!CA2","NO 源备存在差异，共103个")</f>
        <v/>
      </c>
      <c r="X529" s="0">
        <f>A529</f>
        <v/>
      </c>
      <c r="BX529" s="0" t="inlineStr">
        <is>
          <t>60行 3列，源：2063-05-11 10:30:45.12 -04:00 备：2000-05-11 00:30:45.12 +09:00</t>
        </is>
      </c>
      <c r="EH529" s="0" t="inlineStr">
        <is>
          <t>30行 13列，源：None 备：</t>
        </is>
      </c>
      <c r="ES529" s="0" t="inlineStr">
        <is>
          <t>30行 13列，源：None 备：</t>
        </is>
      </c>
    </row>
    <row r="530">
      <c r="B530" s="0" t="inlineStr">
        <is>
          <t>YES</t>
        </is>
      </c>
      <c r="C530" s="0" t="inlineStr">
        <is>
          <t>NULL</t>
        </is>
      </c>
      <c r="D530" s="0" t="inlineStr">
        <is>
          <t>NULL</t>
        </is>
      </c>
      <c r="E530" s="0" t="inlineStr">
        <is>
          <t>NULL</t>
        </is>
      </c>
      <c r="F530" s="0" t="inlineStr">
        <is>
          <t>NULL</t>
        </is>
      </c>
      <c r="G530" s="0" t="inlineStr">
        <is>
          <t>NULL</t>
        </is>
      </c>
      <c r="H530" s="0" t="inlineStr">
        <is>
          <t>NULL</t>
        </is>
      </c>
      <c r="I530" s="0" t="inlineStr">
        <is>
          <t>YES!PK__info_bin__3213E83F84A701C4</t>
        </is>
      </c>
      <c r="J530" s="0" t="inlineStr">
        <is>
          <t>YES! 主键相关索引</t>
        </is>
      </c>
      <c r="K530" s="0" t="inlineStr">
        <is>
          <t xml:space="preserve"> NO!  	 id列源备映射错误，源端为int None位	期望更改为text	实际备端为int None位</t>
        </is>
      </c>
      <c r="BX530" s="0" t="inlineStr">
        <is>
          <t>60行 4列，源：2063-05-11 10:30:45.123 -04:00 备：2000-05-11 00:30:45.123 +09:00</t>
        </is>
      </c>
      <c r="EH530" s="0" t="inlineStr">
        <is>
          <t>30行 14列，源：None 备：</t>
        </is>
      </c>
      <c r="ES530" s="0" t="inlineStr">
        <is>
          <t>30行 14列，源：None 备：</t>
        </is>
      </c>
    </row>
    <row r="531">
      <c r="B531" s="0" t="inlineStr">
        <is>
          <t>NULL</t>
        </is>
      </c>
      <c r="C531" s="0" t="inlineStr">
        <is>
          <t>NULL</t>
        </is>
      </c>
      <c r="D531" s="0" t="inlineStr">
        <is>
          <t>NULL</t>
        </is>
      </c>
      <c r="E531" s="0" t="inlineStr">
        <is>
          <t>NULL</t>
        </is>
      </c>
      <c r="F531" s="0" t="inlineStr">
        <is>
          <t>NULL</t>
        </is>
      </c>
      <c r="G531" s="0" t="inlineStr">
        <is>
          <t>NULL</t>
        </is>
      </c>
      <c r="H531" s="0" t="inlineStr">
        <is>
          <t>NULL</t>
        </is>
      </c>
      <c r="I531" s="0" t="inlineStr">
        <is>
          <t>NULL</t>
        </is>
      </c>
      <c r="J531" s="0" t="inlineStr">
        <is>
          <t>NULL</t>
        </is>
      </c>
      <c r="K531" s="0" t="inlineStr">
        <is>
          <t xml:space="preserve"> NO!  	 c_binary列源备映射错误，源端为binary 1位	期望更改为text	实际备端为binary 1位</t>
        </is>
      </c>
      <c r="BX531" s="0" t="inlineStr">
        <is>
          <t>60行 5列，源：2063-05-11 10:30:45.1235 -04:00 备：2000-05-11 00:30:45.1235 +09:00</t>
        </is>
      </c>
      <c r="EH531" s="0" t="inlineStr">
        <is>
          <t>30行 15列，源：nan 备：</t>
        </is>
      </c>
      <c r="ES531" s="0" t="inlineStr">
        <is>
          <t>30行 15列，源：nan 备：340282346600000016151267322115014000640.0000000000000</t>
        </is>
      </c>
    </row>
    <row r="532">
      <c r="B532" s="0" t="inlineStr">
        <is>
          <t>NULL</t>
        </is>
      </c>
      <c r="C532" s="0" t="inlineStr">
        <is>
          <t>NULL</t>
        </is>
      </c>
      <c r="D532" s="0" t="inlineStr">
        <is>
          <t>NULL</t>
        </is>
      </c>
      <c r="E532" s="0" t="inlineStr">
        <is>
          <t>NULL</t>
        </is>
      </c>
      <c r="F532" s="0" t="inlineStr">
        <is>
          <t>NULL</t>
        </is>
      </c>
      <c r="G532" s="0" t="inlineStr">
        <is>
          <t>NULL</t>
        </is>
      </c>
      <c r="H532" s="0" t="inlineStr">
        <is>
          <t>NULL</t>
        </is>
      </c>
      <c r="I532" s="0" t="inlineStr">
        <is>
          <t>NULL</t>
        </is>
      </c>
      <c r="J532" s="0" t="inlineStr">
        <is>
          <t>NULL</t>
        </is>
      </c>
      <c r="K532" s="0" t="inlineStr">
        <is>
          <t xml:space="preserve"> NO!  	 c_binary_20列源备映射错误，源端为binary 20位	期望更改为text	实际备端为binary 20位</t>
        </is>
      </c>
      <c r="BX532" s="0" t="inlineStr">
        <is>
          <t>60行 6列，源：2063-05-11 10:30:45.12346 -04:00 备：2000-05-11 00:30:45.12346 +09:00</t>
        </is>
      </c>
      <c r="EH532" s="0" t="inlineStr">
        <is>
          <t>30行 16列，源：nan 备：</t>
        </is>
      </c>
      <c r="ES532" s="0" t="inlineStr">
        <is>
          <t>30行 16列，源：nan 备：340282306073709652508363335590014353408.000000</t>
        </is>
      </c>
    </row>
    <row r="533">
      <c r="B533" s="0" t="inlineStr">
        <is>
          <t>NULL</t>
        </is>
      </c>
      <c r="C533" s="0" t="inlineStr">
        <is>
          <t>NULL</t>
        </is>
      </c>
      <c r="D533" s="0" t="inlineStr">
        <is>
          <t>NULL</t>
        </is>
      </c>
      <c r="E533" s="0" t="inlineStr">
        <is>
          <t>NULL</t>
        </is>
      </c>
      <c r="F533" s="0" t="inlineStr">
        <is>
          <t>NULL</t>
        </is>
      </c>
      <c r="G533" s="0" t="inlineStr">
        <is>
          <t>NULL</t>
        </is>
      </c>
      <c r="H533" s="0" t="inlineStr">
        <is>
          <t>NULL</t>
        </is>
      </c>
      <c r="I533" s="0" t="inlineStr">
        <is>
          <t>NULL</t>
        </is>
      </c>
      <c r="J533" s="0" t="inlineStr">
        <is>
          <t>NULL</t>
        </is>
      </c>
      <c r="K533" s="0" t="inlineStr">
        <is>
          <t xml:space="preserve"> NO!  	 c_binary_200列源备映射错误，源端为binary 200位	期望更改为text	实际备端为binary 200位</t>
        </is>
      </c>
      <c r="BX533" s="0" t="inlineStr">
        <is>
          <t>60行 7列，源：2063-05-11 10:30:45.123457 -04:00 备：2000-05-11 00:30:45.123457 +09:00</t>
        </is>
      </c>
      <c r="EH533" s="0" t="inlineStr">
        <is>
          <t>30行 17列，源：None 备：</t>
        </is>
      </c>
      <c r="ES533" s="0" t="inlineStr">
        <is>
          <t>30行 17列，源：None 备：922337203685477.5807</t>
        </is>
      </c>
    </row>
    <row r="534">
      <c r="A534" s="0" t="inlineStr">
        <is>
          <t>info_nvarchar_dml_single_pk_drp</t>
        </is>
      </c>
      <c r="K534" s="0" t="inlineStr">
        <is>
          <t>[0;34m info_nvarchar_dml_single_pk_drp [0m源备字段数相同，源端字段：4 	备端字段4</t>
        </is>
      </c>
      <c r="W534" s="0" t="inlineStr">
        <is>
          <t>YES 源备无差异</t>
        </is>
      </c>
      <c r="X534" s="0">
        <f>A534</f>
        <v/>
      </c>
      <c r="BX534" s="0" t="inlineStr">
        <is>
          <t>60行 8列，源：2063-05-11 10:30:45.1234567 -04:00 备：2000-05-11 00:30:45.1234567 +09:00</t>
        </is>
      </c>
      <c r="EH534" s="0" t="inlineStr">
        <is>
          <t>30行 18列，源：None 备：</t>
        </is>
      </c>
      <c r="ES534" s="0" t="inlineStr">
        <is>
          <t>30行 18列，源：None 备：214748.3647</t>
        </is>
      </c>
    </row>
    <row r="535">
      <c r="B535" s="0" t="inlineStr">
        <is>
          <t>YES</t>
        </is>
      </c>
      <c r="C535" s="0" t="inlineStr">
        <is>
          <t>NULL</t>
        </is>
      </c>
      <c r="D535" s="0" t="inlineStr">
        <is>
          <t>NULL</t>
        </is>
      </c>
      <c r="E535" s="0" t="inlineStr">
        <is>
          <t>NULL</t>
        </is>
      </c>
      <c r="F535" s="0" t="inlineStr">
        <is>
          <t>NULL</t>
        </is>
      </c>
      <c r="G535" s="0" t="inlineStr">
        <is>
          <t>NULL</t>
        </is>
      </c>
      <c r="H535" s="0" t="inlineStr">
        <is>
          <t>NULL</t>
        </is>
      </c>
      <c r="I535" s="0" t="inlineStr">
        <is>
          <t>YES!PK__info_nva__3213E83F233D1150</t>
        </is>
      </c>
      <c r="J535" s="0" t="inlineStr">
        <is>
          <t>YES! 主键相关索引</t>
        </is>
      </c>
      <c r="K535" s="0" t="inlineStr">
        <is>
          <t xml:space="preserve"> NO!  	 id列源备映射错误，源端为int None位	期望更改为text	实际备端为int None位</t>
        </is>
      </c>
      <c r="BX535" s="0" t="inlineStr">
        <is>
          <t>61行 0列，源：273 备：80</t>
        </is>
      </c>
      <c r="EH535" s="0" t="inlineStr">
        <is>
          <t>30行 19列，源：None 备：</t>
        </is>
      </c>
      <c r="ES535" s="0" t="inlineStr">
        <is>
          <t>30行 19列，源：None 备：1</t>
        </is>
      </c>
    </row>
    <row r="536">
      <c r="B536" s="0" t="inlineStr">
        <is>
          <t>NULL</t>
        </is>
      </c>
      <c r="C536" s="0" t="inlineStr">
        <is>
          <t>NULL</t>
        </is>
      </c>
      <c r="D536" s="0" t="inlineStr">
        <is>
          <t>NULL</t>
        </is>
      </c>
      <c r="E536" s="0" t="inlineStr">
        <is>
          <t>NULL</t>
        </is>
      </c>
      <c r="F536" s="0" t="inlineStr">
        <is>
          <t>NULL</t>
        </is>
      </c>
      <c r="G536" s="0" t="inlineStr">
        <is>
          <t>NULL</t>
        </is>
      </c>
      <c r="H536" s="0" t="inlineStr">
        <is>
          <t>NULL</t>
        </is>
      </c>
      <c r="I536" s="0" t="inlineStr">
        <is>
          <t>NULL</t>
        </is>
      </c>
      <c r="J536" s="0" t="inlineStr">
        <is>
          <t>NULL</t>
        </is>
      </c>
      <c r="K536" s="0" t="inlineStr">
        <is>
          <t xml:space="preserve"> NO!  	 c_nvarchar列源备映射错误，源端为nvarchar 2位	期望更改为text	实际备端为nvarchar 2位</t>
        </is>
      </c>
      <c r="BX536" s="0" t="inlineStr">
        <is>
          <t>61行 1列，源：2026-04-17 17:18:23 +08:00 备：2013-03-12 02:00:00 -04:25</t>
        </is>
      </c>
      <c r="EH536" s="0" t="inlineStr">
        <is>
          <t>31行 0列，源：62 备：155</t>
        </is>
      </c>
      <c r="ES536" s="0" t="inlineStr">
        <is>
          <t>31行 0列，源：62 备：2</t>
        </is>
      </c>
    </row>
    <row r="537">
      <c r="B537" s="0" t="inlineStr">
        <is>
          <t>NULL</t>
        </is>
      </c>
      <c r="C537" s="0" t="inlineStr">
        <is>
          <t>NULL</t>
        </is>
      </c>
      <c r="D537" s="0" t="inlineStr">
        <is>
          <t>NULL</t>
        </is>
      </c>
      <c r="E537" s="0" t="inlineStr">
        <is>
          <t>NULL</t>
        </is>
      </c>
      <c r="F537" s="0" t="inlineStr">
        <is>
          <t>NULL</t>
        </is>
      </c>
      <c r="G537" s="0" t="inlineStr">
        <is>
          <t>NULL</t>
        </is>
      </c>
      <c r="H537" s="0" t="inlineStr">
        <is>
          <t>NULL</t>
        </is>
      </c>
      <c r="I537" s="0" t="inlineStr">
        <is>
          <t>NULL</t>
        </is>
      </c>
      <c r="J537" s="0" t="inlineStr">
        <is>
          <t>NULL</t>
        </is>
      </c>
      <c r="K537" s="0" t="inlineStr">
        <is>
          <t xml:space="preserve"> NO!  	 c_nvarchar20列源备映射错误，源端为nvarchar 40位	期望更改为text	实际备端为nvarchar 40位</t>
        </is>
      </c>
      <c r="BX537" s="0" t="inlineStr">
        <is>
          <t>61行 2列，源：2026-04-17 17:18:22.8 +08:00 备：2013-03-12 02:00:00.0 -04:25</t>
        </is>
      </c>
      <c r="EH537" s="0" t="inlineStr">
        <is>
          <t>31行 1列，源：nan 备：</t>
        </is>
      </c>
      <c r="ES537" s="0" t="inlineStr">
        <is>
          <t>31行 1列，源：nan 备：255</t>
        </is>
      </c>
    </row>
    <row r="538">
      <c r="B538" s="0" t="inlineStr">
        <is>
          <t>NULL</t>
        </is>
      </c>
      <c r="C538" s="0" t="inlineStr">
        <is>
          <t>NULL</t>
        </is>
      </c>
      <c r="D538" s="0" t="inlineStr">
        <is>
          <t>NULL</t>
        </is>
      </c>
      <c r="E538" s="0" t="inlineStr">
        <is>
          <t>NULL</t>
        </is>
      </c>
      <c r="F538" s="0" t="inlineStr">
        <is>
          <t>NULL</t>
        </is>
      </c>
      <c r="G538" s="0" t="inlineStr">
        <is>
          <t>NULL</t>
        </is>
      </c>
      <c r="H538" s="0" t="inlineStr">
        <is>
          <t>NULL</t>
        </is>
      </c>
      <c r="I538" s="0" t="inlineStr">
        <is>
          <t>NULL</t>
        </is>
      </c>
      <c r="J538" s="0" t="inlineStr">
        <is>
          <t>NULL</t>
        </is>
      </c>
      <c r="K538" s="0" t="inlineStr">
        <is>
          <t xml:space="preserve"> NO!  	 c_nvarchar4000列源备映射错误，源端为nvarchar 8000位	期望更改为text	实际备端为nvarchar 8000位</t>
        </is>
      </c>
      <c r="BX538" s="0" t="inlineStr">
        <is>
          <t>61行 3列，源：2026-04-17 17:18:22.75 +08:00 备：2013-03-12 02:00:00.00 -04:25</t>
        </is>
      </c>
      <c r="EH538" s="0" t="inlineStr">
        <is>
          <t>31行 2列，源：nan 备：</t>
        </is>
      </c>
      <c r="ES538" s="0" t="inlineStr">
        <is>
          <t>31行 2列，源：nan 备：32767</t>
        </is>
      </c>
    </row>
    <row r="539">
      <c r="A539" s="0" t="inlineStr">
        <is>
          <t>info_datetimeoffset_dml_batch2_pk_irp2</t>
        </is>
      </c>
      <c r="K539" s="0" t="inlineStr">
        <is>
          <t>[0;34m info_datetimeoffset_dml_batch2_pk_irp2 [0m源备字段数相同，源端字段：9 	备端字段9</t>
        </is>
      </c>
      <c r="W539" s="2">
        <f>HYPERLINK("#2026041905hbase4!CB2","NO 源备存在差异，共277个")</f>
        <v/>
      </c>
      <c r="X539" s="0">
        <f>A539</f>
        <v/>
      </c>
      <c r="BX539" s="0" t="inlineStr">
        <is>
          <t>61行 4列，源：2026-04-17 17:18:22.755 +08:00 备：2013-03-12 02:00:00.000 -04:25</t>
        </is>
      </c>
      <c r="EH539" s="0" t="inlineStr">
        <is>
          <t>31行 3列，源：nan 备：</t>
        </is>
      </c>
      <c r="ES539" s="0" t="inlineStr">
        <is>
          <t>31行 3列，源：nan 备：2147483647</t>
        </is>
      </c>
    </row>
    <row r="540">
      <c r="B540" s="0" t="inlineStr">
        <is>
          <t>YES</t>
        </is>
      </c>
      <c r="C540" s="0" t="inlineStr">
        <is>
          <t>NULL</t>
        </is>
      </c>
      <c r="D540" s="0" t="inlineStr">
        <is>
          <t>NULL</t>
        </is>
      </c>
      <c r="E540" s="0" t="inlineStr">
        <is>
          <t>NULL</t>
        </is>
      </c>
      <c r="F540" s="0" t="inlineStr">
        <is>
          <t>NULL</t>
        </is>
      </c>
      <c r="G540" s="0" t="inlineStr">
        <is>
          <t>NULL</t>
        </is>
      </c>
      <c r="H540" s="0" t="inlineStr">
        <is>
          <t>NULL</t>
        </is>
      </c>
      <c r="I540" s="0" t="inlineStr">
        <is>
          <t>YES!PK__info_dat__3213E83FEFCD9658</t>
        </is>
      </c>
      <c r="J540" s="0" t="inlineStr">
        <is>
          <t>YES! 主键相关索引</t>
        </is>
      </c>
      <c r="K540" s="0" t="inlineStr">
        <is>
          <t xml:space="preserve"> NO!  	 id列源备映射错误，源端为int None位	期望更改为text	实际备端为int None位</t>
        </is>
      </c>
      <c r="BX540" s="0" t="inlineStr">
        <is>
          <t>61行 5列，源：2026-04-17 17:18:22.7550 +08:00 备：2013-03-12 02:00:00.0000 -04:25</t>
        </is>
      </c>
      <c r="EH540" s="0" t="inlineStr">
        <is>
          <t>31行 4列，源：nan 备：</t>
        </is>
      </c>
      <c r="ES540" s="0" t="inlineStr">
        <is>
          <t>31行 4列，源：nan 备：9223372036854775807</t>
        </is>
      </c>
    </row>
    <row r="541">
      <c r="B541" s="0" t="inlineStr">
        <is>
          <t>NULL</t>
        </is>
      </c>
      <c r="C541" s="0" t="inlineStr">
        <is>
          <t>NULL</t>
        </is>
      </c>
      <c r="D541" s="0" t="inlineStr">
        <is>
          <t>NULL</t>
        </is>
      </c>
      <c r="E541" s="0" t="inlineStr">
        <is>
          <t>NULL</t>
        </is>
      </c>
      <c r="F541" s="0" t="inlineStr">
        <is>
          <t>NULL</t>
        </is>
      </c>
      <c r="G541" s="0" t="inlineStr">
        <is>
          <t>NULL</t>
        </is>
      </c>
      <c r="H541" s="0" t="inlineStr">
        <is>
          <t>NULL</t>
        </is>
      </c>
      <c r="I541" s="0" t="inlineStr">
        <is>
          <t>NULL</t>
        </is>
      </c>
      <c r="J541" s="0" t="inlineStr">
        <is>
          <t>NULL</t>
        </is>
      </c>
      <c r="K541" s="0" t="inlineStr">
        <is>
          <t xml:space="preserve"> NO!  	 c_dtoffset_0列源备映射错误，源端为datetimeoffset None位	期望更改为text	实际备端为datetimeoffset None位</t>
        </is>
      </c>
      <c r="BX541" s="0" t="inlineStr">
        <is>
          <t>61行 6列，源：2026-04-17 17:18:22.75495 +08:00 备：2013-03-12 02:00:00.00000 -04:25</t>
        </is>
      </c>
      <c r="EH541" s="0" t="inlineStr">
        <is>
          <t>31行 5列，源：None 备：</t>
        </is>
      </c>
      <c r="ES541" s="0" t="inlineStr">
        <is>
          <t>31行 5列，源：None 备：999999999999999999</t>
        </is>
      </c>
    </row>
    <row r="542">
      <c r="B542" s="0" t="inlineStr">
        <is>
          <t>NULL</t>
        </is>
      </c>
      <c r="C542" s="0" t="inlineStr">
        <is>
          <t>NULL</t>
        </is>
      </c>
      <c r="D542" s="0" t="inlineStr">
        <is>
          <t>NULL</t>
        </is>
      </c>
      <c r="E542" s="0" t="inlineStr">
        <is>
          <t>NULL</t>
        </is>
      </c>
      <c r="F542" s="0" t="inlineStr">
        <is>
          <t>NULL</t>
        </is>
      </c>
      <c r="G542" s="0" t="inlineStr">
        <is>
          <t>NULL</t>
        </is>
      </c>
      <c r="H542" s="0" t="inlineStr">
        <is>
          <t>NULL</t>
        </is>
      </c>
      <c r="I542" s="0" t="inlineStr">
        <is>
          <t>NULL</t>
        </is>
      </c>
      <c r="J542" s="0" t="inlineStr">
        <is>
          <t>NULL</t>
        </is>
      </c>
      <c r="K542" s="0" t="inlineStr">
        <is>
          <t xml:space="preserve"> NO!  	 c_dtoffset_1列源备映射错误，源端为datetimeoffset None位	期望更改为text	实际备端为datetimeoffset None位</t>
        </is>
      </c>
      <c r="BX542" s="0" t="inlineStr">
        <is>
          <t>61行 7列，源：2026-04-17 17:18:22.754952 +08:00 备：2013-03-12 02:00:00.000000 -04:25</t>
        </is>
      </c>
      <c r="EH542" s="0" t="inlineStr">
        <is>
          <t>31行 6列，源：None 备：</t>
        </is>
      </c>
      <c r="ES542" s="0" t="inlineStr">
        <is>
          <t>31行 6列，源：None 备：99999999999999999999999999999999999999</t>
        </is>
      </c>
    </row>
    <row r="543">
      <c r="B543" s="0" t="inlineStr">
        <is>
          <t>NULL</t>
        </is>
      </c>
      <c r="C543" s="0" t="inlineStr">
        <is>
          <t>NULL</t>
        </is>
      </c>
      <c r="D543" s="0" t="inlineStr">
        <is>
          <t>NULL</t>
        </is>
      </c>
      <c r="E543" s="0" t="inlineStr">
        <is>
          <t>NULL</t>
        </is>
      </c>
      <c r="F543" s="0" t="inlineStr">
        <is>
          <t>NULL</t>
        </is>
      </c>
      <c r="G543" s="0" t="inlineStr">
        <is>
          <t>NULL</t>
        </is>
      </c>
      <c r="H543" s="0" t="inlineStr">
        <is>
          <t>NULL</t>
        </is>
      </c>
      <c r="I543" s="0" t="inlineStr">
        <is>
          <t>NULL</t>
        </is>
      </c>
      <c r="J543" s="0" t="inlineStr">
        <is>
          <t>NULL</t>
        </is>
      </c>
      <c r="K543" s="0" t="inlineStr">
        <is>
          <t xml:space="preserve"> NO!  	 c_dtoffset_2列源备映射错误，源端为datetimeoffset None位	期望更改为text	实际备端为datetimeoffset None位</t>
        </is>
      </c>
      <c r="BX543" s="0" t="inlineStr">
        <is>
          <t>61行 8列，源：2026-04-17 17:18:22.7549521 +08:00 备：2013-03-12 02:00:00.0000000 -04:25</t>
        </is>
      </c>
      <c r="EH543" s="0" t="inlineStr">
        <is>
          <t>31行 7列，源：None 备：</t>
        </is>
      </c>
      <c r="ES543" s="0" t="inlineStr">
        <is>
          <t>31行 7列，源：None 备：0.99999999999999999999999999999999999999</t>
        </is>
      </c>
    </row>
    <row r="544">
      <c r="B544" s="0" t="inlineStr">
        <is>
          <t>NULL</t>
        </is>
      </c>
      <c r="C544" s="0" t="inlineStr">
        <is>
          <t>NULL</t>
        </is>
      </c>
      <c r="D544" s="0" t="inlineStr">
        <is>
          <t>NULL</t>
        </is>
      </c>
      <c r="E544" s="0" t="inlineStr">
        <is>
          <t>NULL</t>
        </is>
      </c>
      <c r="F544" s="0" t="inlineStr">
        <is>
          <t>NULL</t>
        </is>
      </c>
      <c r="G544" s="0" t="inlineStr">
        <is>
          <t>NULL</t>
        </is>
      </c>
      <c r="H544" s="0" t="inlineStr">
        <is>
          <t>NULL</t>
        </is>
      </c>
      <c r="I544" s="0" t="inlineStr">
        <is>
          <t>NULL</t>
        </is>
      </c>
      <c r="J544" s="0" t="inlineStr">
        <is>
          <t>NULL</t>
        </is>
      </c>
      <c r="K544" s="0" t="inlineStr">
        <is>
          <t xml:space="preserve"> NO!  	 c_dtoffset_3列源备映射错误，源端为datetimeoffset None位	期望更改为text	实际备端为datetimeoffset None位</t>
        </is>
      </c>
      <c r="BX544" s="0" t="inlineStr">
        <is>
          <t>62行 0列，源：275 备：81</t>
        </is>
      </c>
      <c r="EH544" s="0" t="inlineStr">
        <is>
          <t>31行 8列，源：None 备：</t>
        </is>
      </c>
      <c r="ES544" s="0" t="inlineStr">
        <is>
          <t>31行 8列，源：None 备：9999999999999999999999999999.9999999999</t>
        </is>
      </c>
    </row>
    <row r="545">
      <c r="B545" s="0" t="inlineStr">
        <is>
          <t>NULL</t>
        </is>
      </c>
      <c r="C545" s="0" t="inlineStr">
        <is>
          <t>NULL</t>
        </is>
      </c>
      <c r="D545" s="0" t="inlineStr">
        <is>
          <t>NULL</t>
        </is>
      </c>
      <c r="E545" s="0" t="inlineStr">
        <is>
          <t>NULL</t>
        </is>
      </c>
      <c r="F545" s="0" t="inlineStr">
        <is>
          <t>NULL</t>
        </is>
      </c>
      <c r="G545" s="0" t="inlineStr">
        <is>
          <t>NULL</t>
        </is>
      </c>
      <c r="H545" s="0" t="inlineStr">
        <is>
          <t>NULL</t>
        </is>
      </c>
      <c r="I545" s="0" t="inlineStr">
        <is>
          <t>NULL</t>
        </is>
      </c>
      <c r="J545" s="0" t="inlineStr">
        <is>
          <t>NULL</t>
        </is>
      </c>
      <c r="K545" s="0" t="inlineStr">
        <is>
          <t xml:space="preserve"> NO!  	 c_dtoffset_4列源备映射错误，源端为datetimeoffset None位	期望更改为text	实际备端为datetimeoffset None位</t>
        </is>
      </c>
      <c r="BX545" s="0" t="inlineStr">
        <is>
          <t>62行 1列，源：9999-12-31 23:59:59 +00:00 备：2003-11-05 02:00:00 -05:10</t>
        </is>
      </c>
      <c r="EH545" s="0" t="inlineStr">
        <is>
          <t>31行 9列，源：None 备：</t>
        </is>
      </c>
      <c r="ES545" s="0" t="inlineStr">
        <is>
          <t>31行 9列，源：None 备：999999999999999.9999</t>
        </is>
      </c>
    </row>
    <row r="546">
      <c r="B546" s="0" t="inlineStr">
        <is>
          <t>NULL</t>
        </is>
      </c>
      <c r="C546" s="0" t="inlineStr">
        <is>
          <t>NULL</t>
        </is>
      </c>
      <c r="D546" s="0" t="inlineStr">
        <is>
          <t>NULL</t>
        </is>
      </c>
      <c r="E546" s="0" t="inlineStr">
        <is>
          <t>NULL</t>
        </is>
      </c>
      <c r="F546" s="0" t="inlineStr">
        <is>
          <t>NULL</t>
        </is>
      </c>
      <c r="G546" s="0" t="inlineStr">
        <is>
          <t>NULL</t>
        </is>
      </c>
      <c r="H546" s="0" t="inlineStr">
        <is>
          <t>NULL</t>
        </is>
      </c>
      <c r="I546" s="0" t="inlineStr">
        <is>
          <t>NULL</t>
        </is>
      </c>
      <c r="J546" s="0" t="inlineStr">
        <is>
          <t>NULL</t>
        </is>
      </c>
      <c r="K546" s="0" t="inlineStr">
        <is>
          <t xml:space="preserve"> NO!  	 c_dtoffset_5列源备映射错误，源端为datetimeoffset None位	期望更改为text	实际备端为datetimeoffset None位</t>
        </is>
      </c>
      <c r="BX546" s="0" t="inlineStr">
        <is>
          <t>62行 2列，源：9999-12-31 23:59:59.9 +00:00 备：2003-11-05 02:00:00.0 -05:10</t>
        </is>
      </c>
      <c r="EH546" s="0" t="inlineStr">
        <is>
          <t>31行 10列，源：None 备：</t>
        </is>
      </c>
      <c r="ES546" s="0" t="inlineStr">
        <is>
          <t>31行 10列，源：None 备：999999999999999999</t>
        </is>
      </c>
    </row>
    <row r="547">
      <c r="B547" s="0" t="inlineStr">
        <is>
          <t>NULL</t>
        </is>
      </c>
      <c r="C547" s="0" t="inlineStr">
        <is>
          <t>NULL</t>
        </is>
      </c>
      <c r="D547" s="0" t="inlineStr">
        <is>
          <t>NULL</t>
        </is>
      </c>
      <c r="E547" s="0" t="inlineStr">
        <is>
          <t>NULL</t>
        </is>
      </c>
      <c r="F547" s="0" t="inlineStr">
        <is>
          <t>NULL</t>
        </is>
      </c>
      <c r="G547" s="0" t="inlineStr">
        <is>
          <t>NULL</t>
        </is>
      </c>
      <c r="H547" s="0" t="inlineStr">
        <is>
          <t>NULL</t>
        </is>
      </c>
      <c r="I547" s="0" t="inlineStr">
        <is>
          <t>NULL</t>
        </is>
      </c>
      <c r="J547" s="0" t="inlineStr">
        <is>
          <t>NULL</t>
        </is>
      </c>
      <c r="K547" s="0" t="inlineStr">
        <is>
          <t xml:space="preserve"> NO!  	 c_dtoffset_6列源备映射错误，源端为datetimeoffset None位	期望更改为text	实际备端为datetimeoffset None位</t>
        </is>
      </c>
      <c r="BX547" s="0" t="inlineStr">
        <is>
          <t>62行 3列，源：9999-12-31 23:59:59.99 +00:00 备：2003-11-05 02:00:00.00 -05:10</t>
        </is>
      </c>
      <c r="EH547" s="0" t="inlineStr">
        <is>
          <t>31行 11列，源：None 备：</t>
        </is>
      </c>
      <c r="ES547" s="0" t="inlineStr">
        <is>
          <t>31行 11列，源：None 备：99999999999999999999999999999999999999</t>
        </is>
      </c>
    </row>
    <row r="548">
      <c r="B548" s="0" t="inlineStr">
        <is>
          <t>NULL</t>
        </is>
      </c>
      <c r="C548" s="0" t="inlineStr">
        <is>
          <t>NULL</t>
        </is>
      </c>
      <c r="D548" s="0" t="inlineStr">
        <is>
          <t>NULL</t>
        </is>
      </c>
      <c r="E548" s="0" t="inlineStr">
        <is>
          <t>NULL</t>
        </is>
      </c>
      <c r="F548" s="0" t="inlineStr">
        <is>
          <t>NULL</t>
        </is>
      </c>
      <c r="G548" s="0" t="inlineStr">
        <is>
          <t>NULL</t>
        </is>
      </c>
      <c r="H548" s="0" t="inlineStr">
        <is>
          <t>NULL</t>
        </is>
      </c>
      <c r="I548" s="0" t="inlineStr">
        <is>
          <t>NULL</t>
        </is>
      </c>
      <c r="J548" s="0" t="inlineStr">
        <is>
          <t>NULL</t>
        </is>
      </c>
      <c r="K548" s="0" t="inlineStr">
        <is>
          <t xml:space="preserve"> NO!  	 c_dtoffset列源备映射错误，源端为datetimeoffset None位	期望更改为text	实际备端为datetimeoffset None位</t>
        </is>
      </c>
      <c r="BX548" s="0" t="inlineStr">
        <is>
          <t>62行 4列，源：9999-12-31 23:59:59.999 +00:00 备：2003-11-05 02:00:00.000 -05:10</t>
        </is>
      </c>
      <c r="EH548" s="0" t="inlineStr">
        <is>
          <t>31行 12列，源：None 备：</t>
        </is>
      </c>
      <c r="ES548" s="0" t="inlineStr">
        <is>
          <t>31行 12列，源：None 备：0.99999999999999999999999999999999999999</t>
        </is>
      </c>
    </row>
    <row r="549">
      <c r="A549" s="0" t="inlineStr">
        <is>
          <t>info_char_dml_batch1_pk_urp2</t>
        </is>
      </c>
      <c r="K549" s="0" t="inlineStr">
        <is>
          <t>[0;34m info_char_dml_batch1_pk_urp2 [0m源备字段数相同，源端字段：4 	备端字段4</t>
        </is>
      </c>
      <c r="W549" s="2">
        <f>HYPERLINK("#2026041905hbase4!CC2","NO 源备存在差异，共14个")</f>
        <v/>
      </c>
      <c r="X549" s="0">
        <f>A549</f>
        <v/>
      </c>
      <c r="BX549" s="0" t="inlineStr">
        <is>
          <t>62行 5列，源：9999-12-31 23:59:59.9999 +00:00 备：2003-11-05 02:00:00.0000 -05:10</t>
        </is>
      </c>
      <c r="EH549" s="0" t="inlineStr">
        <is>
          <t>31行 13列，源：None 备：</t>
        </is>
      </c>
      <c r="ES549" s="0" t="inlineStr">
        <is>
          <t>31行 13列，源：None 备：9999999999999999999999999999.9999999999</t>
        </is>
      </c>
    </row>
    <row r="550">
      <c r="B550" s="0" t="inlineStr">
        <is>
          <t>YES</t>
        </is>
      </c>
      <c r="C550" s="0" t="inlineStr">
        <is>
          <t>NULL</t>
        </is>
      </c>
      <c r="D550" s="0" t="inlineStr">
        <is>
          <t>NULL</t>
        </is>
      </c>
      <c r="E550" s="0" t="inlineStr">
        <is>
          <t>NULL</t>
        </is>
      </c>
      <c r="F550" s="0" t="inlineStr">
        <is>
          <t>NULL</t>
        </is>
      </c>
      <c r="G550" s="0" t="inlineStr">
        <is>
          <t>NULL</t>
        </is>
      </c>
      <c r="H550" s="0" t="inlineStr">
        <is>
          <t>NULL</t>
        </is>
      </c>
      <c r="I550" s="0" t="inlineStr">
        <is>
          <t>YES!PK__info_cha__3213E83FE4C183CD</t>
        </is>
      </c>
      <c r="J550" s="0" t="inlineStr">
        <is>
          <t>YES! 主键相关索引</t>
        </is>
      </c>
      <c r="K550" s="0" t="inlineStr">
        <is>
          <t xml:space="preserve"> NO!  	 id列源备映射错误，源端为int None位	期望更改为text	实际备端为int None位</t>
        </is>
      </c>
      <c r="BX550" s="0" t="inlineStr">
        <is>
          <t>62行 6列，源：9999-12-31 23:59:59.99999 +00:00 备：2003-11-05 02:00:00.00000 -05:10</t>
        </is>
      </c>
      <c r="EH550" s="0" t="inlineStr">
        <is>
          <t>31行 14列，源：None 备：</t>
        </is>
      </c>
      <c r="ES550" s="0" t="inlineStr">
        <is>
          <t>31行 14列，源：None 备：9999999999999999.99</t>
        </is>
      </c>
    </row>
    <row r="551">
      <c r="B551" s="0" t="inlineStr">
        <is>
          <t>NULL</t>
        </is>
      </c>
      <c r="C551" s="0" t="inlineStr">
        <is>
          <t>NULL</t>
        </is>
      </c>
      <c r="D551" s="0" t="inlineStr">
        <is>
          <t>NULL</t>
        </is>
      </c>
      <c r="E551" s="0" t="inlineStr">
        <is>
          <t>NULL</t>
        </is>
      </c>
      <c r="F551" s="0" t="inlineStr">
        <is>
          <t>NULL</t>
        </is>
      </c>
      <c r="G551" s="0" t="inlineStr">
        <is>
          <t>NULL</t>
        </is>
      </c>
      <c r="H551" s="0" t="inlineStr">
        <is>
          <t>NULL</t>
        </is>
      </c>
      <c r="I551" s="0" t="inlineStr">
        <is>
          <t>NULL</t>
        </is>
      </c>
      <c r="J551" s="0" t="inlineStr">
        <is>
          <t>NULL</t>
        </is>
      </c>
      <c r="K551" s="0" t="inlineStr">
        <is>
          <t xml:space="preserve"> NO!  	 c_char列源备映射错误，源端为char 1位	期望更改为text	实际备端为char 1位</t>
        </is>
      </c>
      <c r="BX551" s="0" t="inlineStr">
        <is>
          <t>62行 7列，源：9999-12-31 23:59:59.999999 +00:00 备：2003-11-05 02:00:00.000000 -05:10</t>
        </is>
      </c>
      <c r="EH551" s="0" t="inlineStr">
        <is>
          <t>31行 15列，源：nan 备：</t>
        </is>
      </c>
      <c r="ES551" s="0" t="inlineStr">
        <is>
          <t>31行 15列，源：nan 备：1.7900000000000e+308</t>
        </is>
      </c>
    </row>
    <row r="552">
      <c r="B552" s="0" t="inlineStr">
        <is>
          <t>NULL</t>
        </is>
      </c>
      <c r="C552" s="0" t="inlineStr">
        <is>
          <t>NULL</t>
        </is>
      </c>
      <c r="D552" s="0" t="inlineStr">
        <is>
          <t>NULL</t>
        </is>
      </c>
      <c r="E552" s="0" t="inlineStr">
        <is>
          <t>NULL</t>
        </is>
      </c>
      <c r="F552" s="0" t="inlineStr">
        <is>
          <t>NULL</t>
        </is>
      </c>
      <c r="G552" s="0" t="inlineStr">
        <is>
          <t>NULL</t>
        </is>
      </c>
      <c r="H552" s="0" t="inlineStr">
        <is>
          <t>NULL</t>
        </is>
      </c>
      <c r="I552" s="0" t="inlineStr">
        <is>
          <t>NULL</t>
        </is>
      </c>
      <c r="J552" s="0" t="inlineStr">
        <is>
          <t>NULL</t>
        </is>
      </c>
      <c r="K552" s="0" t="inlineStr">
        <is>
          <t xml:space="preserve"> NO!  	 c_char20列源备映射错误，源端为char 20位	期望更改为text	实际备端为char 20位</t>
        </is>
      </c>
      <c r="BX552" s="0" t="inlineStr">
        <is>
          <t>62行 8列，源：9999-12-31 23:59:59.9999999 +00:00 备：2003-11-05 02:00:00.0000000 -05:10</t>
        </is>
      </c>
      <c r="EH552" s="0" t="inlineStr">
        <is>
          <t>31行 16列，源：nan 备：</t>
        </is>
      </c>
      <c r="ES552" s="0" t="inlineStr">
        <is>
          <t>31行 16列，源：nan 备：339999995214436424907732413799364296704.000000</t>
        </is>
      </c>
    </row>
    <row r="553">
      <c r="B553" s="0" t="inlineStr">
        <is>
          <t>NULL</t>
        </is>
      </c>
      <c r="C553" s="0" t="inlineStr">
        <is>
          <t>NULL</t>
        </is>
      </c>
      <c r="D553" s="0" t="inlineStr">
        <is>
          <t>NULL</t>
        </is>
      </c>
      <c r="E553" s="0" t="inlineStr">
        <is>
          <t>NULL</t>
        </is>
      </c>
      <c r="F553" s="0" t="inlineStr">
        <is>
          <t>NULL</t>
        </is>
      </c>
      <c r="G553" s="0" t="inlineStr">
        <is>
          <t>NULL</t>
        </is>
      </c>
      <c r="H553" s="0" t="inlineStr">
        <is>
          <t>NULL</t>
        </is>
      </c>
      <c r="I553" s="0" t="inlineStr">
        <is>
          <t>NULL</t>
        </is>
      </c>
      <c r="J553" s="0" t="inlineStr">
        <is>
          <t>NULL</t>
        </is>
      </c>
      <c r="K553" s="0" t="inlineStr">
        <is>
          <t xml:space="preserve"> NO!  	 c_char7000列源备映射错误，源端为char 7000位	期望更改为text	实际备端为char 7000位</t>
        </is>
      </c>
      <c r="BX553" s="0" t="inlineStr">
        <is>
          <t>63行 0列，源：276 备：82</t>
        </is>
      </c>
      <c r="EH553" s="0" t="inlineStr">
        <is>
          <t>31行 17列，源：None 备：</t>
        </is>
      </c>
      <c r="ES553" s="0" t="inlineStr">
        <is>
          <t>31行 17列，源：None 备：922337203685477.5807</t>
        </is>
      </c>
    </row>
    <row r="554">
      <c r="A554" s="0" t="inlineStr">
        <is>
          <t>info_datetimeoffset_dml_batch1_pk_urp1</t>
        </is>
      </c>
      <c r="K554" s="0" t="inlineStr">
        <is>
          <t>[0;34m info_datetimeoffset_dml_batch1_pk_urp1 [0m源备字段数相同，源端字段：9 	备端字段9</t>
        </is>
      </c>
      <c r="W554" s="2">
        <f>HYPERLINK("#2026041905hbase4!CD2","NO 源备存在差异，共64个")</f>
        <v/>
      </c>
      <c r="X554" s="0">
        <f>A554</f>
        <v/>
      </c>
      <c r="BX554" s="0" t="inlineStr">
        <is>
          <t>63行 1列，源：2063-05-11 10:30:45 -04:00 备：2025-05-12 00:00:00 -14:00</t>
        </is>
      </c>
      <c r="EH554" s="0" t="inlineStr">
        <is>
          <t>31行 18列，源：None 备：</t>
        </is>
      </c>
      <c r="ES554" s="0" t="inlineStr">
        <is>
          <t>31行 18列，源：None 备：214748.3647</t>
        </is>
      </c>
    </row>
    <row r="555">
      <c r="B555" s="0" t="inlineStr">
        <is>
          <t>YES</t>
        </is>
      </c>
      <c r="C555" s="0" t="inlineStr">
        <is>
          <t>NULL</t>
        </is>
      </c>
      <c r="D555" s="0" t="inlineStr">
        <is>
          <t>NULL</t>
        </is>
      </c>
      <c r="E555" s="0" t="inlineStr">
        <is>
          <t>NULL</t>
        </is>
      </c>
      <c r="F555" s="0" t="inlineStr">
        <is>
          <t>NULL</t>
        </is>
      </c>
      <c r="G555" s="0" t="inlineStr">
        <is>
          <t>NULL</t>
        </is>
      </c>
      <c r="H555" s="0" t="inlineStr">
        <is>
          <t>NULL</t>
        </is>
      </c>
      <c r="I555" s="0" t="inlineStr">
        <is>
          <t>YES!PK__info_dat__3213E83F42DB3FC3</t>
        </is>
      </c>
      <c r="J555" s="0" t="inlineStr">
        <is>
          <t>YES! 主键相关索引</t>
        </is>
      </c>
      <c r="K555" s="0" t="inlineStr">
        <is>
          <t xml:space="preserve"> NO!  	 id列源备映射错误，源端为int None位	期望更改为text	实际备端为int None位</t>
        </is>
      </c>
      <c r="BX555" s="0" t="inlineStr">
        <is>
          <t>63行 2列，源：2063-05-11 10:30:45.1 -04:00 备：2025-05-12 00:00:00.0 -14:00</t>
        </is>
      </c>
      <c r="EH555" s="0" t="inlineStr">
        <is>
          <t>31行 19列，源：None 备：</t>
        </is>
      </c>
      <c r="ES555" s="0" t="inlineStr">
        <is>
          <t>31行 19列，源：None 备：1</t>
        </is>
      </c>
    </row>
    <row r="556">
      <c r="B556" s="0" t="inlineStr">
        <is>
          <t>NULL</t>
        </is>
      </c>
      <c r="C556" s="0" t="inlineStr">
        <is>
          <t>NULL</t>
        </is>
      </c>
      <c r="D556" s="0" t="inlineStr">
        <is>
          <t>NULL</t>
        </is>
      </c>
      <c r="E556" s="0" t="inlineStr">
        <is>
          <t>NULL</t>
        </is>
      </c>
      <c r="F556" s="0" t="inlineStr">
        <is>
          <t>NULL</t>
        </is>
      </c>
      <c r="G556" s="0" t="inlineStr">
        <is>
          <t>NULL</t>
        </is>
      </c>
      <c r="H556" s="0" t="inlineStr">
        <is>
          <t>NULL</t>
        </is>
      </c>
      <c r="I556" s="0" t="inlineStr">
        <is>
          <t>NULL</t>
        </is>
      </c>
      <c r="J556" s="0" t="inlineStr">
        <is>
          <t>NULL</t>
        </is>
      </c>
      <c r="K556" s="0" t="inlineStr">
        <is>
          <t xml:space="preserve"> NO!  	 c_dtoffset_0列源备映射错误，源端为datetimeoffset None位	期望更改为text	实际备端为datetimeoffset None位</t>
        </is>
      </c>
      <c r="BX556" s="0" t="inlineStr">
        <is>
          <t>63行 3列，源：2063-05-11 10:30:45.12 -04:00 备：2025-05-12 00:00:00.00 -14:00</t>
        </is>
      </c>
      <c r="EH556" s="0" t="inlineStr">
        <is>
          <t>32行 0列，源：63 备：156</t>
        </is>
      </c>
      <c r="ES556" s="0" t="inlineStr">
        <is>
          <t>32行 0列，源：63 备：20</t>
        </is>
      </c>
    </row>
    <row r="557">
      <c r="B557" s="0" t="inlineStr">
        <is>
          <t>NULL</t>
        </is>
      </c>
      <c r="C557" s="0" t="inlineStr">
        <is>
          <t>NULL</t>
        </is>
      </c>
      <c r="D557" s="0" t="inlineStr">
        <is>
          <t>NULL</t>
        </is>
      </c>
      <c r="E557" s="0" t="inlineStr">
        <is>
          <t>NULL</t>
        </is>
      </c>
      <c r="F557" s="0" t="inlineStr">
        <is>
          <t>NULL</t>
        </is>
      </c>
      <c r="G557" s="0" t="inlineStr">
        <is>
          <t>NULL</t>
        </is>
      </c>
      <c r="H557" s="0" t="inlineStr">
        <is>
          <t>NULL</t>
        </is>
      </c>
      <c r="I557" s="0" t="inlineStr">
        <is>
          <t>NULL</t>
        </is>
      </c>
      <c r="J557" s="0" t="inlineStr">
        <is>
          <t>NULL</t>
        </is>
      </c>
      <c r="K557" s="0" t="inlineStr">
        <is>
          <t xml:space="preserve"> NO!  	 c_dtoffset_1列源备映射错误，源端为datetimeoffset None位	期望更改为text	实际备端为datetimeoffset None位</t>
        </is>
      </c>
      <c r="BX557" s="0" t="inlineStr">
        <is>
          <t>63行 4列，源：2063-05-11 10:30:45.123 -04:00 备：2025-05-12 00:00:00.000 -14:00</t>
        </is>
      </c>
      <c r="EH557" s="0" t="inlineStr">
        <is>
          <t>32行 1列，源：nan 备：</t>
        </is>
      </c>
      <c r="ES557" s="0" t="inlineStr">
        <is>
          <t>32行 1列，源：nan 备：</t>
        </is>
      </c>
    </row>
    <row r="558">
      <c r="B558" s="0" t="inlineStr">
        <is>
          <t>NULL</t>
        </is>
      </c>
      <c r="C558" s="0" t="inlineStr">
        <is>
          <t>NULL</t>
        </is>
      </c>
      <c r="D558" s="0" t="inlineStr">
        <is>
          <t>NULL</t>
        </is>
      </c>
      <c r="E558" s="0" t="inlineStr">
        <is>
          <t>NULL</t>
        </is>
      </c>
      <c r="F558" s="0" t="inlineStr">
        <is>
          <t>NULL</t>
        </is>
      </c>
      <c r="G558" s="0" t="inlineStr">
        <is>
          <t>NULL</t>
        </is>
      </c>
      <c r="H558" s="0" t="inlineStr">
        <is>
          <t>NULL</t>
        </is>
      </c>
      <c r="I558" s="0" t="inlineStr">
        <is>
          <t>NULL</t>
        </is>
      </c>
      <c r="J558" s="0" t="inlineStr">
        <is>
          <t>NULL</t>
        </is>
      </c>
      <c r="K558" s="0" t="inlineStr">
        <is>
          <t xml:space="preserve"> NO!  	 c_dtoffset_2列源备映射错误，源端为datetimeoffset None位	期望更改为text	实际备端为datetimeoffset None位</t>
        </is>
      </c>
      <c r="BX558" s="0" t="inlineStr">
        <is>
          <t>63行 5列，源：2063-05-11 10:30:45.1235 -04:00 备：2025-05-12 00:00:00.0000 -14:00</t>
        </is>
      </c>
      <c r="EH558" s="0" t="inlineStr">
        <is>
          <t>32行 2列，源：nan 备：</t>
        </is>
      </c>
      <c r="ES558" s="0" t="inlineStr">
        <is>
          <t>32行 2列，源：nan 备：</t>
        </is>
      </c>
    </row>
    <row r="559">
      <c r="B559" s="0" t="inlineStr">
        <is>
          <t>NULL</t>
        </is>
      </c>
      <c r="C559" s="0" t="inlineStr">
        <is>
          <t>NULL</t>
        </is>
      </c>
      <c r="D559" s="0" t="inlineStr">
        <is>
          <t>NULL</t>
        </is>
      </c>
      <c r="E559" s="0" t="inlineStr">
        <is>
          <t>NULL</t>
        </is>
      </c>
      <c r="F559" s="0" t="inlineStr">
        <is>
          <t>NULL</t>
        </is>
      </c>
      <c r="G559" s="0" t="inlineStr">
        <is>
          <t>NULL</t>
        </is>
      </c>
      <c r="H559" s="0" t="inlineStr">
        <is>
          <t>NULL</t>
        </is>
      </c>
      <c r="I559" s="0" t="inlineStr">
        <is>
          <t>NULL</t>
        </is>
      </c>
      <c r="J559" s="0" t="inlineStr">
        <is>
          <t>NULL</t>
        </is>
      </c>
      <c r="K559" s="0" t="inlineStr">
        <is>
          <t xml:space="preserve"> NO!  	 c_dtoffset_3列源备映射错误，源端为datetimeoffset None位	期望更改为text	实际备端为datetimeoffset None位</t>
        </is>
      </c>
      <c r="BX559" s="0" t="inlineStr">
        <is>
          <t>63行 6列，源：2063-05-11 10:30:45.12346 -04:00 备：2025-05-12 00:00:00.00000 -14:00</t>
        </is>
      </c>
      <c r="EH559" s="0" t="inlineStr">
        <is>
          <t>32行 3列，源：nan 备：</t>
        </is>
      </c>
      <c r="ES559" s="0" t="inlineStr">
        <is>
          <t>32行 3列，源：nan 备：</t>
        </is>
      </c>
    </row>
    <row r="560">
      <c r="B560" s="0" t="inlineStr">
        <is>
          <t>NULL</t>
        </is>
      </c>
      <c r="C560" s="0" t="inlineStr">
        <is>
          <t>NULL</t>
        </is>
      </c>
      <c r="D560" s="0" t="inlineStr">
        <is>
          <t>NULL</t>
        </is>
      </c>
      <c r="E560" s="0" t="inlineStr">
        <is>
          <t>NULL</t>
        </is>
      </c>
      <c r="F560" s="0" t="inlineStr">
        <is>
          <t>NULL</t>
        </is>
      </c>
      <c r="G560" s="0" t="inlineStr">
        <is>
          <t>NULL</t>
        </is>
      </c>
      <c r="H560" s="0" t="inlineStr">
        <is>
          <t>NULL</t>
        </is>
      </c>
      <c r="I560" s="0" t="inlineStr">
        <is>
          <t>NULL</t>
        </is>
      </c>
      <c r="J560" s="0" t="inlineStr">
        <is>
          <t>NULL</t>
        </is>
      </c>
      <c r="K560" s="0" t="inlineStr">
        <is>
          <t xml:space="preserve"> NO!  	 c_dtoffset_4列源备映射错误，源端为datetimeoffset None位	期望更改为text	实际备端为datetimeoffset None位</t>
        </is>
      </c>
      <c r="BX560" s="0" t="inlineStr">
        <is>
          <t>63行 7列，源：2063-05-11 10:30:45.123457 -04:00 备：2025-05-12 00:00:00.000000 -14:00</t>
        </is>
      </c>
      <c r="EH560" s="0" t="inlineStr">
        <is>
          <t>32行 4列，源：nan 备：</t>
        </is>
      </c>
      <c r="ES560" s="0" t="inlineStr">
        <is>
          <t>32行 4列，源：nan 备：</t>
        </is>
      </c>
    </row>
    <row r="561">
      <c r="B561" s="0" t="inlineStr">
        <is>
          <t>NULL</t>
        </is>
      </c>
      <c r="C561" s="0" t="inlineStr">
        <is>
          <t>NULL</t>
        </is>
      </c>
      <c r="D561" s="0" t="inlineStr">
        <is>
          <t>NULL</t>
        </is>
      </c>
      <c r="E561" s="0" t="inlineStr">
        <is>
          <t>NULL</t>
        </is>
      </c>
      <c r="F561" s="0" t="inlineStr">
        <is>
          <t>NULL</t>
        </is>
      </c>
      <c r="G561" s="0" t="inlineStr">
        <is>
          <t>NULL</t>
        </is>
      </c>
      <c r="H561" s="0" t="inlineStr">
        <is>
          <t>NULL</t>
        </is>
      </c>
      <c r="I561" s="0" t="inlineStr">
        <is>
          <t>NULL</t>
        </is>
      </c>
      <c r="J561" s="0" t="inlineStr">
        <is>
          <t>NULL</t>
        </is>
      </c>
      <c r="K561" s="0" t="inlineStr">
        <is>
          <t xml:space="preserve"> NO!  	 c_dtoffset_5列源备映射错误，源端为datetimeoffset None位	期望更改为text	实际备端为datetimeoffset None位</t>
        </is>
      </c>
      <c r="BX561" s="0" t="inlineStr">
        <is>
          <t>63行 8列，源：2063-05-11 10:30:45.1234567 -04:00 备：2025-05-11 23:59:59.9999999 -14:00</t>
        </is>
      </c>
      <c r="EH561" s="0" t="inlineStr">
        <is>
          <t>32行 5列，源：None 备：</t>
        </is>
      </c>
      <c r="ES561" s="0" t="inlineStr">
        <is>
          <t>32行 5列，源：None 备：</t>
        </is>
      </c>
    </row>
    <row r="562">
      <c r="B562" s="0" t="inlineStr">
        <is>
          <t>NULL</t>
        </is>
      </c>
      <c r="C562" s="0" t="inlineStr">
        <is>
          <t>NULL</t>
        </is>
      </c>
      <c r="D562" s="0" t="inlineStr">
        <is>
          <t>NULL</t>
        </is>
      </c>
      <c r="E562" s="0" t="inlineStr">
        <is>
          <t>NULL</t>
        </is>
      </c>
      <c r="F562" s="0" t="inlineStr">
        <is>
          <t>NULL</t>
        </is>
      </c>
      <c r="G562" s="0" t="inlineStr">
        <is>
          <t>NULL</t>
        </is>
      </c>
      <c r="H562" s="0" t="inlineStr">
        <is>
          <t>NULL</t>
        </is>
      </c>
      <c r="I562" s="0" t="inlineStr">
        <is>
          <t>NULL</t>
        </is>
      </c>
      <c r="J562" s="0" t="inlineStr">
        <is>
          <t>NULL</t>
        </is>
      </c>
      <c r="K562" s="0" t="inlineStr">
        <is>
          <t xml:space="preserve"> NO!  	 c_dtoffset_6列源备映射错误，源端为datetimeoffset None位	期望更改为text	实际备端为datetimeoffset None位</t>
        </is>
      </c>
      <c r="BX562" s="0" t="inlineStr">
        <is>
          <t>64行 0列，源：323 备：83</t>
        </is>
      </c>
      <c r="EH562" s="0" t="inlineStr">
        <is>
          <t>32行 6列，源：None 备：</t>
        </is>
      </c>
      <c r="ES562" s="0" t="inlineStr">
        <is>
          <t>32行 6列，源：None 备：</t>
        </is>
      </c>
    </row>
    <row r="563">
      <c r="B563" s="0" t="inlineStr">
        <is>
          <t>NULL</t>
        </is>
      </c>
      <c r="C563" s="0" t="inlineStr">
        <is>
          <t>NULL</t>
        </is>
      </c>
      <c r="D563" s="0" t="inlineStr">
        <is>
          <t>NULL</t>
        </is>
      </c>
      <c r="E563" s="0" t="inlineStr">
        <is>
          <t>NULL</t>
        </is>
      </c>
      <c r="F563" s="0" t="inlineStr">
        <is>
          <t>NULL</t>
        </is>
      </c>
      <c r="G563" s="0" t="inlineStr">
        <is>
          <t>NULL</t>
        </is>
      </c>
      <c r="H563" s="0" t="inlineStr">
        <is>
          <t>NULL</t>
        </is>
      </c>
      <c r="I563" s="0" t="inlineStr">
        <is>
          <t>NULL</t>
        </is>
      </c>
      <c r="J563" s="0" t="inlineStr">
        <is>
          <t>NULL</t>
        </is>
      </c>
      <c r="K563" s="0" t="inlineStr">
        <is>
          <t xml:space="preserve"> NO!  	 c_dtoffset列源备映射错误，源端为datetimeoffset None位	期望更改为text	实际备端为datetimeoffset None位</t>
        </is>
      </c>
      <c r="BX563" s="0" t="inlineStr">
        <is>
          <t>64行 1列，源：2026-04-17 17:18:23 +08:00 备：1971-05-11 00:00:00 +14:00</t>
        </is>
      </c>
      <c r="EH563" s="0" t="inlineStr">
        <is>
          <t>32行 7列，源：None 备：</t>
        </is>
      </c>
      <c r="ES563" s="0" t="inlineStr">
        <is>
          <t>32行 7列，源：None 备：</t>
        </is>
      </c>
    </row>
    <row r="564">
      <c r="A564" s="0" t="inlineStr">
        <is>
          <t>info_datetimeoffset_dml_batch1_pk_urp2</t>
        </is>
      </c>
      <c r="K564" s="0" t="inlineStr">
        <is>
          <t>[0;34m info_datetimeoffset_dml_batch1_pk_urp2 [0m源备字段数相同，源端字段：9 	备端字段9</t>
        </is>
      </c>
      <c r="W564" s="2">
        <f>HYPERLINK("#2026041905hbase4!CE2","NO 源备存在差异，共100个")</f>
        <v/>
      </c>
      <c r="X564" s="0">
        <f>A564</f>
        <v/>
      </c>
      <c r="BX564" s="0" t="inlineStr">
        <is>
          <t>64行 2列，源：2026-04-17 17:18:22.8 +08:00 备：1971-05-11 00:00:00.0 +14:00</t>
        </is>
      </c>
      <c r="EH564" s="0" t="inlineStr">
        <is>
          <t>32行 8列，源：None 备：</t>
        </is>
      </c>
      <c r="ES564" s="0" t="inlineStr">
        <is>
          <t>32行 8列，源：None 备：</t>
        </is>
      </c>
    </row>
    <row r="565">
      <c r="B565" s="0" t="inlineStr">
        <is>
          <t>YES</t>
        </is>
      </c>
      <c r="C565" s="0" t="inlineStr">
        <is>
          <t>NULL</t>
        </is>
      </c>
      <c r="D565" s="0" t="inlineStr">
        <is>
          <t>NULL</t>
        </is>
      </c>
      <c r="E565" s="0" t="inlineStr">
        <is>
          <t>NULL</t>
        </is>
      </c>
      <c r="F565" s="0" t="inlineStr">
        <is>
          <t>NULL</t>
        </is>
      </c>
      <c r="G565" s="0" t="inlineStr">
        <is>
          <t>NULL</t>
        </is>
      </c>
      <c r="H565" s="0" t="inlineStr">
        <is>
          <t>NULL</t>
        </is>
      </c>
      <c r="I565" s="0" t="inlineStr">
        <is>
          <t>YES!PK__info_dat__3213E83F4F046BD4</t>
        </is>
      </c>
      <c r="J565" s="0" t="inlineStr">
        <is>
          <t>YES! 主键相关索引</t>
        </is>
      </c>
      <c r="K565" s="0" t="inlineStr">
        <is>
          <t xml:space="preserve"> NO!  	 id列源备映射错误，源端为int None位	期望更改为text	实际备端为int None位</t>
        </is>
      </c>
      <c r="BX565" s="0" t="inlineStr">
        <is>
          <t>64行 3列，源：2026-04-17 17:18:22.75 +08:00 备：1971-05-11 00:00:00.00 +14:00</t>
        </is>
      </c>
      <c r="EH565" s="0" t="inlineStr">
        <is>
          <t>32行 9列，源：None 备：</t>
        </is>
      </c>
      <c r="ES565" s="0" t="inlineStr">
        <is>
          <t>32行 9列，源：None 备：</t>
        </is>
      </c>
    </row>
    <row r="566">
      <c r="B566" s="0" t="inlineStr">
        <is>
          <t>NULL</t>
        </is>
      </c>
      <c r="C566" s="0" t="inlineStr">
        <is>
          <t>NULL</t>
        </is>
      </c>
      <c r="D566" s="0" t="inlineStr">
        <is>
          <t>NULL</t>
        </is>
      </c>
      <c r="E566" s="0" t="inlineStr">
        <is>
          <t>NULL</t>
        </is>
      </c>
      <c r="F566" s="0" t="inlineStr">
        <is>
          <t>NULL</t>
        </is>
      </c>
      <c r="G566" s="0" t="inlineStr">
        <is>
          <t>NULL</t>
        </is>
      </c>
      <c r="H566" s="0" t="inlineStr">
        <is>
          <t>NULL</t>
        </is>
      </c>
      <c r="I566" s="0" t="inlineStr">
        <is>
          <t>NULL</t>
        </is>
      </c>
      <c r="J566" s="0" t="inlineStr">
        <is>
          <t>NULL</t>
        </is>
      </c>
      <c r="K566" s="0" t="inlineStr">
        <is>
          <t xml:space="preserve"> NO!  	 c_dtoffset_0列源备映射错误，源端为datetimeoffset None位	期望更改为text	实际备端为datetimeoffset None位</t>
        </is>
      </c>
      <c r="BX566" s="0" t="inlineStr">
        <is>
          <t>64行 4列，源：2026-04-17 17:18:22.755 +08:00 备：1971-05-11 00:00:00.000 +14:00</t>
        </is>
      </c>
      <c r="EH566" s="0" t="inlineStr">
        <is>
          <t>32行 10列，源：None 备：</t>
        </is>
      </c>
      <c r="ES566" s="0" t="inlineStr">
        <is>
          <t>32行 10列，源：None 备：</t>
        </is>
      </c>
    </row>
    <row r="567">
      <c r="B567" s="0" t="inlineStr">
        <is>
          <t>NULL</t>
        </is>
      </c>
      <c r="C567" s="0" t="inlineStr">
        <is>
          <t>NULL</t>
        </is>
      </c>
      <c r="D567" s="0" t="inlineStr">
        <is>
          <t>NULL</t>
        </is>
      </c>
      <c r="E567" s="0" t="inlineStr">
        <is>
          <t>NULL</t>
        </is>
      </c>
      <c r="F567" s="0" t="inlineStr">
        <is>
          <t>NULL</t>
        </is>
      </c>
      <c r="G567" s="0" t="inlineStr">
        <is>
          <t>NULL</t>
        </is>
      </c>
      <c r="H567" s="0" t="inlineStr">
        <is>
          <t>NULL</t>
        </is>
      </c>
      <c r="I567" s="0" t="inlineStr">
        <is>
          <t>NULL</t>
        </is>
      </c>
      <c r="J567" s="0" t="inlineStr">
        <is>
          <t>NULL</t>
        </is>
      </c>
      <c r="K567" s="0" t="inlineStr">
        <is>
          <t xml:space="preserve"> NO!  	 c_dtoffset_1列源备映射错误，源端为datetimeoffset None位	期望更改为text	实际备端为datetimeoffset None位</t>
        </is>
      </c>
      <c r="BX567" s="0" t="inlineStr">
        <is>
          <t>64行 5列，源：2026-04-17 17:18:22.7550 +08:00 备：1971-05-11 00:00:00.0000 +14:00</t>
        </is>
      </c>
      <c r="EH567" s="0" t="inlineStr">
        <is>
          <t>32行 11列，源：None 备：</t>
        </is>
      </c>
      <c r="ES567" s="0" t="inlineStr">
        <is>
          <t>32行 11列，源：None 备：</t>
        </is>
      </c>
    </row>
    <row r="568">
      <c r="B568" s="0" t="inlineStr">
        <is>
          <t>NULL</t>
        </is>
      </c>
      <c r="C568" s="0" t="inlineStr">
        <is>
          <t>NULL</t>
        </is>
      </c>
      <c r="D568" s="0" t="inlineStr">
        <is>
          <t>NULL</t>
        </is>
      </c>
      <c r="E568" s="0" t="inlineStr">
        <is>
          <t>NULL</t>
        </is>
      </c>
      <c r="F568" s="0" t="inlineStr">
        <is>
          <t>NULL</t>
        </is>
      </c>
      <c r="G568" s="0" t="inlineStr">
        <is>
          <t>NULL</t>
        </is>
      </c>
      <c r="H568" s="0" t="inlineStr">
        <is>
          <t>NULL</t>
        </is>
      </c>
      <c r="I568" s="0" t="inlineStr">
        <is>
          <t>NULL</t>
        </is>
      </c>
      <c r="J568" s="0" t="inlineStr">
        <is>
          <t>NULL</t>
        </is>
      </c>
      <c r="K568" s="0" t="inlineStr">
        <is>
          <t xml:space="preserve"> NO!  	 c_dtoffset_2列源备映射错误，源端为datetimeoffset None位	期望更改为text	实际备端为datetimeoffset None位</t>
        </is>
      </c>
      <c r="BX568" s="0" t="inlineStr">
        <is>
          <t>64行 6列，源：2026-04-17 17:18:22.75495 +08:00 备：1971-05-11 00:00:00.00000 +14:00</t>
        </is>
      </c>
      <c r="EH568" s="0" t="inlineStr">
        <is>
          <t>32行 12列，源：None 备：</t>
        </is>
      </c>
      <c r="ES568" s="0" t="inlineStr">
        <is>
          <t>32行 12列，源：None 备：</t>
        </is>
      </c>
    </row>
    <row r="569">
      <c r="B569" s="0" t="inlineStr">
        <is>
          <t>NULL</t>
        </is>
      </c>
      <c r="C569" s="0" t="inlineStr">
        <is>
          <t>NULL</t>
        </is>
      </c>
      <c r="D569" s="0" t="inlineStr">
        <is>
          <t>NULL</t>
        </is>
      </c>
      <c r="E569" s="0" t="inlineStr">
        <is>
          <t>NULL</t>
        </is>
      </c>
      <c r="F569" s="0" t="inlineStr">
        <is>
          <t>NULL</t>
        </is>
      </c>
      <c r="G569" s="0" t="inlineStr">
        <is>
          <t>NULL</t>
        </is>
      </c>
      <c r="H569" s="0" t="inlineStr">
        <is>
          <t>NULL</t>
        </is>
      </c>
      <c r="I569" s="0" t="inlineStr">
        <is>
          <t>NULL</t>
        </is>
      </c>
      <c r="J569" s="0" t="inlineStr">
        <is>
          <t>NULL</t>
        </is>
      </c>
      <c r="K569" s="0" t="inlineStr">
        <is>
          <t xml:space="preserve"> NO!  	 c_dtoffset_3列源备映射错误，源端为datetimeoffset None位	期望更改为text	实际备端为datetimeoffset None位</t>
        </is>
      </c>
      <c r="BX569" s="0" t="inlineStr">
        <is>
          <t>64行 7列，源：2026-04-17 17:18:22.754952 +08:00 备：1971-05-11 00:00:00.000000 +14:00</t>
        </is>
      </c>
      <c r="EH569" s="0" t="inlineStr">
        <is>
          <t>32行 13列，源：None 备：</t>
        </is>
      </c>
      <c r="ES569" s="0" t="inlineStr">
        <is>
          <t>32行 13列，源：None 备：</t>
        </is>
      </c>
    </row>
    <row r="570">
      <c r="B570" s="0" t="inlineStr">
        <is>
          <t>NULL</t>
        </is>
      </c>
      <c r="C570" s="0" t="inlineStr">
        <is>
          <t>NULL</t>
        </is>
      </c>
      <c r="D570" s="0" t="inlineStr">
        <is>
          <t>NULL</t>
        </is>
      </c>
      <c r="E570" s="0" t="inlineStr">
        <is>
          <t>NULL</t>
        </is>
      </c>
      <c r="F570" s="0" t="inlineStr">
        <is>
          <t>NULL</t>
        </is>
      </c>
      <c r="G570" s="0" t="inlineStr">
        <is>
          <t>NULL</t>
        </is>
      </c>
      <c r="H570" s="0" t="inlineStr">
        <is>
          <t>NULL</t>
        </is>
      </c>
      <c r="I570" s="0" t="inlineStr">
        <is>
          <t>NULL</t>
        </is>
      </c>
      <c r="J570" s="0" t="inlineStr">
        <is>
          <t>NULL</t>
        </is>
      </c>
      <c r="K570" s="0" t="inlineStr">
        <is>
          <t xml:space="preserve"> NO!  	 c_dtoffset_4列源备映射错误，源端为datetimeoffset None位	期望更改为text	实际备端为datetimeoffset None位</t>
        </is>
      </c>
      <c r="BX570" s="0" t="inlineStr">
        <is>
          <t>64行 8列，源：2026-04-17 17:18:22.7549521 +08:00 备：1971-05-11 00:00:00.0000001 +14:00</t>
        </is>
      </c>
      <c r="EH570" s="0" t="inlineStr">
        <is>
          <t>32行 14列，源：None 备：</t>
        </is>
      </c>
      <c r="ES570" s="0" t="inlineStr">
        <is>
          <t>32行 14列，源：None 备：</t>
        </is>
      </c>
    </row>
    <row r="571">
      <c r="B571" s="0" t="inlineStr">
        <is>
          <t>NULL</t>
        </is>
      </c>
      <c r="C571" s="0" t="inlineStr">
        <is>
          <t>NULL</t>
        </is>
      </c>
      <c r="D571" s="0" t="inlineStr">
        <is>
          <t>NULL</t>
        </is>
      </c>
      <c r="E571" s="0" t="inlineStr">
        <is>
          <t>NULL</t>
        </is>
      </c>
      <c r="F571" s="0" t="inlineStr">
        <is>
          <t>NULL</t>
        </is>
      </c>
      <c r="G571" s="0" t="inlineStr">
        <is>
          <t>NULL</t>
        </is>
      </c>
      <c r="H571" s="0" t="inlineStr">
        <is>
          <t>NULL</t>
        </is>
      </c>
      <c r="I571" s="0" t="inlineStr">
        <is>
          <t>NULL</t>
        </is>
      </c>
      <c r="J571" s="0" t="inlineStr">
        <is>
          <t>NULL</t>
        </is>
      </c>
      <c r="K571" s="0" t="inlineStr">
        <is>
          <t xml:space="preserve"> NO!  	 c_dtoffset_5列源备映射错误，源端为datetimeoffset None位	期望更改为text	实际备端为datetimeoffset None位</t>
        </is>
      </c>
      <c r="BX571" s="0" t="inlineStr">
        <is>
          <t>65行 0列，源：373 备：9</t>
        </is>
      </c>
      <c r="EH571" s="0" t="inlineStr">
        <is>
          <t>32行 15列，源：nan 备：</t>
        </is>
      </c>
      <c r="ES571" s="0" t="inlineStr">
        <is>
          <t>32行 15列，源：nan 备：-340282346600000016151267322115014000640.0000000000000</t>
        </is>
      </c>
    </row>
    <row r="572">
      <c r="B572" s="0" t="inlineStr">
        <is>
          <t>NULL</t>
        </is>
      </c>
      <c r="C572" s="0" t="inlineStr">
        <is>
          <t>NULL</t>
        </is>
      </c>
      <c r="D572" s="0" t="inlineStr">
        <is>
          <t>NULL</t>
        </is>
      </c>
      <c r="E572" s="0" t="inlineStr">
        <is>
          <t>NULL</t>
        </is>
      </c>
      <c r="F572" s="0" t="inlineStr">
        <is>
          <t>NULL</t>
        </is>
      </c>
      <c r="G572" s="0" t="inlineStr">
        <is>
          <t>NULL</t>
        </is>
      </c>
      <c r="H572" s="0" t="inlineStr">
        <is>
          <t>NULL</t>
        </is>
      </c>
      <c r="I572" s="0" t="inlineStr">
        <is>
          <t>NULL</t>
        </is>
      </c>
      <c r="J572" s="0" t="inlineStr">
        <is>
          <t>NULL</t>
        </is>
      </c>
      <c r="K572" s="0" t="inlineStr">
        <is>
          <t xml:space="preserve"> NO!  	 c_dtoffset_6列源备映射错误，源端为datetimeoffset None位	期望更改为text	实际备端为datetimeoffset None位</t>
        </is>
      </c>
      <c r="BX572" s="0" t="inlineStr">
        <is>
          <t>65行 1列，源：2026-04-17 17:18:23 +08:00 备：1999-05-16 01:30:45 +10:15</t>
        </is>
      </c>
      <c r="EH572" s="0" t="inlineStr">
        <is>
          <t>32行 16列，源：nan 备：</t>
        </is>
      </c>
      <c r="ES572" s="0" t="inlineStr">
        <is>
          <t>32行 16列，源：nan 备：-340282306073709652508363335590014353408.000000</t>
        </is>
      </c>
    </row>
    <row r="573">
      <c r="B573" s="0" t="inlineStr">
        <is>
          <t>NULL</t>
        </is>
      </c>
      <c r="C573" s="0" t="inlineStr">
        <is>
          <t>NULL</t>
        </is>
      </c>
      <c r="D573" s="0" t="inlineStr">
        <is>
          <t>NULL</t>
        </is>
      </c>
      <c r="E573" s="0" t="inlineStr">
        <is>
          <t>NULL</t>
        </is>
      </c>
      <c r="F573" s="0" t="inlineStr">
        <is>
          <t>NULL</t>
        </is>
      </c>
      <c r="G573" s="0" t="inlineStr">
        <is>
          <t>NULL</t>
        </is>
      </c>
      <c r="H573" s="0" t="inlineStr">
        <is>
          <t>NULL</t>
        </is>
      </c>
      <c r="I573" s="0" t="inlineStr">
        <is>
          <t>NULL</t>
        </is>
      </c>
      <c r="J573" s="0" t="inlineStr">
        <is>
          <t>NULL</t>
        </is>
      </c>
      <c r="K573" s="0" t="inlineStr">
        <is>
          <t xml:space="preserve"> NO!  	 c_dtoffset列源备映射错误，源端为datetimeoffset None位	期望更改为text	实际备端为datetimeoffset None位</t>
        </is>
      </c>
      <c r="BX573" s="0" t="inlineStr">
        <is>
          <t>65行 2列，源：2026-04-17 17:18:22.8 +08:00 备：1999-05-16 01:30:45.1 +10:15</t>
        </is>
      </c>
      <c r="EH573" s="0" t="inlineStr">
        <is>
          <t>32行 17列，源：None 备：</t>
        </is>
      </c>
      <c r="ES573" s="0" t="inlineStr">
        <is>
          <t>32行 17列，源：None 备：-922337203685477.5808</t>
        </is>
      </c>
    </row>
    <row r="574">
      <c r="A574" s="0" t="inlineStr">
        <is>
          <t>info_time_dml_single_pk_irp</t>
        </is>
      </c>
      <c r="K574" s="0" t="inlineStr">
        <is>
          <t>[0;34m info_time_dml_single_pk_irp [0m源备字段数相同，源端字段：9 	备端字段9</t>
        </is>
      </c>
      <c r="W574" s="2">
        <f>HYPERLINK("#2026041905hbase4!CF2","NO 源备存在差异，共101个")</f>
        <v/>
      </c>
      <c r="X574" s="0">
        <f>A574</f>
        <v/>
      </c>
      <c r="BX574" s="0" t="inlineStr">
        <is>
          <t>65行 3列，源：2026-04-17 17:18:22.75 +08:00 备：1999-05-16 01:30:45.12 +10:15</t>
        </is>
      </c>
      <c r="EH574" s="0" t="inlineStr">
        <is>
          <t>32行 18列，源：None 备：</t>
        </is>
      </c>
      <c r="ES574" s="0" t="inlineStr">
        <is>
          <t>32行 18列，源：None 备：-214748.3648</t>
        </is>
      </c>
    </row>
    <row r="575">
      <c r="B575" s="0" t="inlineStr">
        <is>
          <t>YES</t>
        </is>
      </c>
      <c r="C575" s="0" t="inlineStr">
        <is>
          <t>NULL</t>
        </is>
      </c>
      <c r="D575" s="0" t="inlineStr">
        <is>
          <t>NULL</t>
        </is>
      </c>
      <c r="E575" s="0" t="inlineStr">
        <is>
          <t>NULL</t>
        </is>
      </c>
      <c r="F575" s="0" t="inlineStr">
        <is>
          <t>NULL</t>
        </is>
      </c>
      <c r="G575" s="0" t="inlineStr">
        <is>
          <t>NULL</t>
        </is>
      </c>
      <c r="H575" s="0" t="inlineStr">
        <is>
          <t>NULL</t>
        </is>
      </c>
      <c r="I575" s="0" t="inlineStr">
        <is>
          <t>YES!PK__info_tim__3213E83FD7CA7301</t>
        </is>
      </c>
      <c r="J575" s="0" t="inlineStr">
        <is>
          <t>YES! 主键相关索引</t>
        </is>
      </c>
      <c r="K575" s="0" t="inlineStr">
        <is>
          <t xml:space="preserve"> NO!  	 id列源备映射错误，源端为int None位	期望更改为text	实际备端为int None位</t>
        </is>
      </c>
      <c r="BX575" s="0" t="inlineStr">
        <is>
          <t>65行 4列，源：2026-04-17 17:18:22.755 +08:00 备：1999-05-16 01:30:45.123 +10:15</t>
        </is>
      </c>
      <c r="EH575" s="0" t="inlineStr">
        <is>
          <t>32行 19列，源：None 备：</t>
        </is>
      </c>
      <c r="ES575" s="0" t="inlineStr">
        <is>
          <t>32行 19列，源：None 备：0</t>
        </is>
      </c>
    </row>
    <row r="576">
      <c r="B576" s="0" t="inlineStr">
        <is>
          <t>NULL</t>
        </is>
      </c>
      <c r="C576" s="0" t="inlineStr">
        <is>
          <t>NULL</t>
        </is>
      </c>
      <c r="D576" s="0" t="inlineStr">
        <is>
          <t>NULL</t>
        </is>
      </c>
      <c r="E576" s="0" t="inlineStr">
        <is>
          <t>NULL</t>
        </is>
      </c>
      <c r="F576" s="0" t="inlineStr">
        <is>
          <t>NULL</t>
        </is>
      </c>
      <c r="G576" s="0" t="inlineStr">
        <is>
          <t>NULL</t>
        </is>
      </c>
      <c r="H576" s="0" t="inlineStr">
        <is>
          <t>NULL</t>
        </is>
      </c>
      <c r="I576" s="0" t="inlineStr">
        <is>
          <t>NULL</t>
        </is>
      </c>
      <c r="J576" s="0" t="inlineStr">
        <is>
          <t>NULL</t>
        </is>
      </c>
      <c r="K576" s="0" t="inlineStr">
        <is>
          <t xml:space="preserve"> NO!  	 c_time0列源备映射错误，源端为time None位	期望更改为text	实际备端为time None位</t>
        </is>
      </c>
      <c r="BX576" s="0" t="inlineStr">
        <is>
          <t>65行 5列，源：2026-04-17 17:18:22.7550 +08:00 备：1999-05-16 01:30:45.1235 +10:15</t>
        </is>
      </c>
      <c r="EH576" s="0" t="inlineStr">
        <is>
          <t>33行 0列，源：64 备：157</t>
        </is>
      </c>
      <c r="ES576" s="0" t="inlineStr">
        <is>
          <t>33行 0列，源：64 备：201</t>
        </is>
      </c>
    </row>
    <row r="577">
      <c r="B577" s="0" t="inlineStr">
        <is>
          <t>NULL</t>
        </is>
      </c>
      <c r="C577" s="0" t="inlineStr">
        <is>
          <t>NULL</t>
        </is>
      </c>
      <c r="D577" s="0" t="inlineStr">
        <is>
          <t>NULL</t>
        </is>
      </c>
      <c r="E577" s="0" t="inlineStr">
        <is>
          <t>NULL</t>
        </is>
      </c>
      <c r="F577" s="0" t="inlineStr">
        <is>
          <t>NULL</t>
        </is>
      </c>
      <c r="G577" s="0" t="inlineStr">
        <is>
          <t>NULL</t>
        </is>
      </c>
      <c r="H577" s="0" t="inlineStr">
        <is>
          <t>NULL</t>
        </is>
      </c>
      <c r="I577" s="0" t="inlineStr">
        <is>
          <t>NULL</t>
        </is>
      </c>
      <c r="J577" s="0" t="inlineStr">
        <is>
          <t>NULL</t>
        </is>
      </c>
      <c r="K577" s="0" t="inlineStr">
        <is>
          <t xml:space="preserve"> NO!  	 c_time1列源备映射错误，源端为time None位	期望更改为text	实际备端为time None位</t>
        </is>
      </c>
      <c r="BX577" s="0" t="inlineStr">
        <is>
          <t>65行 6列，源：2026-04-17 17:18:22.75495 +08:00 备：1999-05-16 01:30:45.12346 +10:15</t>
        </is>
      </c>
      <c r="EH577" s="0" t="inlineStr">
        <is>
          <t>33行 1列，源：nan 备：</t>
        </is>
      </c>
      <c r="ES577" s="0" t="inlineStr">
        <is>
          <t>33行 1列，源：nan 备：</t>
        </is>
      </c>
    </row>
    <row r="578">
      <c r="B578" s="0" t="inlineStr">
        <is>
          <t>NULL</t>
        </is>
      </c>
      <c r="C578" s="0" t="inlineStr">
        <is>
          <t>NULL</t>
        </is>
      </c>
      <c r="D578" s="0" t="inlineStr">
        <is>
          <t>NULL</t>
        </is>
      </c>
      <c r="E578" s="0" t="inlineStr">
        <is>
          <t>NULL</t>
        </is>
      </c>
      <c r="F578" s="0" t="inlineStr">
        <is>
          <t>NULL</t>
        </is>
      </c>
      <c r="G578" s="0" t="inlineStr">
        <is>
          <t>NULL</t>
        </is>
      </c>
      <c r="H578" s="0" t="inlineStr">
        <is>
          <t>NULL</t>
        </is>
      </c>
      <c r="I578" s="0" t="inlineStr">
        <is>
          <t>NULL</t>
        </is>
      </c>
      <c r="J578" s="0" t="inlineStr">
        <is>
          <t>NULL</t>
        </is>
      </c>
      <c r="K578" s="0" t="inlineStr">
        <is>
          <t xml:space="preserve"> NO!  	 c_time2列源备映射错误，源端为time None位	期望更改为text	实际备端为time None位</t>
        </is>
      </c>
      <c r="BX578" s="0" t="inlineStr">
        <is>
          <t>65行 7列，源：2026-04-17 17:18:22.754952 +08:00 备：1999-05-16 01:30:45.123457 +10:15</t>
        </is>
      </c>
      <c r="EH578" s="0" t="inlineStr">
        <is>
          <t>33行 2列，源：nan 备：</t>
        </is>
      </c>
      <c r="ES578" s="0" t="inlineStr">
        <is>
          <t>33行 2列，源：nan 备：</t>
        </is>
      </c>
    </row>
    <row r="579">
      <c r="B579" s="0" t="inlineStr">
        <is>
          <t>NULL</t>
        </is>
      </c>
      <c r="C579" s="0" t="inlineStr">
        <is>
          <t>NULL</t>
        </is>
      </c>
      <c r="D579" s="0" t="inlineStr">
        <is>
          <t>NULL</t>
        </is>
      </c>
      <c r="E579" s="0" t="inlineStr">
        <is>
          <t>NULL</t>
        </is>
      </c>
      <c r="F579" s="0" t="inlineStr">
        <is>
          <t>NULL</t>
        </is>
      </c>
      <c r="G579" s="0" t="inlineStr">
        <is>
          <t>NULL</t>
        </is>
      </c>
      <c r="H579" s="0" t="inlineStr">
        <is>
          <t>NULL</t>
        </is>
      </c>
      <c r="I579" s="0" t="inlineStr">
        <is>
          <t>NULL</t>
        </is>
      </c>
      <c r="J579" s="0" t="inlineStr">
        <is>
          <t>NULL</t>
        </is>
      </c>
      <c r="K579" s="0" t="inlineStr">
        <is>
          <t xml:space="preserve"> NO!  	 c_time3列源备映射错误，源端为time None位	期望更改为text	实际备端为time None位</t>
        </is>
      </c>
      <c r="BX579" s="0" t="inlineStr">
        <is>
          <t>65行 8列，源：2026-04-17 17:18:22.7549521 +08:00 备：1999-05-16 01:30:45.1234567 +10:15</t>
        </is>
      </c>
      <c r="EH579" s="0" t="inlineStr">
        <is>
          <t>33行 3列，源：nan 备：</t>
        </is>
      </c>
      <c r="ES579" s="0" t="inlineStr">
        <is>
          <t>33行 3列，源：nan 备：</t>
        </is>
      </c>
    </row>
    <row r="580">
      <c r="B580" s="0" t="inlineStr">
        <is>
          <t>NULL</t>
        </is>
      </c>
      <c r="C580" s="0" t="inlineStr">
        <is>
          <t>NULL</t>
        </is>
      </c>
      <c r="D580" s="0" t="inlineStr">
        <is>
          <t>NULL</t>
        </is>
      </c>
      <c r="E580" s="0" t="inlineStr">
        <is>
          <t>NULL</t>
        </is>
      </c>
      <c r="F580" s="0" t="inlineStr">
        <is>
          <t>NULL</t>
        </is>
      </c>
      <c r="G580" s="0" t="inlineStr">
        <is>
          <t>NULL</t>
        </is>
      </c>
      <c r="H580" s="0" t="inlineStr">
        <is>
          <t>NULL</t>
        </is>
      </c>
      <c r="I580" s="0" t="inlineStr">
        <is>
          <t>NULL</t>
        </is>
      </c>
      <c r="J580" s="0" t="inlineStr">
        <is>
          <t>NULL</t>
        </is>
      </c>
      <c r="K580" s="0" t="inlineStr">
        <is>
          <t xml:space="preserve"> NO!  	 c_time4列源备映射错误，源端为time None位	期望更改为text	实际备端为time None位</t>
        </is>
      </c>
      <c r="EH580" s="0" t="inlineStr">
        <is>
          <t>33行 4列，源：nan 备：</t>
        </is>
      </c>
      <c r="ES580" s="0" t="inlineStr">
        <is>
          <t>33行 4列，源：nan 备：</t>
        </is>
      </c>
    </row>
    <row r="581">
      <c r="B581" s="0" t="inlineStr">
        <is>
          <t>NULL</t>
        </is>
      </c>
      <c r="C581" s="0" t="inlineStr">
        <is>
          <t>NULL</t>
        </is>
      </c>
      <c r="D581" s="0" t="inlineStr">
        <is>
          <t>NULL</t>
        </is>
      </c>
      <c r="E581" s="0" t="inlineStr">
        <is>
          <t>NULL</t>
        </is>
      </c>
      <c r="F581" s="0" t="inlineStr">
        <is>
          <t>NULL</t>
        </is>
      </c>
      <c r="G581" s="0" t="inlineStr">
        <is>
          <t>NULL</t>
        </is>
      </c>
      <c r="H581" s="0" t="inlineStr">
        <is>
          <t>NULL</t>
        </is>
      </c>
      <c r="I581" s="0" t="inlineStr">
        <is>
          <t>NULL</t>
        </is>
      </c>
      <c r="J581" s="0" t="inlineStr">
        <is>
          <t>NULL</t>
        </is>
      </c>
      <c r="K581" s="0" t="inlineStr">
        <is>
          <t xml:space="preserve"> NO!  	 c_time5列源备映射错误，源端为time None位	期望更改为text	实际备端为time None位</t>
        </is>
      </c>
      <c r="EH581" s="0" t="inlineStr">
        <is>
          <t>33行 5列，源：None 备：</t>
        </is>
      </c>
      <c r="ES581" s="0" t="inlineStr">
        <is>
          <t>33行 5列，源：None 备：</t>
        </is>
      </c>
    </row>
    <row r="582">
      <c r="B582" s="0" t="inlineStr">
        <is>
          <t>NULL</t>
        </is>
      </c>
      <c r="C582" s="0" t="inlineStr">
        <is>
          <t>NULL</t>
        </is>
      </c>
      <c r="D582" s="0" t="inlineStr">
        <is>
          <t>NULL</t>
        </is>
      </c>
      <c r="E582" s="0" t="inlineStr">
        <is>
          <t>NULL</t>
        </is>
      </c>
      <c r="F582" s="0" t="inlineStr">
        <is>
          <t>NULL</t>
        </is>
      </c>
      <c r="G582" s="0" t="inlineStr">
        <is>
          <t>NULL</t>
        </is>
      </c>
      <c r="H582" s="0" t="inlineStr">
        <is>
          <t>NULL</t>
        </is>
      </c>
      <c r="I582" s="0" t="inlineStr">
        <is>
          <t>NULL</t>
        </is>
      </c>
      <c r="J582" s="0" t="inlineStr">
        <is>
          <t>NULL</t>
        </is>
      </c>
      <c r="K582" s="0" t="inlineStr">
        <is>
          <t xml:space="preserve"> NO!  	 c_time6列源备映射错误，源端为time None位	期望更改为text	实际备端为time None位</t>
        </is>
      </c>
      <c r="EH582" s="0" t="inlineStr">
        <is>
          <t>33行 6列，源：None 备：</t>
        </is>
      </c>
      <c r="ES582" s="0" t="inlineStr">
        <is>
          <t>33行 6列，源：None 备：</t>
        </is>
      </c>
    </row>
    <row r="583">
      <c r="B583" s="0" t="inlineStr">
        <is>
          <t>NULL</t>
        </is>
      </c>
      <c r="C583" s="0" t="inlineStr">
        <is>
          <t>NULL</t>
        </is>
      </c>
      <c r="D583" s="0" t="inlineStr">
        <is>
          <t>NULL</t>
        </is>
      </c>
      <c r="E583" s="0" t="inlineStr">
        <is>
          <t>NULL</t>
        </is>
      </c>
      <c r="F583" s="0" t="inlineStr">
        <is>
          <t>NULL</t>
        </is>
      </c>
      <c r="G583" s="0" t="inlineStr">
        <is>
          <t>NULL</t>
        </is>
      </c>
      <c r="H583" s="0" t="inlineStr">
        <is>
          <t>NULL</t>
        </is>
      </c>
      <c r="I583" s="0" t="inlineStr">
        <is>
          <t>NULL</t>
        </is>
      </c>
      <c r="J583" s="0" t="inlineStr">
        <is>
          <t>NULL</t>
        </is>
      </c>
      <c r="K583" s="0" t="inlineStr">
        <is>
          <t xml:space="preserve"> NO!  	 c_time列源备映射错误，源端为time None位	期望更改为text	实际备端为time None位</t>
        </is>
      </c>
      <c r="EH583" s="0" t="inlineStr">
        <is>
          <t>33行 7列，源：None 备：</t>
        </is>
      </c>
      <c r="ES583" s="0" t="inlineStr">
        <is>
          <t>33行 7列，源：None 备：</t>
        </is>
      </c>
    </row>
    <row r="584">
      <c r="A584" s="0" t="inlineStr">
        <is>
          <t>info_varcharmax_dml_batch2_pk_irp1</t>
        </is>
      </c>
      <c r="K584" s="0" t="inlineStr">
        <is>
          <t>[0;34m info_varcharmax_dml_batch2_pk_irp1 [0m源备字段数相同，源端字段：3 	备端字段3</t>
        </is>
      </c>
      <c r="W584" s="0" t="inlineStr">
        <is>
          <t>YES 源备无差异</t>
        </is>
      </c>
      <c r="X584" s="0">
        <f>A584</f>
        <v/>
      </c>
      <c r="EH584" s="0" t="inlineStr">
        <is>
          <t>33行 8列，源：None 备：</t>
        </is>
      </c>
      <c r="ES584" s="0" t="inlineStr">
        <is>
          <t>33行 8列，源：None 备：</t>
        </is>
      </c>
    </row>
    <row r="585">
      <c r="B585" s="0" t="inlineStr">
        <is>
          <t>YES</t>
        </is>
      </c>
      <c r="C585" s="0" t="inlineStr">
        <is>
          <t>NULL</t>
        </is>
      </c>
      <c r="D585" s="0" t="inlineStr">
        <is>
          <t>NULL</t>
        </is>
      </c>
      <c r="E585" s="0" t="inlineStr">
        <is>
          <t>NULL</t>
        </is>
      </c>
      <c r="F585" s="0" t="inlineStr">
        <is>
          <t>NULL</t>
        </is>
      </c>
      <c r="G585" s="0" t="inlineStr">
        <is>
          <t>NULL</t>
        </is>
      </c>
      <c r="H585" s="0" t="inlineStr">
        <is>
          <t>NULL</t>
        </is>
      </c>
      <c r="I585" s="0" t="inlineStr">
        <is>
          <t>YES!PK__info_var__3213E83F8E366367</t>
        </is>
      </c>
      <c r="J585" s="0" t="inlineStr">
        <is>
          <t>YES! 主键相关索引</t>
        </is>
      </c>
      <c r="K585" s="0" t="inlineStr">
        <is>
          <t xml:space="preserve"> NO!  	 id列源备映射错误，源端为int None位	期望更改为text	实际备端为int None位</t>
        </is>
      </c>
      <c r="EH585" s="0" t="inlineStr">
        <is>
          <t>33行 9列，源：None 备：</t>
        </is>
      </c>
      <c r="ES585" s="0" t="inlineStr">
        <is>
          <t>33行 9列，源：None 备：</t>
        </is>
      </c>
    </row>
    <row r="586">
      <c r="B586" s="0" t="inlineStr">
        <is>
          <t>NULL</t>
        </is>
      </c>
      <c r="C586" s="0" t="inlineStr">
        <is>
          <t>NULL</t>
        </is>
      </c>
      <c r="D586" s="0" t="inlineStr">
        <is>
          <t>NULL</t>
        </is>
      </c>
      <c r="E586" s="0" t="inlineStr">
        <is>
          <t>NULL</t>
        </is>
      </c>
      <c r="F586" s="0" t="inlineStr">
        <is>
          <t>NULL</t>
        </is>
      </c>
      <c r="G586" s="0" t="inlineStr">
        <is>
          <t>NULL</t>
        </is>
      </c>
      <c r="H586" s="0" t="inlineStr">
        <is>
          <t>NULL</t>
        </is>
      </c>
      <c r="I586" s="0" t="inlineStr">
        <is>
          <t>NULL</t>
        </is>
      </c>
      <c r="J586" s="0" t="inlineStr">
        <is>
          <t>NULL</t>
        </is>
      </c>
      <c r="K586" s="0" t="inlineStr">
        <is>
          <t xml:space="preserve"> NO!  	 c_varchar_max列源备映射错误，源端为varchar -1位	期望更改为text	实际备端为varchar -1位</t>
        </is>
      </c>
      <c r="EH586" s="0" t="inlineStr">
        <is>
          <t>33行 10列，源：None 备：</t>
        </is>
      </c>
      <c r="ES586" s="0" t="inlineStr">
        <is>
          <t>33行 10列，源：None 备：</t>
        </is>
      </c>
    </row>
    <row r="587">
      <c r="B587" s="0" t="inlineStr">
        <is>
          <t>NULL</t>
        </is>
      </c>
      <c r="C587" s="0" t="inlineStr">
        <is>
          <t>NULL</t>
        </is>
      </c>
      <c r="D587" s="0" t="inlineStr">
        <is>
          <t>NULL</t>
        </is>
      </c>
      <c r="E587" s="0" t="inlineStr">
        <is>
          <t>NULL</t>
        </is>
      </c>
      <c r="F587" s="0" t="inlineStr">
        <is>
          <t>NULL</t>
        </is>
      </c>
      <c r="G587" s="0" t="inlineStr">
        <is>
          <t>NULL</t>
        </is>
      </c>
      <c r="H587" s="0" t="inlineStr">
        <is>
          <t>NULL</t>
        </is>
      </c>
      <c r="I587" s="0" t="inlineStr">
        <is>
          <t>NULL</t>
        </is>
      </c>
      <c r="J587" s="0" t="inlineStr">
        <is>
          <t>NULL</t>
        </is>
      </c>
      <c r="K587" s="0" t="inlineStr">
        <is>
          <t xml:space="preserve"> NO!  	 c_nvarchar_max列源备映射错误，源端为nvarchar -1位	期望更改为text	实际备端为nvarchar -1位</t>
        </is>
      </c>
      <c r="EH587" s="0" t="inlineStr">
        <is>
          <t>33行 11列，源：None 备：</t>
        </is>
      </c>
      <c r="ES587" s="0" t="inlineStr">
        <is>
          <t>33行 11列，源：None 备：</t>
        </is>
      </c>
    </row>
    <row r="588">
      <c r="K588" s="0" t="inlineStr">
        <is>
          <t>~ 空表</t>
        </is>
      </c>
      <c r="EH588" s="0" t="inlineStr">
        <is>
          <t>33行 12列，源：None 备：</t>
        </is>
      </c>
      <c r="ES588" s="0" t="inlineStr">
        <is>
          <t>33行 12列，源：None 备：</t>
        </is>
      </c>
    </row>
    <row r="589">
      <c r="A589" s="0" t="inlineStr">
        <is>
          <t>info_date_dml_batch1_pk_irp2</t>
        </is>
      </c>
      <c r="K589" s="0" t="inlineStr">
        <is>
          <t>[0;34m info_date_dml_batch1_pk_irp2 [0m源备字段数相同，源端字段：2 	备端字段2</t>
        </is>
      </c>
      <c r="W589" s="2">
        <f>HYPERLINK("#2026041905hbase4!CG2","NO 源备存在差异，共76个")</f>
        <v/>
      </c>
      <c r="X589" s="0">
        <f>A589</f>
        <v/>
      </c>
      <c r="EH589" s="0" t="inlineStr">
        <is>
          <t>33行 13列，源：None 备：</t>
        </is>
      </c>
      <c r="ES589" s="0" t="inlineStr">
        <is>
          <t>33行 13列，源：None 备：</t>
        </is>
      </c>
    </row>
    <row r="590">
      <c r="B590" s="0" t="inlineStr">
        <is>
          <t>YES</t>
        </is>
      </c>
      <c r="C590" s="0" t="inlineStr">
        <is>
          <t>NULL</t>
        </is>
      </c>
      <c r="D590" s="0" t="inlineStr">
        <is>
          <t>NULL</t>
        </is>
      </c>
      <c r="E590" s="0" t="inlineStr">
        <is>
          <t>NULL</t>
        </is>
      </c>
      <c r="F590" s="0" t="inlineStr">
        <is>
          <t>NULL</t>
        </is>
      </c>
      <c r="G590" s="0" t="inlineStr">
        <is>
          <t>NULL</t>
        </is>
      </c>
      <c r="H590" s="0" t="inlineStr">
        <is>
          <t>NULL</t>
        </is>
      </c>
      <c r="I590" s="0" t="inlineStr">
        <is>
          <t>YES!PK__info_dat__3213E83F56A77804</t>
        </is>
      </c>
      <c r="J590" s="0" t="inlineStr">
        <is>
          <t>YES! 主键相关索引</t>
        </is>
      </c>
      <c r="K590" s="0" t="inlineStr">
        <is>
          <t xml:space="preserve"> NO!  	 id列源备映射错误，源端为int None位	期望更改为text	实际备端为int None位</t>
        </is>
      </c>
      <c r="EH590" s="0" t="inlineStr">
        <is>
          <t>33行 14列，源：None 备：</t>
        </is>
      </c>
      <c r="ES590" s="0" t="inlineStr">
        <is>
          <t>33行 14列，源：None 备：</t>
        </is>
      </c>
    </row>
    <row r="591">
      <c r="B591" s="0" t="inlineStr">
        <is>
          <t>NULL</t>
        </is>
      </c>
      <c r="C591" s="0" t="inlineStr">
        <is>
          <t>NULL</t>
        </is>
      </c>
      <c r="D591" s="0" t="inlineStr">
        <is>
          <t>NULL</t>
        </is>
      </c>
      <c r="E591" s="0" t="inlineStr">
        <is>
          <t>NULL</t>
        </is>
      </c>
      <c r="F591" s="0" t="inlineStr">
        <is>
          <t>NULL</t>
        </is>
      </c>
      <c r="G591" s="0" t="inlineStr">
        <is>
          <t>NULL</t>
        </is>
      </c>
      <c r="H591" s="0" t="inlineStr">
        <is>
          <t>NULL</t>
        </is>
      </c>
      <c r="I591" s="0" t="inlineStr">
        <is>
          <t>NULL</t>
        </is>
      </c>
      <c r="J591" s="0" t="inlineStr">
        <is>
          <t>NULL</t>
        </is>
      </c>
      <c r="K591" s="0" t="inlineStr">
        <is>
          <t xml:space="preserve"> NO!  	 c_date列源备映射错误，源端为date None位	期望更改为text	实际备端为date None位</t>
        </is>
      </c>
      <c r="EH591" s="0" t="inlineStr">
        <is>
          <t>33行 15列，源：nan 备：</t>
        </is>
      </c>
      <c r="ES591" s="0" t="inlineStr">
        <is>
          <t>33行 15列，源：nan 备：-1.7900000000000e+308</t>
        </is>
      </c>
    </row>
    <row r="592">
      <c r="A592" s="0" t="inlineStr">
        <is>
          <t>info_varcharmax_dml_batch2_pk_irp2</t>
        </is>
      </c>
      <c r="K592" s="0" t="inlineStr">
        <is>
          <t>[0;34m info_varcharmax_dml_batch2_pk_irp2 [0m源备字段数相同，源端字段：3 	备端字段3</t>
        </is>
      </c>
      <c r="W592" s="0" t="inlineStr">
        <is>
          <t>YES 源备无差异</t>
        </is>
      </c>
      <c r="X592" s="0">
        <f>A592</f>
        <v/>
      </c>
      <c r="EH592" s="0" t="inlineStr">
        <is>
          <t>33行 16列，源：nan 备：</t>
        </is>
      </c>
      <c r="ES592" s="0" t="inlineStr">
        <is>
          <t>33行 16列，源：nan 备：-339999995214436424907732413799364296704.000000</t>
        </is>
      </c>
    </row>
    <row r="593">
      <c r="B593" s="0" t="inlineStr">
        <is>
          <t>YES</t>
        </is>
      </c>
      <c r="C593" s="0" t="inlineStr">
        <is>
          <t>NULL</t>
        </is>
      </c>
      <c r="D593" s="0" t="inlineStr">
        <is>
          <t>NULL</t>
        </is>
      </c>
      <c r="E593" s="0" t="inlineStr">
        <is>
          <t>NULL</t>
        </is>
      </c>
      <c r="F593" s="0" t="inlineStr">
        <is>
          <t>NULL</t>
        </is>
      </c>
      <c r="G593" s="0" t="inlineStr">
        <is>
          <t>NULL</t>
        </is>
      </c>
      <c r="H593" s="0" t="inlineStr">
        <is>
          <t>NULL</t>
        </is>
      </c>
      <c r="I593" s="0" t="inlineStr">
        <is>
          <t>YES!PK__info_var__3213E83FDFEDFE46</t>
        </is>
      </c>
      <c r="J593" s="0" t="inlineStr">
        <is>
          <t>YES! 主键相关索引</t>
        </is>
      </c>
      <c r="K593" s="0" t="inlineStr">
        <is>
          <t xml:space="preserve"> NO!  	 id列源备映射错误，源端为int None位	期望更改为text	实际备端为int None位</t>
        </is>
      </c>
      <c r="EH593" s="0" t="inlineStr">
        <is>
          <t>33行 17列，源：None 备：</t>
        </is>
      </c>
      <c r="ES593" s="0" t="inlineStr">
        <is>
          <t>33行 17列，源：None 备：-922337203685477.5808</t>
        </is>
      </c>
    </row>
    <row r="594">
      <c r="B594" s="0" t="inlineStr">
        <is>
          <t>NULL</t>
        </is>
      </c>
      <c r="C594" s="0" t="inlineStr">
        <is>
          <t>NULL</t>
        </is>
      </c>
      <c r="D594" s="0" t="inlineStr">
        <is>
          <t>NULL</t>
        </is>
      </c>
      <c r="E594" s="0" t="inlineStr">
        <is>
          <t>NULL</t>
        </is>
      </c>
      <c r="F594" s="0" t="inlineStr">
        <is>
          <t>NULL</t>
        </is>
      </c>
      <c r="G594" s="0" t="inlineStr">
        <is>
          <t>NULL</t>
        </is>
      </c>
      <c r="H594" s="0" t="inlineStr">
        <is>
          <t>NULL</t>
        </is>
      </c>
      <c r="I594" s="0" t="inlineStr">
        <is>
          <t>NULL</t>
        </is>
      </c>
      <c r="J594" s="0" t="inlineStr">
        <is>
          <t>NULL</t>
        </is>
      </c>
      <c r="K594" s="0" t="inlineStr">
        <is>
          <t xml:space="preserve"> NO!  	 c_varchar_max列源备映射错误，源端为varchar -1位	期望更改为text	实际备端为varchar -1位</t>
        </is>
      </c>
      <c r="EH594" s="0" t="inlineStr">
        <is>
          <t>33行 18列，源：None 备：</t>
        </is>
      </c>
      <c r="ES594" s="0" t="inlineStr">
        <is>
          <t>33行 18列，源：None 备：-214748.3648</t>
        </is>
      </c>
    </row>
    <row r="595">
      <c r="B595" s="0" t="inlineStr">
        <is>
          <t>NULL</t>
        </is>
      </c>
      <c r="C595" s="0" t="inlineStr">
        <is>
          <t>NULL</t>
        </is>
      </c>
      <c r="D595" s="0" t="inlineStr">
        <is>
          <t>NULL</t>
        </is>
      </c>
      <c r="E595" s="0" t="inlineStr">
        <is>
          <t>NULL</t>
        </is>
      </c>
      <c r="F595" s="0" t="inlineStr">
        <is>
          <t>NULL</t>
        </is>
      </c>
      <c r="G595" s="0" t="inlineStr">
        <is>
          <t>NULL</t>
        </is>
      </c>
      <c r="H595" s="0" t="inlineStr">
        <is>
          <t>NULL</t>
        </is>
      </c>
      <c r="I595" s="0" t="inlineStr">
        <is>
          <t>NULL</t>
        </is>
      </c>
      <c r="J595" s="0" t="inlineStr">
        <is>
          <t>NULL</t>
        </is>
      </c>
      <c r="K595" s="0" t="inlineStr">
        <is>
          <t xml:space="preserve"> NO!  	 c_nvarchar_max列源备映射错误，源端为nvarchar -1位	期望更改为text	实际备端为nvarchar -1位</t>
        </is>
      </c>
      <c r="EH595" s="0" t="inlineStr">
        <is>
          <t>33行 19列，源：None 备：</t>
        </is>
      </c>
      <c r="ES595" s="0" t="inlineStr">
        <is>
          <t>33行 19列，源：None 备：0</t>
        </is>
      </c>
    </row>
    <row r="596">
      <c r="K596" s="0" t="inlineStr">
        <is>
          <t>~ 空表</t>
        </is>
      </c>
      <c r="EH596" s="0" t="inlineStr">
        <is>
          <t>34行 0列，源：65 备：158</t>
        </is>
      </c>
      <c r="ES596" s="0" t="inlineStr">
        <is>
          <t>34行 0列，源：65 备：202</t>
        </is>
      </c>
    </row>
    <row r="597">
      <c r="A597" s="0" t="inlineStr">
        <is>
          <t>info_datetimeoffset_dml_batch1_pk_drp1</t>
        </is>
      </c>
      <c r="K597" s="0" t="inlineStr">
        <is>
          <t>[0;34m info_datetimeoffset_dml_batch1_pk_drp1 [0m源备字段数相同，源端字段：9 	备端字段9</t>
        </is>
      </c>
      <c r="W597" s="0" t="inlineStr">
        <is>
          <t>YES 源备无差异</t>
        </is>
      </c>
      <c r="X597" s="0">
        <f>A597</f>
        <v/>
      </c>
      <c r="EH597" s="0" t="inlineStr">
        <is>
          <t>34行 1列，源：nan 备：</t>
        </is>
      </c>
      <c r="ES597" s="0" t="inlineStr">
        <is>
          <t>34行 1列，源：nan 备：</t>
        </is>
      </c>
    </row>
    <row r="598">
      <c r="B598" s="0" t="inlineStr">
        <is>
          <t>YES</t>
        </is>
      </c>
      <c r="C598" s="0" t="inlineStr">
        <is>
          <t>NULL</t>
        </is>
      </c>
      <c r="D598" s="0" t="inlineStr">
        <is>
          <t>NULL</t>
        </is>
      </c>
      <c r="E598" s="0" t="inlineStr">
        <is>
          <t>NULL</t>
        </is>
      </c>
      <c r="F598" s="0" t="inlineStr">
        <is>
          <t>NULL</t>
        </is>
      </c>
      <c r="G598" s="0" t="inlineStr">
        <is>
          <t>NULL</t>
        </is>
      </c>
      <c r="H598" s="0" t="inlineStr">
        <is>
          <t>NULL</t>
        </is>
      </c>
      <c r="I598" s="0" t="inlineStr">
        <is>
          <t>YES!PK__info_dat__3213E83F03E004B8</t>
        </is>
      </c>
      <c r="J598" s="0" t="inlineStr">
        <is>
          <t>YES! 主键相关索引</t>
        </is>
      </c>
      <c r="K598" s="0" t="inlineStr">
        <is>
          <t xml:space="preserve"> NO!  	 id列源备映射错误，源端为int None位	期望更改为text	实际备端为int None位</t>
        </is>
      </c>
      <c r="EH598" s="0" t="inlineStr">
        <is>
          <t>34行 2列，源：nan 备：</t>
        </is>
      </c>
      <c r="ES598" s="0" t="inlineStr">
        <is>
          <t>34行 2列，源：nan 备：</t>
        </is>
      </c>
    </row>
    <row r="599">
      <c r="B599" s="0" t="inlineStr">
        <is>
          <t>NULL</t>
        </is>
      </c>
      <c r="C599" s="0" t="inlineStr">
        <is>
          <t>NULL</t>
        </is>
      </c>
      <c r="D599" s="0" t="inlineStr">
        <is>
          <t>NULL</t>
        </is>
      </c>
      <c r="E599" s="0" t="inlineStr">
        <is>
          <t>NULL</t>
        </is>
      </c>
      <c r="F599" s="0" t="inlineStr">
        <is>
          <t>NULL</t>
        </is>
      </c>
      <c r="G599" s="0" t="inlineStr">
        <is>
          <t>NULL</t>
        </is>
      </c>
      <c r="H599" s="0" t="inlineStr">
        <is>
          <t>NULL</t>
        </is>
      </c>
      <c r="I599" s="0" t="inlineStr">
        <is>
          <t>NULL</t>
        </is>
      </c>
      <c r="J599" s="0" t="inlineStr">
        <is>
          <t>NULL</t>
        </is>
      </c>
      <c r="K599" s="0" t="inlineStr">
        <is>
          <t xml:space="preserve"> NO!  	 c_dtoffset_0列源备映射错误，源端为datetimeoffset None位	期望更改为text	实际备端为datetimeoffset None位</t>
        </is>
      </c>
      <c r="EH599" s="0" t="inlineStr">
        <is>
          <t>34行 3列，源：nan 备：</t>
        </is>
      </c>
      <c r="ES599" s="0" t="inlineStr">
        <is>
          <t>34行 3列，源：nan 备：</t>
        </is>
      </c>
    </row>
    <row r="600">
      <c r="B600" s="0" t="inlineStr">
        <is>
          <t>NULL</t>
        </is>
      </c>
      <c r="C600" s="0" t="inlineStr">
        <is>
          <t>NULL</t>
        </is>
      </c>
      <c r="D600" s="0" t="inlineStr">
        <is>
          <t>NULL</t>
        </is>
      </c>
      <c r="E600" s="0" t="inlineStr">
        <is>
          <t>NULL</t>
        </is>
      </c>
      <c r="F600" s="0" t="inlineStr">
        <is>
          <t>NULL</t>
        </is>
      </c>
      <c r="G600" s="0" t="inlineStr">
        <is>
          <t>NULL</t>
        </is>
      </c>
      <c r="H600" s="0" t="inlineStr">
        <is>
          <t>NULL</t>
        </is>
      </c>
      <c r="I600" s="0" t="inlineStr">
        <is>
          <t>NULL</t>
        </is>
      </c>
      <c r="J600" s="0" t="inlineStr">
        <is>
          <t>NULL</t>
        </is>
      </c>
      <c r="K600" s="0" t="inlineStr">
        <is>
          <t xml:space="preserve"> NO!  	 c_dtoffset_1列源备映射错误，源端为datetimeoffset None位	期望更改为text	实际备端为datetimeoffset None位</t>
        </is>
      </c>
      <c r="EH600" s="0" t="inlineStr">
        <is>
          <t>34行 4列，源：nan 备：</t>
        </is>
      </c>
      <c r="ES600" s="0" t="inlineStr">
        <is>
          <t>34行 4列，源：nan 备：</t>
        </is>
      </c>
    </row>
    <row r="601">
      <c r="B601" s="0" t="inlineStr">
        <is>
          <t>NULL</t>
        </is>
      </c>
      <c r="C601" s="0" t="inlineStr">
        <is>
          <t>NULL</t>
        </is>
      </c>
      <c r="D601" s="0" t="inlineStr">
        <is>
          <t>NULL</t>
        </is>
      </c>
      <c r="E601" s="0" t="inlineStr">
        <is>
          <t>NULL</t>
        </is>
      </c>
      <c r="F601" s="0" t="inlineStr">
        <is>
          <t>NULL</t>
        </is>
      </c>
      <c r="G601" s="0" t="inlineStr">
        <is>
          <t>NULL</t>
        </is>
      </c>
      <c r="H601" s="0" t="inlineStr">
        <is>
          <t>NULL</t>
        </is>
      </c>
      <c r="I601" s="0" t="inlineStr">
        <is>
          <t>NULL</t>
        </is>
      </c>
      <c r="J601" s="0" t="inlineStr">
        <is>
          <t>NULL</t>
        </is>
      </c>
      <c r="K601" s="0" t="inlineStr">
        <is>
          <t xml:space="preserve"> NO!  	 c_dtoffset_2列源备映射错误，源端为datetimeoffset None位	期望更改为text	实际备端为datetimeoffset None位</t>
        </is>
      </c>
      <c r="EH601" s="0" t="inlineStr">
        <is>
          <t>34行 5列，源：None 备：</t>
        </is>
      </c>
      <c r="ES601" s="0" t="inlineStr">
        <is>
          <t>34行 5列，源：None 备：</t>
        </is>
      </c>
    </row>
    <row r="602">
      <c r="B602" s="0" t="inlineStr">
        <is>
          <t>NULL</t>
        </is>
      </c>
      <c r="C602" s="0" t="inlineStr">
        <is>
          <t>NULL</t>
        </is>
      </c>
      <c r="D602" s="0" t="inlineStr">
        <is>
          <t>NULL</t>
        </is>
      </c>
      <c r="E602" s="0" t="inlineStr">
        <is>
          <t>NULL</t>
        </is>
      </c>
      <c r="F602" s="0" t="inlineStr">
        <is>
          <t>NULL</t>
        </is>
      </c>
      <c r="G602" s="0" t="inlineStr">
        <is>
          <t>NULL</t>
        </is>
      </c>
      <c r="H602" s="0" t="inlineStr">
        <is>
          <t>NULL</t>
        </is>
      </c>
      <c r="I602" s="0" t="inlineStr">
        <is>
          <t>NULL</t>
        </is>
      </c>
      <c r="J602" s="0" t="inlineStr">
        <is>
          <t>NULL</t>
        </is>
      </c>
      <c r="K602" s="0" t="inlineStr">
        <is>
          <t xml:space="preserve"> NO!  	 c_dtoffset_3列源备映射错误，源端为datetimeoffset None位	期望更改为text	实际备端为datetimeoffset None位</t>
        </is>
      </c>
      <c r="EH602" s="0" t="inlineStr">
        <is>
          <t>34行 6列，源：None 备：</t>
        </is>
      </c>
      <c r="ES602" s="0" t="inlineStr">
        <is>
          <t>34行 6列，源：None 备：</t>
        </is>
      </c>
    </row>
    <row r="603">
      <c r="B603" s="0" t="inlineStr">
        <is>
          <t>NULL</t>
        </is>
      </c>
      <c r="C603" s="0" t="inlineStr">
        <is>
          <t>NULL</t>
        </is>
      </c>
      <c r="D603" s="0" t="inlineStr">
        <is>
          <t>NULL</t>
        </is>
      </c>
      <c r="E603" s="0" t="inlineStr">
        <is>
          <t>NULL</t>
        </is>
      </c>
      <c r="F603" s="0" t="inlineStr">
        <is>
          <t>NULL</t>
        </is>
      </c>
      <c r="G603" s="0" t="inlineStr">
        <is>
          <t>NULL</t>
        </is>
      </c>
      <c r="H603" s="0" t="inlineStr">
        <is>
          <t>NULL</t>
        </is>
      </c>
      <c r="I603" s="0" t="inlineStr">
        <is>
          <t>NULL</t>
        </is>
      </c>
      <c r="J603" s="0" t="inlineStr">
        <is>
          <t>NULL</t>
        </is>
      </c>
      <c r="K603" s="0" t="inlineStr">
        <is>
          <t xml:space="preserve"> NO!  	 c_dtoffset_4列源备映射错误，源端为datetimeoffset None位	期望更改为text	实际备端为datetimeoffset None位</t>
        </is>
      </c>
      <c r="EH603" s="0" t="inlineStr">
        <is>
          <t>34行 7列，源：None 备：</t>
        </is>
      </c>
      <c r="ES603" s="0" t="inlineStr">
        <is>
          <t>34行 7列，源：None 备：</t>
        </is>
      </c>
    </row>
    <row r="604">
      <c r="B604" s="0" t="inlineStr">
        <is>
          <t>NULL</t>
        </is>
      </c>
      <c r="C604" s="0" t="inlineStr">
        <is>
          <t>NULL</t>
        </is>
      </c>
      <c r="D604" s="0" t="inlineStr">
        <is>
          <t>NULL</t>
        </is>
      </c>
      <c r="E604" s="0" t="inlineStr">
        <is>
          <t>NULL</t>
        </is>
      </c>
      <c r="F604" s="0" t="inlineStr">
        <is>
          <t>NULL</t>
        </is>
      </c>
      <c r="G604" s="0" t="inlineStr">
        <is>
          <t>NULL</t>
        </is>
      </c>
      <c r="H604" s="0" t="inlineStr">
        <is>
          <t>NULL</t>
        </is>
      </c>
      <c r="I604" s="0" t="inlineStr">
        <is>
          <t>NULL</t>
        </is>
      </c>
      <c r="J604" s="0" t="inlineStr">
        <is>
          <t>NULL</t>
        </is>
      </c>
      <c r="K604" s="0" t="inlineStr">
        <is>
          <t xml:space="preserve"> NO!  	 c_dtoffset_5列源备映射错误，源端为datetimeoffset None位	期望更改为text	实际备端为datetimeoffset None位</t>
        </is>
      </c>
      <c r="EH604" s="0" t="inlineStr">
        <is>
          <t>34行 8列，源：None 备：</t>
        </is>
      </c>
      <c r="ES604" s="0" t="inlineStr">
        <is>
          <t>34行 8列，源：None 备：</t>
        </is>
      </c>
    </row>
    <row r="605">
      <c r="B605" s="0" t="inlineStr">
        <is>
          <t>NULL</t>
        </is>
      </c>
      <c r="C605" s="0" t="inlineStr">
        <is>
          <t>NULL</t>
        </is>
      </c>
      <c r="D605" s="0" t="inlineStr">
        <is>
          <t>NULL</t>
        </is>
      </c>
      <c r="E605" s="0" t="inlineStr">
        <is>
          <t>NULL</t>
        </is>
      </c>
      <c r="F605" s="0" t="inlineStr">
        <is>
          <t>NULL</t>
        </is>
      </c>
      <c r="G605" s="0" t="inlineStr">
        <is>
          <t>NULL</t>
        </is>
      </c>
      <c r="H605" s="0" t="inlineStr">
        <is>
          <t>NULL</t>
        </is>
      </c>
      <c r="I605" s="0" t="inlineStr">
        <is>
          <t>NULL</t>
        </is>
      </c>
      <c r="J605" s="0" t="inlineStr">
        <is>
          <t>NULL</t>
        </is>
      </c>
      <c r="K605" s="0" t="inlineStr">
        <is>
          <t xml:space="preserve"> NO!  	 c_dtoffset_6列源备映射错误，源端为datetimeoffset None位	期望更改为text	实际备端为datetimeoffset None位</t>
        </is>
      </c>
      <c r="EH605" s="0" t="inlineStr">
        <is>
          <t>34行 9列，源：None 备：</t>
        </is>
      </c>
      <c r="ES605" s="0" t="inlineStr">
        <is>
          <t>34行 9列，源：None 备：</t>
        </is>
      </c>
    </row>
    <row r="606">
      <c r="B606" s="0" t="inlineStr">
        <is>
          <t>NULL</t>
        </is>
      </c>
      <c r="C606" s="0" t="inlineStr">
        <is>
          <t>NULL</t>
        </is>
      </c>
      <c r="D606" s="0" t="inlineStr">
        <is>
          <t>NULL</t>
        </is>
      </c>
      <c r="E606" s="0" t="inlineStr">
        <is>
          <t>NULL</t>
        </is>
      </c>
      <c r="F606" s="0" t="inlineStr">
        <is>
          <t>NULL</t>
        </is>
      </c>
      <c r="G606" s="0" t="inlineStr">
        <is>
          <t>NULL</t>
        </is>
      </c>
      <c r="H606" s="0" t="inlineStr">
        <is>
          <t>NULL</t>
        </is>
      </c>
      <c r="I606" s="0" t="inlineStr">
        <is>
          <t>NULL</t>
        </is>
      </c>
      <c r="J606" s="0" t="inlineStr">
        <is>
          <t>NULL</t>
        </is>
      </c>
      <c r="K606" s="0" t="inlineStr">
        <is>
          <t xml:space="preserve"> NO!  	 c_dtoffset列源备映射错误，源端为datetimeoffset None位	期望更改为text	实际备端为datetimeoffset None位</t>
        </is>
      </c>
      <c r="EH606" s="0" t="inlineStr">
        <is>
          <t>34行 10列，源：None 备：</t>
        </is>
      </c>
      <c r="ES606" s="0" t="inlineStr">
        <is>
          <t>34行 10列，源：None 备：</t>
        </is>
      </c>
    </row>
    <row r="607">
      <c r="K607" s="0" t="inlineStr">
        <is>
          <t>~ 空表</t>
        </is>
      </c>
      <c r="EH607" s="0" t="inlineStr">
        <is>
          <t>34行 11列，源：None 备：</t>
        </is>
      </c>
      <c r="ES607" s="0" t="inlineStr">
        <is>
          <t>34行 11列，源：None 备：</t>
        </is>
      </c>
    </row>
    <row r="608">
      <c r="A608" s="0" t="inlineStr">
        <is>
          <t>info_nchar_dml_batch1_pk_urp1</t>
        </is>
      </c>
      <c r="K608" s="0" t="inlineStr">
        <is>
          <t>[0;34m info_nchar_dml_batch1_pk_urp1 [0m源备字段数相同，源端字段：4 	备端字段4</t>
        </is>
      </c>
      <c r="W608" s="0" t="inlineStr">
        <is>
          <t>YES 源备无差异</t>
        </is>
      </c>
      <c r="X608" s="0">
        <f>A608</f>
        <v/>
      </c>
      <c r="EH608" s="0" t="inlineStr">
        <is>
          <t>34行 12列，源：None 备：</t>
        </is>
      </c>
      <c r="ES608" s="0" t="inlineStr">
        <is>
          <t>34行 12列，源：None 备：</t>
        </is>
      </c>
    </row>
    <row r="609">
      <c r="B609" s="0" t="inlineStr">
        <is>
          <t>YES</t>
        </is>
      </c>
      <c r="C609" s="0" t="inlineStr">
        <is>
          <t>NULL</t>
        </is>
      </c>
      <c r="D609" s="0" t="inlineStr">
        <is>
          <t>NULL</t>
        </is>
      </c>
      <c r="E609" s="0" t="inlineStr">
        <is>
          <t>NULL</t>
        </is>
      </c>
      <c r="F609" s="0" t="inlineStr">
        <is>
          <t>NULL</t>
        </is>
      </c>
      <c r="G609" s="0" t="inlineStr">
        <is>
          <t>NULL</t>
        </is>
      </c>
      <c r="H609" s="0" t="inlineStr">
        <is>
          <t>NULL</t>
        </is>
      </c>
      <c r="I609" s="0" t="inlineStr">
        <is>
          <t>YES!PK__info_nch__3213E83F5B7B59D7</t>
        </is>
      </c>
      <c r="J609" s="0" t="inlineStr">
        <is>
          <t>YES! 主键相关索引</t>
        </is>
      </c>
      <c r="K609" s="0" t="inlineStr">
        <is>
          <t xml:space="preserve"> NO!  	 id列源备映射错误，源端为int None位	期望更改为text	实际备端为int None位</t>
        </is>
      </c>
      <c r="EH609" s="0" t="inlineStr">
        <is>
          <t>34行 13列，源：None 备：</t>
        </is>
      </c>
      <c r="ES609" s="0" t="inlineStr">
        <is>
          <t>34行 13列，源：None 备：</t>
        </is>
      </c>
    </row>
    <row r="610">
      <c r="B610" s="0" t="inlineStr">
        <is>
          <t>NULL</t>
        </is>
      </c>
      <c r="C610" s="0" t="inlineStr">
        <is>
          <t>NULL</t>
        </is>
      </c>
      <c r="D610" s="0" t="inlineStr">
        <is>
          <t>NULL</t>
        </is>
      </c>
      <c r="E610" s="0" t="inlineStr">
        <is>
          <t>NULL</t>
        </is>
      </c>
      <c r="F610" s="0" t="inlineStr">
        <is>
          <t>NULL</t>
        </is>
      </c>
      <c r="G610" s="0" t="inlineStr">
        <is>
          <t>NULL</t>
        </is>
      </c>
      <c r="H610" s="0" t="inlineStr">
        <is>
          <t>NULL</t>
        </is>
      </c>
      <c r="I610" s="0" t="inlineStr">
        <is>
          <t>NULL</t>
        </is>
      </c>
      <c r="J610" s="0" t="inlineStr">
        <is>
          <t>NULL</t>
        </is>
      </c>
      <c r="K610" s="0" t="inlineStr">
        <is>
          <t xml:space="preserve"> NO!  	 c_nchar列源备映射错误，源端为nchar 2位	期望更改为text	实际备端为nchar 2位</t>
        </is>
      </c>
      <c r="EH610" s="0" t="inlineStr">
        <is>
          <t>34行 14列，源：None 备：</t>
        </is>
      </c>
      <c r="ES610" s="0" t="inlineStr">
        <is>
          <t>34行 14列，源：None 备：</t>
        </is>
      </c>
    </row>
    <row r="611">
      <c r="B611" s="0" t="inlineStr">
        <is>
          <t>NULL</t>
        </is>
      </c>
      <c r="C611" s="0" t="inlineStr">
        <is>
          <t>NULL</t>
        </is>
      </c>
      <c r="D611" s="0" t="inlineStr">
        <is>
          <t>NULL</t>
        </is>
      </c>
      <c r="E611" s="0" t="inlineStr">
        <is>
          <t>NULL</t>
        </is>
      </c>
      <c r="F611" s="0" t="inlineStr">
        <is>
          <t>NULL</t>
        </is>
      </c>
      <c r="G611" s="0" t="inlineStr">
        <is>
          <t>NULL</t>
        </is>
      </c>
      <c r="H611" s="0" t="inlineStr">
        <is>
          <t>NULL</t>
        </is>
      </c>
      <c r="I611" s="0" t="inlineStr">
        <is>
          <t>NULL</t>
        </is>
      </c>
      <c r="J611" s="0" t="inlineStr">
        <is>
          <t>NULL</t>
        </is>
      </c>
      <c r="K611" s="0" t="inlineStr">
        <is>
          <t xml:space="preserve"> NO!  	 c_nchar20列源备映射错误，源端为nchar 40位	期望更改为text	实际备端为nchar 40位</t>
        </is>
      </c>
      <c r="EH611" s="0" t="inlineStr">
        <is>
          <t>34行 15列，源：nan 备：</t>
        </is>
      </c>
      <c r="ES611" s="0" t="inlineStr">
        <is>
          <t>34行 15列，源：nan 备：1.7900000000000e+308</t>
        </is>
      </c>
    </row>
    <row r="612">
      <c r="B612" s="0" t="inlineStr">
        <is>
          <t>NULL</t>
        </is>
      </c>
      <c r="C612" s="0" t="inlineStr">
        <is>
          <t>NULL</t>
        </is>
      </c>
      <c r="D612" s="0" t="inlineStr">
        <is>
          <t>NULL</t>
        </is>
      </c>
      <c r="E612" s="0" t="inlineStr">
        <is>
          <t>NULL</t>
        </is>
      </c>
      <c r="F612" s="0" t="inlineStr">
        <is>
          <t>NULL</t>
        </is>
      </c>
      <c r="G612" s="0" t="inlineStr">
        <is>
          <t>NULL</t>
        </is>
      </c>
      <c r="H612" s="0" t="inlineStr">
        <is>
          <t>NULL</t>
        </is>
      </c>
      <c r="I612" s="0" t="inlineStr">
        <is>
          <t>NULL</t>
        </is>
      </c>
      <c r="J612" s="0" t="inlineStr">
        <is>
          <t>NULL</t>
        </is>
      </c>
      <c r="K612" s="0" t="inlineStr">
        <is>
          <t xml:space="preserve"> NO!  	 c_nchar3500列源备映射错误，源端为nchar 7000位	期望更改为text	实际备端为nchar 7000位</t>
        </is>
      </c>
      <c r="EH612" s="0" t="inlineStr">
        <is>
          <t>34行 16列，源：nan 备：</t>
        </is>
      </c>
      <c r="ES612" s="0" t="inlineStr">
        <is>
          <t>34行 16列，源：nan 备：339999995214436424907732413799364296704.000000</t>
        </is>
      </c>
    </row>
    <row r="613">
      <c r="A613" s="0" t="inlineStr">
        <is>
          <t>info_char_dml_batch1_pk_drp1</t>
        </is>
      </c>
      <c r="K613" s="0" t="inlineStr">
        <is>
          <t>[0;34m info_char_dml_batch1_pk_drp1 [0m源备字段数相同，源端字段：4 	备端字段4</t>
        </is>
      </c>
      <c r="W613" s="0" t="inlineStr">
        <is>
          <t>YES 源备无差异</t>
        </is>
      </c>
      <c r="X613" s="0">
        <f>A613</f>
        <v/>
      </c>
      <c r="EH613" s="0" t="inlineStr">
        <is>
          <t>34行 17列，源：None 备：</t>
        </is>
      </c>
      <c r="ES613" s="0" t="inlineStr">
        <is>
          <t>34行 17列，源：None 备：922337203685477.5807</t>
        </is>
      </c>
    </row>
    <row r="614">
      <c r="B614" s="0" t="inlineStr">
        <is>
          <t>YES</t>
        </is>
      </c>
      <c r="C614" s="0" t="inlineStr">
        <is>
          <t>NULL</t>
        </is>
      </c>
      <c r="D614" s="0" t="inlineStr">
        <is>
          <t>NULL</t>
        </is>
      </c>
      <c r="E614" s="0" t="inlineStr">
        <is>
          <t>NULL</t>
        </is>
      </c>
      <c r="F614" s="0" t="inlineStr">
        <is>
          <t>NULL</t>
        </is>
      </c>
      <c r="G614" s="0" t="inlineStr">
        <is>
          <t>NULL</t>
        </is>
      </c>
      <c r="H614" s="0" t="inlineStr">
        <is>
          <t>NULL</t>
        </is>
      </c>
      <c r="I614" s="0" t="inlineStr">
        <is>
          <t>YES!PK__info_cha__3213E83FA4482218</t>
        </is>
      </c>
      <c r="J614" s="0" t="inlineStr">
        <is>
          <t>YES! 主键相关索引</t>
        </is>
      </c>
      <c r="K614" s="0" t="inlineStr">
        <is>
          <t xml:space="preserve"> NO!  	 id列源备映射错误，源端为int None位	期望更改为text	实际备端为int None位</t>
        </is>
      </c>
      <c r="EH614" s="0" t="inlineStr">
        <is>
          <t>34行 18列，源：None 备：</t>
        </is>
      </c>
      <c r="ES614" s="0" t="inlineStr">
        <is>
          <t>34行 18列，源：None 备：214748.3647</t>
        </is>
      </c>
    </row>
    <row r="615">
      <c r="B615" s="0" t="inlineStr">
        <is>
          <t>NULL</t>
        </is>
      </c>
      <c r="C615" s="0" t="inlineStr">
        <is>
          <t>NULL</t>
        </is>
      </c>
      <c r="D615" s="0" t="inlineStr">
        <is>
          <t>NULL</t>
        </is>
      </c>
      <c r="E615" s="0" t="inlineStr">
        <is>
          <t>NULL</t>
        </is>
      </c>
      <c r="F615" s="0" t="inlineStr">
        <is>
          <t>NULL</t>
        </is>
      </c>
      <c r="G615" s="0" t="inlineStr">
        <is>
          <t>NULL</t>
        </is>
      </c>
      <c r="H615" s="0" t="inlineStr">
        <is>
          <t>NULL</t>
        </is>
      </c>
      <c r="I615" s="0" t="inlineStr">
        <is>
          <t>NULL</t>
        </is>
      </c>
      <c r="J615" s="0" t="inlineStr">
        <is>
          <t>NULL</t>
        </is>
      </c>
      <c r="K615" s="0" t="inlineStr">
        <is>
          <t xml:space="preserve"> NO!  	 c_char列源备映射错误，源端为char 1位	期望更改为text	实际备端为char 1位</t>
        </is>
      </c>
      <c r="EH615" s="0" t="inlineStr">
        <is>
          <t>34行 19列，源：None 备：</t>
        </is>
      </c>
      <c r="ES615" s="0" t="inlineStr">
        <is>
          <t>34行 19列，源：None 备：1</t>
        </is>
      </c>
    </row>
    <row r="616">
      <c r="B616" s="0" t="inlineStr">
        <is>
          <t>NULL</t>
        </is>
      </c>
      <c r="C616" s="0" t="inlineStr">
        <is>
          <t>NULL</t>
        </is>
      </c>
      <c r="D616" s="0" t="inlineStr">
        <is>
          <t>NULL</t>
        </is>
      </c>
      <c r="E616" s="0" t="inlineStr">
        <is>
          <t>NULL</t>
        </is>
      </c>
      <c r="F616" s="0" t="inlineStr">
        <is>
          <t>NULL</t>
        </is>
      </c>
      <c r="G616" s="0" t="inlineStr">
        <is>
          <t>NULL</t>
        </is>
      </c>
      <c r="H616" s="0" t="inlineStr">
        <is>
          <t>NULL</t>
        </is>
      </c>
      <c r="I616" s="0" t="inlineStr">
        <is>
          <t>NULL</t>
        </is>
      </c>
      <c r="J616" s="0" t="inlineStr">
        <is>
          <t>NULL</t>
        </is>
      </c>
      <c r="K616" s="0" t="inlineStr">
        <is>
          <t xml:space="preserve"> NO!  	 c_char20列源备映射错误，源端为char 20位	期望更改为text	实际备端为char 20位</t>
        </is>
      </c>
      <c r="EH616" s="0" t="inlineStr">
        <is>
          <t>35行 0列，源：66 备：159</t>
        </is>
      </c>
      <c r="ES616" s="0" t="inlineStr">
        <is>
          <t>35行 0列，源：66 备：203</t>
        </is>
      </c>
    </row>
    <row r="617">
      <c r="B617" s="0" t="inlineStr">
        <is>
          <t>NULL</t>
        </is>
      </c>
      <c r="C617" s="0" t="inlineStr">
        <is>
          <t>NULL</t>
        </is>
      </c>
      <c r="D617" s="0" t="inlineStr">
        <is>
          <t>NULL</t>
        </is>
      </c>
      <c r="E617" s="0" t="inlineStr">
        <is>
          <t>NULL</t>
        </is>
      </c>
      <c r="F617" s="0" t="inlineStr">
        <is>
          <t>NULL</t>
        </is>
      </c>
      <c r="G617" s="0" t="inlineStr">
        <is>
          <t>NULL</t>
        </is>
      </c>
      <c r="H617" s="0" t="inlineStr">
        <is>
          <t>NULL</t>
        </is>
      </c>
      <c r="I617" s="0" t="inlineStr">
        <is>
          <t>NULL</t>
        </is>
      </c>
      <c r="J617" s="0" t="inlineStr">
        <is>
          <t>NULL</t>
        </is>
      </c>
      <c r="K617" s="0" t="inlineStr">
        <is>
          <t xml:space="preserve"> NO!  	 c_char7000列源备映射错误，源端为char 7000位	期望更改为text	实际备端为char 7000位</t>
        </is>
      </c>
      <c r="EH617" s="0" t="inlineStr">
        <is>
          <t>35行 1列，源：nan 备：</t>
        </is>
      </c>
      <c r="ES617" s="0" t="inlineStr">
        <is>
          <t>35行 1列，源：nan 备：</t>
        </is>
      </c>
    </row>
    <row r="618">
      <c r="K618" s="0" t="inlineStr">
        <is>
          <t>~ 空表</t>
        </is>
      </c>
      <c r="EH618" s="0" t="inlineStr">
        <is>
          <t>35行 2列，源：nan 备：</t>
        </is>
      </c>
      <c r="ES618" s="0" t="inlineStr">
        <is>
          <t>35行 2列，源：nan 备：</t>
        </is>
      </c>
    </row>
    <row r="619">
      <c r="A619" s="0" t="inlineStr">
        <is>
          <t>info_datetimeoffset_dml_batch1_pk_drp2</t>
        </is>
      </c>
      <c r="K619" s="0" t="inlineStr">
        <is>
          <t>[0;34m info_datetimeoffset_dml_batch1_pk_drp2 [0m源备字段数相同，源端字段：9 	备端字段9</t>
        </is>
      </c>
      <c r="W619" s="2">
        <f>HYPERLINK("#2026041905hbase4!CH2","NO 源备存在差异，共27个")</f>
        <v/>
      </c>
      <c r="X619" s="0">
        <f>A619</f>
        <v/>
      </c>
      <c r="EH619" s="0" t="inlineStr">
        <is>
          <t>35行 3列，源：nan 备：</t>
        </is>
      </c>
      <c r="ES619" s="0" t="inlineStr">
        <is>
          <t>35行 3列，源：nan 备：</t>
        </is>
      </c>
    </row>
    <row r="620">
      <c r="B620" s="0" t="inlineStr">
        <is>
          <t>YES</t>
        </is>
      </c>
      <c r="C620" s="0" t="inlineStr">
        <is>
          <t>NULL</t>
        </is>
      </c>
      <c r="D620" s="0" t="inlineStr">
        <is>
          <t>NULL</t>
        </is>
      </c>
      <c r="E620" s="0" t="inlineStr">
        <is>
          <t>NULL</t>
        </is>
      </c>
      <c r="F620" s="0" t="inlineStr">
        <is>
          <t>NULL</t>
        </is>
      </c>
      <c r="G620" s="0" t="inlineStr">
        <is>
          <t>NULL</t>
        </is>
      </c>
      <c r="H620" s="0" t="inlineStr">
        <is>
          <t>NULL</t>
        </is>
      </c>
      <c r="I620" s="0" t="inlineStr">
        <is>
          <t>YES!PK__info_dat__3213E83F0245F38E</t>
        </is>
      </c>
      <c r="J620" s="0" t="inlineStr">
        <is>
          <t>YES! 主键相关索引</t>
        </is>
      </c>
      <c r="K620" s="0" t="inlineStr">
        <is>
          <t xml:space="preserve"> NO!  	 id列源备映射错误，源端为int None位	期望更改为text	实际备端为int None位</t>
        </is>
      </c>
      <c r="EH620" s="0" t="inlineStr">
        <is>
          <t>35行 4列，源：nan 备：</t>
        </is>
      </c>
      <c r="ES620" s="0" t="inlineStr">
        <is>
          <t>35行 4列，源：nan 备：</t>
        </is>
      </c>
    </row>
    <row r="621">
      <c r="B621" s="0" t="inlineStr">
        <is>
          <t>NULL</t>
        </is>
      </c>
      <c r="C621" s="0" t="inlineStr">
        <is>
          <t>NULL</t>
        </is>
      </c>
      <c r="D621" s="0" t="inlineStr">
        <is>
          <t>NULL</t>
        </is>
      </c>
      <c r="E621" s="0" t="inlineStr">
        <is>
          <t>NULL</t>
        </is>
      </c>
      <c r="F621" s="0" t="inlineStr">
        <is>
          <t>NULL</t>
        </is>
      </c>
      <c r="G621" s="0" t="inlineStr">
        <is>
          <t>NULL</t>
        </is>
      </c>
      <c r="H621" s="0" t="inlineStr">
        <is>
          <t>NULL</t>
        </is>
      </c>
      <c r="I621" s="0" t="inlineStr">
        <is>
          <t>NULL</t>
        </is>
      </c>
      <c r="J621" s="0" t="inlineStr">
        <is>
          <t>NULL</t>
        </is>
      </c>
      <c r="K621" s="0" t="inlineStr">
        <is>
          <t xml:space="preserve"> NO!  	 c_dtoffset_0列源备映射错误，源端为datetimeoffset None位	期望更改为text	实际备端为datetimeoffset None位</t>
        </is>
      </c>
      <c r="EH621" s="0" t="inlineStr">
        <is>
          <t>35行 5列，源：None 备：</t>
        </is>
      </c>
      <c r="ES621" s="0" t="inlineStr">
        <is>
          <t>35行 5列，源：None 备：</t>
        </is>
      </c>
    </row>
    <row r="622">
      <c r="B622" s="0" t="inlineStr">
        <is>
          <t>NULL</t>
        </is>
      </c>
      <c r="C622" s="0" t="inlineStr">
        <is>
          <t>NULL</t>
        </is>
      </c>
      <c r="D622" s="0" t="inlineStr">
        <is>
          <t>NULL</t>
        </is>
      </c>
      <c r="E622" s="0" t="inlineStr">
        <is>
          <t>NULL</t>
        </is>
      </c>
      <c r="F622" s="0" t="inlineStr">
        <is>
          <t>NULL</t>
        </is>
      </c>
      <c r="G622" s="0" t="inlineStr">
        <is>
          <t>NULL</t>
        </is>
      </c>
      <c r="H622" s="0" t="inlineStr">
        <is>
          <t>NULL</t>
        </is>
      </c>
      <c r="I622" s="0" t="inlineStr">
        <is>
          <t>NULL</t>
        </is>
      </c>
      <c r="J622" s="0" t="inlineStr">
        <is>
          <t>NULL</t>
        </is>
      </c>
      <c r="K622" s="0" t="inlineStr">
        <is>
          <t xml:space="preserve"> NO!  	 c_dtoffset_1列源备映射错误，源端为datetimeoffset None位	期望更改为text	实际备端为datetimeoffset None位</t>
        </is>
      </c>
      <c r="EH622" s="0" t="inlineStr">
        <is>
          <t>35行 6列，源：None 备：</t>
        </is>
      </c>
      <c r="ES622" s="0" t="inlineStr">
        <is>
          <t>35行 6列，源：None 备：</t>
        </is>
      </c>
    </row>
    <row r="623">
      <c r="B623" s="0" t="inlineStr">
        <is>
          <t>NULL</t>
        </is>
      </c>
      <c r="C623" s="0" t="inlineStr">
        <is>
          <t>NULL</t>
        </is>
      </c>
      <c r="D623" s="0" t="inlineStr">
        <is>
          <t>NULL</t>
        </is>
      </c>
      <c r="E623" s="0" t="inlineStr">
        <is>
          <t>NULL</t>
        </is>
      </c>
      <c r="F623" s="0" t="inlineStr">
        <is>
          <t>NULL</t>
        </is>
      </c>
      <c r="G623" s="0" t="inlineStr">
        <is>
          <t>NULL</t>
        </is>
      </c>
      <c r="H623" s="0" t="inlineStr">
        <is>
          <t>NULL</t>
        </is>
      </c>
      <c r="I623" s="0" t="inlineStr">
        <is>
          <t>NULL</t>
        </is>
      </c>
      <c r="J623" s="0" t="inlineStr">
        <is>
          <t>NULL</t>
        </is>
      </c>
      <c r="K623" s="0" t="inlineStr">
        <is>
          <t xml:space="preserve"> NO!  	 c_dtoffset_2列源备映射错误，源端为datetimeoffset None位	期望更改为text	实际备端为datetimeoffset None位</t>
        </is>
      </c>
      <c r="EH623" s="0" t="inlineStr">
        <is>
          <t>35行 7列，源：None 备：</t>
        </is>
      </c>
      <c r="ES623" s="0" t="inlineStr">
        <is>
          <t>35行 7列，源：None 备：</t>
        </is>
      </c>
    </row>
    <row r="624">
      <c r="B624" s="0" t="inlineStr">
        <is>
          <t>NULL</t>
        </is>
      </c>
      <c r="C624" s="0" t="inlineStr">
        <is>
          <t>NULL</t>
        </is>
      </c>
      <c r="D624" s="0" t="inlineStr">
        <is>
          <t>NULL</t>
        </is>
      </c>
      <c r="E624" s="0" t="inlineStr">
        <is>
          <t>NULL</t>
        </is>
      </c>
      <c r="F624" s="0" t="inlineStr">
        <is>
          <t>NULL</t>
        </is>
      </c>
      <c r="G624" s="0" t="inlineStr">
        <is>
          <t>NULL</t>
        </is>
      </c>
      <c r="H624" s="0" t="inlineStr">
        <is>
          <t>NULL</t>
        </is>
      </c>
      <c r="I624" s="0" t="inlineStr">
        <is>
          <t>NULL</t>
        </is>
      </c>
      <c r="J624" s="0" t="inlineStr">
        <is>
          <t>NULL</t>
        </is>
      </c>
      <c r="K624" s="0" t="inlineStr">
        <is>
          <t xml:space="preserve"> NO!  	 c_dtoffset_3列源备映射错误，源端为datetimeoffset None位	期望更改为text	实际备端为datetimeoffset None位</t>
        </is>
      </c>
      <c r="EH624" s="0" t="inlineStr">
        <is>
          <t>35行 8列，源：None 备：</t>
        </is>
      </c>
      <c r="ES624" s="0" t="inlineStr">
        <is>
          <t>35行 8列，源：None 备：</t>
        </is>
      </c>
    </row>
    <row r="625">
      <c r="B625" s="0" t="inlineStr">
        <is>
          <t>NULL</t>
        </is>
      </c>
      <c r="C625" s="0" t="inlineStr">
        <is>
          <t>NULL</t>
        </is>
      </c>
      <c r="D625" s="0" t="inlineStr">
        <is>
          <t>NULL</t>
        </is>
      </c>
      <c r="E625" s="0" t="inlineStr">
        <is>
          <t>NULL</t>
        </is>
      </c>
      <c r="F625" s="0" t="inlineStr">
        <is>
          <t>NULL</t>
        </is>
      </c>
      <c r="G625" s="0" t="inlineStr">
        <is>
          <t>NULL</t>
        </is>
      </c>
      <c r="H625" s="0" t="inlineStr">
        <is>
          <t>NULL</t>
        </is>
      </c>
      <c r="I625" s="0" t="inlineStr">
        <is>
          <t>NULL</t>
        </is>
      </c>
      <c r="J625" s="0" t="inlineStr">
        <is>
          <t>NULL</t>
        </is>
      </c>
      <c r="K625" s="0" t="inlineStr">
        <is>
          <t xml:space="preserve"> NO!  	 c_dtoffset_4列源备映射错误，源端为datetimeoffset None位	期望更改为text	实际备端为datetimeoffset None位</t>
        </is>
      </c>
      <c r="EH625" s="0" t="inlineStr">
        <is>
          <t>35行 9列，源：None 备：</t>
        </is>
      </c>
      <c r="ES625" s="0" t="inlineStr">
        <is>
          <t>35行 9列，源：None 备：</t>
        </is>
      </c>
    </row>
    <row r="626">
      <c r="B626" s="0" t="inlineStr">
        <is>
          <t>NULL</t>
        </is>
      </c>
      <c r="C626" s="0" t="inlineStr">
        <is>
          <t>NULL</t>
        </is>
      </c>
      <c r="D626" s="0" t="inlineStr">
        <is>
          <t>NULL</t>
        </is>
      </c>
      <c r="E626" s="0" t="inlineStr">
        <is>
          <t>NULL</t>
        </is>
      </c>
      <c r="F626" s="0" t="inlineStr">
        <is>
          <t>NULL</t>
        </is>
      </c>
      <c r="G626" s="0" t="inlineStr">
        <is>
          <t>NULL</t>
        </is>
      </c>
      <c r="H626" s="0" t="inlineStr">
        <is>
          <t>NULL</t>
        </is>
      </c>
      <c r="I626" s="0" t="inlineStr">
        <is>
          <t>NULL</t>
        </is>
      </c>
      <c r="J626" s="0" t="inlineStr">
        <is>
          <t>NULL</t>
        </is>
      </c>
      <c r="K626" s="0" t="inlineStr">
        <is>
          <t xml:space="preserve"> NO!  	 c_dtoffset_5列源备映射错误，源端为datetimeoffset None位	期望更改为text	实际备端为datetimeoffset None位</t>
        </is>
      </c>
      <c r="EH626" s="0" t="inlineStr">
        <is>
          <t>35行 10列，源：None 备：</t>
        </is>
      </c>
      <c r="ES626" s="0" t="inlineStr">
        <is>
          <t>35行 10列，源：None 备：</t>
        </is>
      </c>
    </row>
    <row r="627">
      <c r="B627" s="0" t="inlineStr">
        <is>
          <t>NULL</t>
        </is>
      </c>
      <c r="C627" s="0" t="inlineStr">
        <is>
          <t>NULL</t>
        </is>
      </c>
      <c r="D627" s="0" t="inlineStr">
        <is>
          <t>NULL</t>
        </is>
      </c>
      <c r="E627" s="0" t="inlineStr">
        <is>
          <t>NULL</t>
        </is>
      </c>
      <c r="F627" s="0" t="inlineStr">
        <is>
          <t>NULL</t>
        </is>
      </c>
      <c r="G627" s="0" t="inlineStr">
        <is>
          <t>NULL</t>
        </is>
      </c>
      <c r="H627" s="0" t="inlineStr">
        <is>
          <t>NULL</t>
        </is>
      </c>
      <c r="I627" s="0" t="inlineStr">
        <is>
          <t>NULL</t>
        </is>
      </c>
      <c r="J627" s="0" t="inlineStr">
        <is>
          <t>NULL</t>
        </is>
      </c>
      <c r="K627" s="0" t="inlineStr">
        <is>
          <t xml:space="preserve"> NO!  	 c_dtoffset_6列源备映射错误，源端为datetimeoffset None位	期望更改为text	实际备端为datetimeoffset None位</t>
        </is>
      </c>
      <c r="EH627" s="0" t="inlineStr">
        <is>
          <t>35行 11列，源：None 备：</t>
        </is>
      </c>
      <c r="ES627" s="0" t="inlineStr">
        <is>
          <t>35行 11列，源：None 备：</t>
        </is>
      </c>
    </row>
    <row r="628">
      <c r="B628" s="0" t="inlineStr">
        <is>
          <t>NULL</t>
        </is>
      </c>
      <c r="C628" s="0" t="inlineStr">
        <is>
          <t>NULL</t>
        </is>
      </c>
      <c r="D628" s="0" t="inlineStr">
        <is>
          <t>NULL</t>
        </is>
      </c>
      <c r="E628" s="0" t="inlineStr">
        <is>
          <t>NULL</t>
        </is>
      </c>
      <c r="F628" s="0" t="inlineStr">
        <is>
          <t>NULL</t>
        </is>
      </c>
      <c r="G628" s="0" t="inlineStr">
        <is>
          <t>NULL</t>
        </is>
      </c>
      <c r="H628" s="0" t="inlineStr">
        <is>
          <t>NULL</t>
        </is>
      </c>
      <c r="I628" s="0" t="inlineStr">
        <is>
          <t>NULL</t>
        </is>
      </c>
      <c r="J628" s="0" t="inlineStr">
        <is>
          <t>NULL</t>
        </is>
      </c>
      <c r="K628" s="0" t="inlineStr">
        <is>
          <t xml:space="preserve"> NO!  	 c_dtoffset列源备映射错误，源端为datetimeoffset None位	期望更改为text	实际备端为datetimeoffset None位</t>
        </is>
      </c>
      <c r="EH628" s="0" t="inlineStr">
        <is>
          <t>35行 12列，源：None 备：</t>
        </is>
      </c>
      <c r="ES628" s="0" t="inlineStr">
        <is>
          <t>35行 12列，源：None 备：</t>
        </is>
      </c>
    </row>
    <row r="629">
      <c r="A629" s="0" t="inlineStr">
        <is>
          <t>info_hierarchyid_dml_single_pk</t>
        </is>
      </c>
      <c r="K629" s="0" t="inlineStr">
        <is>
          <t>[0;34m info_hierarchyid_dml_single_pk [0m源备字段数相同，源端字段：2 	备端字段2</t>
        </is>
      </c>
      <c r="W629" s="0" t="inlineStr">
        <is>
          <t>YES 源备无差异</t>
        </is>
      </c>
      <c r="X629" s="0">
        <f>A629</f>
        <v/>
      </c>
      <c r="EH629" s="0" t="inlineStr">
        <is>
          <t>35行 13列，源：None 备：</t>
        </is>
      </c>
      <c r="ES629" s="0" t="inlineStr">
        <is>
          <t>35行 13列，源：None 备：</t>
        </is>
      </c>
    </row>
    <row r="630">
      <c r="B630" s="0" t="inlineStr">
        <is>
          <t>YES</t>
        </is>
      </c>
      <c r="C630" s="0" t="inlineStr">
        <is>
          <t>NULL</t>
        </is>
      </c>
      <c r="D630" s="0" t="inlineStr">
        <is>
          <t>NULL</t>
        </is>
      </c>
      <c r="E630" s="0" t="inlineStr">
        <is>
          <t>NULL</t>
        </is>
      </c>
      <c r="F630" s="0" t="inlineStr">
        <is>
          <t>NULL</t>
        </is>
      </c>
      <c r="G630" s="0" t="inlineStr">
        <is>
          <t>NULL</t>
        </is>
      </c>
      <c r="H630" s="0" t="inlineStr">
        <is>
          <t>NULL</t>
        </is>
      </c>
      <c r="I630" s="0" t="inlineStr">
        <is>
          <t>YES!PK__info_hie__3213E83FDF81A11E</t>
        </is>
      </c>
      <c r="J630" s="0" t="inlineStr">
        <is>
          <t>YES! 主键相关索引</t>
        </is>
      </c>
      <c r="K630" s="0" t="inlineStr">
        <is>
          <t xml:space="preserve"> NO!  	 id列源备映射错误，源端为int None位	期望更改为text	实际备端为int None位</t>
        </is>
      </c>
      <c r="EH630" s="0" t="inlineStr">
        <is>
          <t>35行 14列，源：None 备：</t>
        </is>
      </c>
      <c r="ES630" s="0" t="inlineStr">
        <is>
          <t>35行 14列，源：None 备：</t>
        </is>
      </c>
    </row>
    <row r="631">
      <c r="B631" s="0" t="inlineStr">
        <is>
          <t>NULL</t>
        </is>
      </c>
      <c r="C631" s="0" t="inlineStr">
        <is>
          <t>NULL</t>
        </is>
      </c>
      <c r="D631" s="0" t="inlineStr">
        <is>
          <t>NULL</t>
        </is>
      </c>
      <c r="E631" s="0" t="inlineStr">
        <is>
          <t>NULL</t>
        </is>
      </c>
      <c r="F631" s="0" t="inlineStr">
        <is>
          <t>NULL</t>
        </is>
      </c>
      <c r="G631" s="0" t="inlineStr">
        <is>
          <t>NULL</t>
        </is>
      </c>
      <c r="H631" s="0" t="inlineStr">
        <is>
          <t>NULL</t>
        </is>
      </c>
      <c r="I631" s="0" t="inlineStr">
        <is>
          <t>NULL</t>
        </is>
      </c>
      <c r="J631" s="0" t="inlineStr">
        <is>
          <t>NULL</t>
        </is>
      </c>
      <c r="K631" s="0" t="inlineStr">
        <is>
          <t xml:space="preserve"> NO!  	 c_hierarchyid列源备映射错误，源端为hierarchyid 892位	期望更改为text	实际备端为hierarchyid 892位</t>
        </is>
      </c>
      <c r="EH631" s="0" t="inlineStr">
        <is>
          <t>35行 15列，源：nan 备：</t>
        </is>
      </c>
      <c r="ES631" s="0" t="inlineStr">
        <is>
          <t>35行 15列，源：nan 备：</t>
        </is>
      </c>
    </row>
    <row r="632">
      <c r="A632" s="0" t="inlineStr">
        <is>
          <t>info_nchar_dml_batch2_pk_urp2</t>
        </is>
      </c>
      <c r="K632" s="0" t="inlineStr">
        <is>
          <t>[0;34m info_nchar_dml_batch2_pk_urp2 [0m源备字段数相同，源端字段：4 	备端字段4</t>
        </is>
      </c>
      <c r="W632" s="0" t="inlineStr">
        <is>
          <t>YES 源备无差异</t>
        </is>
      </c>
      <c r="X632" s="0">
        <f>A632</f>
        <v/>
      </c>
      <c r="EH632" s="0" t="inlineStr">
        <is>
          <t>35行 16列，源：nan 备：</t>
        </is>
      </c>
      <c r="ES632" s="0" t="inlineStr">
        <is>
          <t>35行 16列，源：nan 备：</t>
        </is>
      </c>
    </row>
    <row r="633">
      <c r="B633" s="0" t="inlineStr">
        <is>
          <t>YES</t>
        </is>
      </c>
      <c r="C633" s="0" t="inlineStr">
        <is>
          <t>NULL</t>
        </is>
      </c>
      <c r="D633" s="0" t="inlineStr">
        <is>
          <t>NULL</t>
        </is>
      </c>
      <c r="E633" s="0" t="inlineStr">
        <is>
          <t>NULL</t>
        </is>
      </c>
      <c r="F633" s="0" t="inlineStr">
        <is>
          <t>NULL</t>
        </is>
      </c>
      <c r="G633" s="0" t="inlineStr">
        <is>
          <t>NULL</t>
        </is>
      </c>
      <c r="H633" s="0" t="inlineStr">
        <is>
          <t>NULL</t>
        </is>
      </c>
      <c r="I633" s="0" t="inlineStr">
        <is>
          <t>YES!PK__info_nch__3213E83F6BE975AA</t>
        </is>
      </c>
      <c r="J633" s="0" t="inlineStr">
        <is>
          <t>YES! 主键相关索引</t>
        </is>
      </c>
      <c r="K633" s="0" t="inlineStr">
        <is>
          <t xml:space="preserve"> NO!  	 id列源备映射错误，源端为int None位	期望更改为text	实际备端为int None位</t>
        </is>
      </c>
      <c r="EH633" s="0" t="inlineStr">
        <is>
          <t>35行 17列，源：None 备：</t>
        </is>
      </c>
      <c r="ES633" s="0" t="inlineStr">
        <is>
          <t>35行 17列，源：None 备：</t>
        </is>
      </c>
    </row>
    <row r="634">
      <c r="B634" s="0" t="inlineStr">
        <is>
          <t>NULL</t>
        </is>
      </c>
      <c r="C634" s="0" t="inlineStr">
        <is>
          <t>NULL</t>
        </is>
      </c>
      <c r="D634" s="0" t="inlineStr">
        <is>
          <t>NULL</t>
        </is>
      </c>
      <c r="E634" s="0" t="inlineStr">
        <is>
          <t>NULL</t>
        </is>
      </c>
      <c r="F634" s="0" t="inlineStr">
        <is>
          <t>NULL</t>
        </is>
      </c>
      <c r="G634" s="0" t="inlineStr">
        <is>
          <t>NULL</t>
        </is>
      </c>
      <c r="H634" s="0" t="inlineStr">
        <is>
          <t>NULL</t>
        </is>
      </c>
      <c r="I634" s="0" t="inlineStr">
        <is>
          <t>NULL</t>
        </is>
      </c>
      <c r="J634" s="0" t="inlineStr">
        <is>
          <t>NULL</t>
        </is>
      </c>
      <c r="K634" s="0" t="inlineStr">
        <is>
          <t xml:space="preserve"> NO!  	 c_nchar列源备映射错误，源端为nchar 2位	期望更改为text	实际备端为nchar 2位</t>
        </is>
      </c>
      <c r="EH634" s="0" t="inlineStr">
        <is>
          <t>35行 18列，源：None 备：</t>
        </is>
      </c>
      <c r="ES634" s="0" t="inlineStr">
        <is>
          <t>35行 18列，源：None 备：</t>
        </is>
      </c>
    </row>
    <row r="635">
      <c r="B635" s="0" t="inlineStr">
        <is>
          <t>NULL</t>
        </is>
      </c>
      <c r="C635" s="0" t="inlineStr">
        <is>
          <t>NULL</t>
        </is>
      </c>
      <c r="D635" s="0" t="inlineStr">
        <is>
          <t>NULL</t>
        </is>
      </c>
      <c r="E635" s="0" t="inlineStr">
        <is>
          <t>NULL</t>
        </is>
      </c>
      <c r="F635" s="0" t="inlineStr">
        <is>
          <t>NULL</t>
        </is>
      </c>
      <c r="G635" s="0" t="inlineStr">
        <is>
          <t>NULL</t>
        </is>
      </c>
      <c r="H635" s="0" t="inlineStr">
        <is>
          <t>NULL</t>
        </is>
      </c>
      <c r="I635" s="0" t="inlineStr">
        <is>
          <t>NULL</t>
        </is>
      </c>
      <c r="J635" s="0" t="inlineStr">
        <is>
          <t>NULL</t>
        </is>
      </c>
      <c r="K635" s="0" t="inlineStr">
        <is>
          <t xml:space="preserve"> NO!  	 c_nchar20列源备映射错误，源端为nchar 40位	期望更改为text	实际备端为nchar 40位</t>
        </is>
      </c>
      <c r="EH635" s="0" t="inlineStr">
        <is>
          <t>35行 19列，源：None 备：</t>
        </is>
      </c>
      <c r="ES635" s="0" t="inlineStr">
        <is>
          <t>35行 19列，源：None 备：</t>
        </is>
      </c>
    </row>
    <row r="636">
      <c r="B636" s="0" t="inlineStr">
        <is>
          <t>NULL</t>
        </is>
      </c>
      <c r="C636" s="0" t="inlineStr">
        <is>
          <t>NULL</t>
        </is>
      </c>
      <c r="D636" s="0" t="inlineStr">
        <is>
          <t>NULL</t>
        </is>
      </c>
      <c r="E636" s="0" t="inlineStr">
        <is>
          <t>NULL</t>
        </is>
      </c>
      <c r="F636" s="0" t="inlineStr">
        <is>
          <t>NULL</t>
        </is>
      </c>
      <c r="G636" s="0" t="inlineStr">
        <is>
          <t>NULL</t>
        </is>
      </c>
      <c r="H636" s="0" t="inlineStr">
        <is>
          <t>NULL</t>
        </is>
      </c>
      <c r="I636" s="0" t="inlineStr">
        <is>
          <t>NULL</t>
        </is>
      </c>
      <c r="J636" s="0" t="inlineStr">
        <is>
          <t>NULL</t>
        </is>
      </c>
      <c r="K636" s="0" t="inlineStr">
        <is>
          <t xml:space="preserve"> NO!  	 c_nchar3500列源备映射错误，源端为nchar 7000位	期望更改为text	实际备端为nchar 7000位</t>
        </is>
      </c>
      <c r="EH636" s="0" t="inlineStr">
        <is>
          <t>36行 0列，源：67 备：16</t>
        </is>
      </c>
      <c r="ES636" s="0" t="inlineStr">
        <is>
          <t>36行 0列，源：67 备：204</t>
        </is>
      </c>
    </row>
    <row r="637">
      <c r="A637" s="0" t="inlineStr">
        <is>
          <t>info_datetimeoffset_dml_batch1_pk</t>
        </is>
      </c>
      <c r="K637" s="0" t="inlineStr">
        <is>
          <t>[0;34m info_datetimeoffset_dml_batch1_pk [0m源备字段数相同，源端字段：9 	备端字段9</t>
        </is>
      </c>
      <c r="W637" s="0" t="inlineStr">
        <is>
          <t>YES 源备无差异</t>
        </is>
      </c>
      <c r="X637" s="0">
        <f>A637</f>
        <v/>
      </c>
      <c r="EH637" s="0" t="inlineStr">
        <is>
          <t>36行 1列，源：nan 备：</t>
        </is>
      </c>
      <c r="ES637" s="0" t="inlineStr">
        <is>
          <t>36行 1列，源：nan 备：</t>
        </is>
      </c>
    </row>
    <row r="638">
      <c r="B638" s="0" t="inlineStr">
        <is>
          <t>YES</t>
        </is>
      </c>
      <c r="C638" s="0" t="inlineStr">
        <is>
          <t>NULL</t>
        </is>
      </c>
      <c r="D638" s="0" t="inlineStr">
        <is>
          <t>NULL</t>
        </is>
      </c>
      <c r="E638" s="0" t="inlineStr">
        <is>
          <t>NULL</t>
        </is>
      </c>
      <c r="F638" s="0" t="inlineStr">
        <is>
          <t>NULL</t>
        </is>
      </c>
      <c r="G638" s="0" t="inlineStr">
        <is>
          <t>NULL</t>
        </is>
      </c>
      <c r="H638" s="0" t="inlineStr">
        <is>
          <t>NULL</t>
        </is>
      </c>
      <c r="I638" s="0" t="inlineStr">
        <is>
          <t>YES!PK__info_dat__3213E83FB18F0774</t>
        </is>
      </c>
      <c r="J638" s="0" t="inlineStr">
        <is>
          <t>YES! 主键相关索引</t>
        </is>
      </c>
      <c r="K638" s="0" t="inlineStr">
        <is>
          <t xml:space="preserve"> NO!  	 id列源备映射错误，源端为int None位	期望更改为text	实际备端为int None位</t>
        </is>
      </c>
      <c r="EH638" s="0" t="inlineStr">
        <is>
          <t>36行 2列，源：nan 备：</t>
        </is>
      </c>
      <c r="ES638" s="0" t="inlineStr">
        <is>
          <t>36行 2列，源：nan 备：</t>
        </is>
      </c>
    </row>
    <row r="639">
      <c r="B639" s="0" t="inlineStr">
        <is>
          <t>NULL</t>
        </is>
      </c>
      <c r="C639" s="0" t="inlineStr">
        <is>
          <t>NULL</t>
        </is>
      </c>
      <c r="D639" s="0" t="inlineStr">
        <is>
          <t>NULL</t>
        </is>
      </c>
      <c r="E639" s="0" t="inlineStr">
        <is>
          <t>NULL</t>
        </is>
      </c>
      <c r="F639" s="0" t="inlineStr">
        <is>
          <t>NULL</t>
        </is>
      </c>
      <c r="G639" s="0" t="inlineStr">
        <is>
          <t>NULL</t>
        </is>
      </c>
      <c r="H639" s="0" t="inlineStr">
        <is>
          <t>NULL</t>
        </is>
      </c>
      <c r="I639" s="0" t="inlineStr">
        <is>
          <t>NULL</t>
        </is>
      </c>
      <c r="J639" s="0" t="inlineStr">
        <is>
          <t>NULL</t>
        </is>
      </c>
      <c r="K639" s="0" t="inlineStr">
        <is>
          <t xml:space="preserve"> NO!  	 c_dtoffset_0列源备映射错误，源端为datetimeoffset None位	期望更改为text	实际备端为datetimeoffset None位</t>
        </is>
      </c>
      <c r="EH639" s="0" t="inlineStr">
        <is>
          <t>36行 3列，源：nan 备：</t>
        </is>
      </c>
      <c r="ES639" s="0" t="inlineStr">
        <is>
          <t>36行 3列，源：nan 备：</t>
        </is>
      </c>
    </row>
    <row r="640">
      <c r="B640" s="0" t="inlineStr">
        <is>
          <t>NULL</t>
        </is>
      </c>
      <c r="C640" s="0" t="inlineStr">
        <is>
          <t>NULL</t>
        </is>
      </c>
      <c r="D640" s="0" t="inlineStr">
        <is>
          <t>NULL</t>
        </is>
      </c>
      <c r="E640" s="0" t="inlineStr">
        <is>
          <t>NULL</t>
        </is>
      </c>
      <c r="F640" s="0" t="inlineStr">
        <is>
          <t>NULL</t>
        </is>
      </c>
      <c r="G640" s="0" t="inlineStr">
        <is>
          <t>NULL</t>
        </is>
      </c>
      <c r="H640" s="0" t="inlineStr">
        <is>
          <t>NULL</t>
        </is>
      </c>
      <c r="I640" s="0" t="inlineStr">
        <is>
          <t>NULL</t>
        </is>
      </c>
      <c r="J640" s="0" t="inlineStr">
        <is>
          <t>NULL</t>
        </is>
      </c>
      <c r="K640" s="0" t="inlineStr">
        <is>
          <t xml:space="preserve"> NO!  	 c_dtoffset_1列源备映射错误，源端为datetimeoffset None位	期望更改为text	实际备端为datetimeoffset None位</t>
        </is>
      </c>
      <c r="EH640" s="0" t="inlineStr">
        <is>
          <t>36行 4列，源：nan 备：</t>
        </is>
      </c>
      <c r="ES640" s="0" t="inlineStr">
        <is>
          <t>36行 4列，源：nan 备：</t>
        </is>
      </c>
    </row>
    <row r="641">
      <c r="B641" s="0" t="inlineStr">
        <is>
          <t>NULL</t>
        </is>
      </c>
      <c r="C641" s="0" t="inlineStr">
        <is>
          <t>NULL</t>
        </is>
      </c>
      <c r="D641" s="0" t="inlineStr">
        <is>
          <t>NULL</t>
        </is>
      </c>
      <c r="E641" s="0" t="inlineStr">
        <is>
          <t>NULL</t>
        </is>
      </c>
      <c r="F641" s="0" t="inlineStr">
        <is>
          <t>NULL</t>
        </is>
      </c>
      <c r="G641" s="0" t="inlineStr">
        <is>
          <t>NULL</t>
        </is>
      </c>
      <c r="H641" s="0" t="inlineStr">
        <is>
          <t>NULL</t>
        </is>
      </c>
      <c r="I641" s="0" t="inlineStr">
        <is>
          <t>NULL</t>
        </is>
      </c>
      <c r="J641" s="0" t="inlineStr">
        <is>
          <t>NULL</t>
        </is>
      </c>
      <c r="K641" s="0" t="inlineStr">
        <is>
          <t xml:space="preserve"> NO!  	 c_dtoffset_2列源备映射错误，源端为datetimeoffset None位	期望更改为text	实际备端为datetimeoffset None位</t>
        </is>
      </c>
      <c r="EH641" s="0" t="inlineStr">
        <is>
          <t>36行 5列，源：None 备：</t>
        </is>
      </c>
      <c r="ES641" s="0" t="inlineStr">
        <is>
          <t>36行 5列，源：None 备：</t>
        </is>
      </c>
    </row>
    <row r="642">
      <c r="B642" s="0" t="inlineStr">
        <is>
          <t>NULL</t>
        </is>
      </c>
      <c r="C642" s="0" t="inlineStr">
        <is>
          <t>NULL</t>
        </is>
      </c>
      <c r="D642" s="0" t="inlineStr">
        <is>
          <t>NULL</t>
        </is>
      </c>
      <c r="E642" s="0" t="inlineStr">
        <is>
          <t>NULL</t>
        </is>
      </c>
      <c r="F642" s="0" t="inlineStr">
        <is>
          <t>NULL</t>
        </is>
      </c>
      <c r="G642" s="0" t="inlineStr">
        <is>
          <t>NULL</t>
        </is>
      </c>
      <c r="H642" s="0" t="inlineStr">
        <is>
          <t>NULL</t>
        </is>
      </c>
      <c r="I642" s="0" t="inlineStr">
        <is>
          <t>NULL</t>
        </is>
      </c>
      <c r="J642" s="0" t="inlineStr">
        <is>
          <t>NULL</t>
        </is>
      </c>
      <c r="K642" s="0" t="inlineStr">
        <is>
          <t xml:space="preserve"> NO!  	 c_dtoffset_3列源备映射错误，源端为datetimeoffset None位	期望更改为text	实际备端为datetimeoffset None位</t>
        </is>
      </c>
      <c r="EH642" s="0" t="inlineStr">
        <is>
          <t>36行 6列，源：None 备：</t>
        </is>
      </c>
      <c r="ES642" s="0" t="inlineStr">
        <is>
          <t>36行 6列，源：None 备：</t>
        </is>
      </c>
    </row>
    <row r="643">
      <c r="B643" s="0" t="inlineStr">
        <is>
          <t>NULL</t>
        </is>
      </c>
      <c r="C643" s="0" t="inlineStr">
        <is>
          <t>NULL</t>
        </is>
      </c>
      <c r="D643" s="0" t="inlineStr">
        <is>
          <t>NULL</t>
        </is>
      </c>
      <c r="E643" s="0" t="inlineStr">
        <is>
          <t>NULL</t>
        </is>
      </c>
      <c r="F643" s="0" t="inlineStr">
        <is>
          <t>NULL</t>
        </is>
      </c>
      <c r="G643" s="0" t="inlineStr">
        <is>
          <t>NULL</t>
        </is>
      </c>
      <c r="H643" s="0" t="inlineStr">
        <is>
          <t>NULL</t>
        </is>
      </c>
      <c r="I643" s="0" t="inlineStr">
        <is>
          <t>NULL</t>
        </is>
      </c>
      <c r="J643" s="0" t="inlineStr">
        <is>
          <t>NULL</t>
        </is>
      </c>
      <c r="K643" s="0" t="inlineStr">
        <is>
          <t xml:space="preserve"> NO!  	 c_dtoffset_4列源备映射错误，源端为datetimeoffset None位	期望更改为text	实际备端为datetimeoffset None位</t>
        </is>
      </c>
      <c r="EH643" s="0" t="inlineStr">
        <is>
          <t>36行 7列，源：None 备：</t>
        </is>
      </c>
      <c r="ES643" s="0" t="inlineStr">
        <is>
          <t>36行 7列，源：None 备：</t>
        </is>
      </c>
    </row>
    <row r="644">
      <c r="B644" s="0" t="inlineStr">
        <is>
          <t>NULL</t>
        </is>
      </c>
      <c r="C644" s="0" t="inlineStr">
        <is>
          <t>NULL</t>
        </is>
      </c>
      <c r="D644" s="0" t="inlineStr">
        <is>
          <t>NULL</t>
        </is>
      </c>
      <c r="E644" s="0" t="inlineStr">
        <is>
          <t>NULL</t>
        </is>
      </c>
      <c r="F644" s="0" t="inlineStr">
        <is>
          <t>NULL</t>
        </is>
      </c>
      <c r="G644" s="0" t="inlineStr">
        <is>
          <t>NULL</t>
        </is>
      </c>
      <c r="H644" s="0" t="inlineStr">
        <is>
          <t>NULL</t>
        </is>
      </c>
      <c r="I644" s="0" t="inlineStr">
        <is>
          <t>NULL</t>
        </is>
      </c>
      <c r="J644" s="0" t="inlineStr">
        <is>
          <t>NULL</t>
        </is>
      </c>
      <c r="K644" s="0" t="inlineStr">
        <is>
          <t xml:space="preserve"> NO!  	 c_dtoffset_5列源备映射错误，源端为datetimeoffset None位	期望更改为text	实际备端为datetimeoffset None位</t>
        </is>
      </c>
      <c r="EH644" s="0" t="inlineStr">
        <is>
          <t>36行 8列，源：None 备：</t>
        </is>
      </c>
      <c r="ES644" s="0" t="inlineStr">
        <is>
          <t>36行 8列，源：None 备：</t>
        </is>
      </c>
    </row>
    <row r="645">
      <c r="B645" s="0" t="inlineStr">
        <is>
          <t>NULL</t>
        </is>
      </c>
      <c r="C645" s="0" t="inlineStr">
        <is>
          <t>NULL</t>
        </is>
      </c>
      <c r="D645" s="0" t="inlineStr">
        <is>
          <t>NULL</t>
        </is>
      </c>
      <c r="E645" s="0" t="inlineStr">
        <is>
          <t>NULL</t>
        </is>
      </c>
      <c r="F645" s="0" t="inlineStr">
        <is>
          <t>NULL</t>
        </is>
      </c>
      <c r="G645" s="0" t="inlineStr">
        <is>
          <t>NULL</t>
        </is>
      </c>
      <c r="H645" s="0" t="inlineStr">
        <is>
          <t>NULL</t>
        </is>
      </c>
      <c r="I645" s="0" t="inlineStr">
        <is>
          <t>NULL</t>
        </is>
      </c>
      <c r="J645" s="0" t="inlineStr">
        <is>
          <t>NULL</t>
        </is>
      </c>
      <c r="K645" s="0" t="inlineStr">
        <is>
          <t xml:space="preserve"> NO!  	 c_dtoffset_6列源备映射错误，源端为datetimeoffset None位	期望更改为text	实际备端为datetimeoffset None位</t>
        </is>
      </c>
      <c r="EH645" s="0" t="inlineStr">
        <is>
          <t>36行 9列，源：None 备：</t>
        </is>
      </c>
      <c r="ES645" s="0" t="inlineStr">
        <is>
          <t>36行 9列，源：None 备：</t>
        </is>
      </c>
    </row>
    <row r="646">
      <c r="B646" s="0" t="inlineStr">
        <is>
          <t>NULL</t>
        </is>
      </c>
      <c r="C646" s="0" t="inlineStr">
        <is>
          <t>NULL</t>
        </is>
      </c>
      <c r="D646" s="0" t="inlineStr">
        <is>
          <t>NULL</t>
        </is>
      </c>
      <c r="E646" s="0" t="inlineStr">
        <is>
          <t>NULL</t>
        </is>
      </c>
      <c r="F646" s="0" t="inlineStr">
        <is>
          <t>NULL</t>
        </is>
      </c>
      <c r="G646" s="0" t="inlineStr">
        <is>
          <t>NULL</t>
        </is>
      </c>
      <c r="H646" s="0" t="inlineStr">
        <is>
          <t>NULL</t>
        </is>
      </c>
      <c r="I646" s="0" t="inlineStr">
        <is>
          <t>NULL</t>
        </is>
      </c>
      <c r="J646" s="0" t="inlineStr">
        <is>
          <t>NULL</t>
        </is>
      </c>
      <c r="K646" s="0" t="inlineStr">
        <is>
          <t xml:space="preserve"> NO!  	 c_dtoffset列源备映射错误，源端为datetimeoffset None位	期望更改为text	实际备端为datetimeoffset None位</t>
        </is>
      </c>
      <c r="EH646" s="0" t="inlineStr">
        <is>
          <t>36行 10列，源：None 备：</t>
        </is>
      </c>
      <c r="ES646" s="0" t="inlineStr">
        <is>
          <t>36行 10列，源：None 备：</t>
        </is>
      </c>
    </row>
    <row r="647">
      <c r="A647" s="0" t="inlineStr">
        <is>
          <t>info_date_dml_batch2_pk_irp1</t>
        </is>
      </c>
      <c r="K647" s="0" t="inlineStr">
        <is>
          <t>[0;34m info_date_dml_batch2_pk_irp1 [0m源备字段数相同，源端字段：2 	备端字段2</t>
        </is>
      </c>
      <c r="W647" s="2">
        <f>HYPERLINK("#2026041905hbase4!CI2","NO 源备存在差异，共21个")</f>
        <v/>
      </c>
      <c r="X647" s="0">
        <f>A647</f>
        <v/>
      </c>
      <c r="EH647" s="0" t="inlineStr">
        <is>
          <t>36行 11列，源：None 备：</t>
        </is>
      </c>
      <c r="ES647" s="0" t="inlineStr">
        <is>
          <t>36行 11列，源：None 备：</t>
        </is>
      </c>
    </row>
    <row r="648">
      <c r="B648" s="0" t="inlineStr">
        <is>
          <t>YES</t>
        </is>
      </c>
      <c r="C648" s="0" t="inlineStr">
        <is>
          <t>NULL</t>
        </is>
      </c>
      <c r="D648" s="0" t="inlineStr">
        <is>
          <t>NULL</t>
        </is>
      </c>
      <c r="E648" s="0" t="inlineStr">
        <is>
          <t>NULL</t>
        </is>
      </c>
      <c r="F648" s="0" t="inlineStr">
        <is>
          <t>NULL</t>
        </is>
      </c>
      <c r="G648" s="0" t="inlineStr">
        <is>
          <t>NULL</t>
        </is>
      </c>
      <c r="H648" s="0" t="inlineStr">
        <is>
          <t>NULL</t>
        </is>
      </c>
      <c r="I648" s="0" t="inlineStr">
        <is>
          <t>YES!PK__info_dat__3213E83FE1963DF3</t>
        </is>
      </c>
      <c r="J648" s="0" t="inlineStr">
        <is>
          <t>YES! 主键相关索引</t>
        </is>
      </c>
      <c r="K648" s="0" t="inlineStr">
        <is>
          <t xml:space="preserve"> NO!  	 id列源备映射错误，源端为int None位	期望更改为text	实际备端为int None位</t>
        </is>
      </c>
      <c r="EH648" s="0" t="inlineStr">
        <is>
          <t>36行 12列，源：None 备：</t>
        </is>
      </c>
      <c r="ES648" s="0" t="inlineStr">
        <is>
          <t>36行 12列，源：None 备：</t>
        </is>
      </c>
    </row>
    <row r="649">
      <c r="B649" s="0" t="inlineStr">
        <is>
          <t>NULL</t>
        </is>
      </c>
      <c r="C649" s="0" t="inlineStr">
        <is>
          <t>NULL</t>
        </is>
      </c>
      <c r="D649" s="0" t="inlineStr">
        <is>
          <t>NULL</t>
        </is>
      </c>
      <c r="E649" s="0" t="inlineStr">
        <is>
          <t>NULL</t>
        </is>
      </c>
      <c r="F649" s="0" t="inlineStr">
        <is>
          <t>NULL</t>
        </is>
      </c>
      <c r="G649" s="0" t="inlineStr">
        <is>
          <t>NULL</t>
        </is>
      </c>
      <c r="H649" s="0" t="inlineStr">
        <is>
          <t>NULL</t>
        </is>
      </c>
      <c r="I649" s="0" t="inlineStr">
        <is>
          <t>NULL</t>
        </is>
      </c>
      <c r="J649" s="0" t="inlineStr">
        <is>
          <t>NULL</t>
        </is>
      </c>
      <c r="K649" s="0" t="inlineStr">
        <is>
          <t xml:space="preserve"> NO!  	 c_date列源备映射错误，源端为date None位	期望更改为text	实际备端为date None位</t>
        </is>
      </c>
      <c r="EH649" s="0" t="inlineStr">
        <is>
          <t>36行 13列，源：None 备：</t>
        </is>
      </c>
      <c r="ES649" s="0" t="inlineStr">
        <is>
          <t>36行 13列，源：None 备：</t>
        </is>
      </c>
    </row>
    <row r="650">
      <c r="A650" s="0" t="inlineStr">
        <is>
          <t>info_time_dml_single_pk_urp</t>
        </is>
      </c>
      <c r="K650" s="0" t="inlineStr">
        <is>
          <t>[0;34m info_time_dml_single_pk_urp [0m源备字段数相同，源端字段：9 	备端字段9</t>
        </is>
      </c>
      <c r="W650" s="2">
        <f>HYPERLINK("#2026041905hbase4!CJ2","NO 源备存在差异，共8个")</f>
        <v/>
      </c>
      <c r="X650" s="0">
        <f>A650</f>
        <v/>
      </c>
      <c r="EH650" s="0" t="inlineStr">
        <is>
          <t>36行 14列，源：None 备：</t>
        </is>
      </c>
      <c r="ES650" s="0" t="inlineStr">
        <is>
          <t>36行 14列，源：None 备：</t>
        </is>
      </c>
    </row>
    <row r="651">
      <c r="B651" s="0" t="inlineStr">
        <is>
          <t>YES</t>
        </is>
      </c>
      <c r="C651" s="0" t="inlineStr">
        <is>
          <t>NULL</t>
        </is>
      </c>
      <c r="D651" s="0" t="inlineStr">
        <is>
          <t>NULL</t>
        </is>
      </c>
      <c r="E651" s="0" t="inlineStr">
        <is>
          <t>NULL</t>
        </is>
      </c>
      <c r="F651" s="0" t="inlineStr">
        <is>
          <t>NULL</t>
        </is>
      </c>
      <c r="G651" s="0" t="inlineStr">
        <is>
          <t>NULL</t>
        </is>
      </c>
      <c r="H651" s="0" t="inlineStr">
        <is>
          <t>NULL</t>
        </is>
      </c>
      <c r="I651" s="0" t="inlineStr">
        <is>
          <t>YES!PK__info_tim__3213E83FC9F1688E</t>
        </is>
      </c>
      <c r="J651" s="0" t="inlineStr">
        <is>
          <t>YES! 主键相关索引</t>
        </is>
      </c>
      <c r="K651" s="0" t="inlineStr">
        <is>
          <t xml:space="preserve"> NO!  	 id列源备映射错误，源端为int None位	期望更改为text	实际备端为int None位</t>
        </is>
      </c>
      <c r="EH651" s="0" t="inlineStr">
        <is>
          <t>36行 15列，源：nan 备：123456789000000002003480098325095514112.0000000000000</t>
        </is>
      </c>
      <c r="ES651" s="0" t="inlineStr">
        <is>
          <t>36行 15列，源：nan 备：0.0000000000000</t>
        </is>
      </c>
    </row>
    <row r="652">
      <c r="B652" s="0" t="inlineStr">
        <is>
          <t>NULL</t>
        </is>
      </c>
      <c r="C652" s="0" t="inlineStr">
        <is>
          <t>NULL</t>
        </is>
      </c>
      <c r="D652" s="0" t="inlineStr">
        <is>
          <t>NULL</t>
        </is>
      </c>
      <c r="E652" s="0" t="inlineStr">
        <is>
          <t>NULL</t>
        </is>
      </c>
      <c r="F652" s="0" t="inlineStr">
        <is>
          <t>NULL</t>
        </is>
      </c>
      <c r="G652" s="0" t="inlineStr">
        <is>
          <t>NULL</t>
        </is>
      </c>
      <c r="H652" s="0" t="inlineStr">
        <is>
          <t>NULL</t>
        </is>
      </c>
      <c r="I652" s="0" t="inlineStr">
        <is>
          <t>NULL</t>
        </is>
      </c>
      <c r="J652" s="0" t="inlineStr">
        <is>
          <t>NULL</t>
        </is>
      </c>
      <c r="K652" s="0" t="inlineStr">
        <is>
          <t xml:space="preserve"> NO!  	 c_time0列源备映射错误，源端为time None位	期望更改为text	实际备端为time None位</t>
        </is>
      </c>
      <c r="EH652" s="0" t="inlineStr">
        <is>
          <t>36行 16列，源：nan 备：340282306073709652508363335590014353408.000000</t>
        </is>
      </c>
      <c r="ES652" s="0" t="inlineStr">
        <is>
          <t>36行 16列，源：nan 备：299792448.000000</t>
        </is>
      </c>
    </row>
    <row r="653">
      <c r="B653" s="0" t="inlineStr">
        <is>
          <t>NULL</t>
        </is>
      </c>
      <c r="C653" s="0" t="inlineStr">
        <is>
          <t>NULL</t>
        </is>
      </c>
      <c r="D653" s="0" t="inlineStr">
        <is>
          <t>NULL</t>
        </is>
      </c>
      <c r="E653" s="0" t="inlineStr">
        <is>
          <t>NULL</t>
        </is>
      </c>
      <c r="F653" s="0" t="inlineStr">
        <is>
          <t>NULL</t>
        </is>
      </c>
      <c r="G653" s="0" t="inlineStr">
        <is>
          <t>NULL</t>
        </is>
      </c>
      <c r="H653" s="0" t="inlineStr">
        <is>
          <t>NULL</t>
        </is>
      </c>
      <c r="I653" s="0" t="inlineStr">
        <is>
          <t>NULL</t>
        </is>
      </c>
      <c r="J653" s="0" t="inlineStr">
        <is>
          <t>NULL</t>
        </is>
      </c>
      <c r="K653" s="0" t="inlineStr">
        <is>
          <t xml:space="preserve"> NO!  	 c_time1列源备映射错误，源端为time None位	期望更改为text	实际备端为time None位</t>
        </is>
      </c>
      <c r="EH653" s="0" t="inlineStr">
        <is>
          <t>36行 17列，源：None 备：123456.7890</t>
        </is>
      </c>
      <c r="ES653" s="0" t="inlineStr">
        <is>
          <t>36行 17列，源：None 备：-500000.0000</t>
        </is>
      </c>
    </row>
    <row r="654">
      <c r="B654" s="0" t="inlineStr">
        <is>
          <t>NULL</t>
        </is>
      </c>
      <c r="C654" s="0" t="inlineStr">
        <is>
          <t>NULL</t>
        </is>
      </c>
      <c r="D654" s="0" t="inlineStr">
        <is>
          <t>NULL</t>
        </is>
      </c>
      <c r="E654" s="0" t="inlineStr">
        <is>
          <t>NULL</t>
        </is>
      </c>
      <c r="F654" s="0" t="inlineStr">
        <is>
          <t>NULL</t>
        </is>
      </c>
      <c r="G654" s="0" t="inlineStr">
        <is>
          <t>NULL</t>
        </is>
      </c>
      <c r="H654" s="0" t="inlineStr">
        <is>
          <t>NULL</t>
        </is>
      </c>
      <c r="I654" s="0" t="inlineStr">
        <is>
          <t>NULL</t>
        </is>
      </c>
      <c r="J654" s="0" t="inlineStr">
        <is>
          <t>NULL</t>
        </is>
      </c>
      <c r="K654" s="0" t="inlineStr">
        <is>
          <t xml:space="preserve"> NO!  	 c_time2列源备映射错误，源端为time None位	期望更改为text	实际备端为time None位</t>
        </is>
      </c>
      <c r="EH654" s="0" t="inlineStr">
        <is>
          <t>36行 18列，源：None 备：1234.5678</t>
        </is>
      </c>
      <c r="ES654" s="0" t="inlineStr">
        <is>
          <t>36行 18列，源：None 备：1234.5678</t>
        </is>
      </c>
    </row>
    <row r="655">
      <c r="B655" s="0" t="inlineStr">
        <is>
          <t>NULL</t>
        </is>
      </c>
      <c r="C655" s="0" t="inlineStr">
        <is>
          <t>NULL</t>
        </is>
      </c>
      <c r="D655" s="0" t="inlineStr">
        <is>
          <t>NULL</t>
        </is>
      </c>
      <c r="E655" s="0" t="inlineStr">
        <is>
          <t>NULL</t>
        </is>
      </c>
      <c r="F655" s="0" t="inlineStr">
        <is>
          <t>NULL</t>
        </is>
      </c>
      <c r="G655" s="0" t="inlineStr">
        <is>
          <t>NULL</t>
        </is>
      </c>
      <c r="H655" s="0" t="inlineStr">
        <is>
          <t>NULL</t>
        </is>
      </c>
      <c r="I655" s="0" t="inlineStr">
        <is>
          <t>NULL</t>
        </is>
      </c>
      <c r="J655" s="0" t="inlineStr">
        <is>
          <t>NULL</t>
        </is>
      </c>
      <c r="K655" s="0" t="inlineStr">
        <is>
          <t xml:space="preserve"> NO!  	 c_time3列源备映射错误，源端为time None位	期望更改为text	实际备端为time None位</t>
        </is>
      </c>
      <c r="EH655" s="0" t="inlineStr">
        <is>
          <t>36行 19列，源：None 备：1</t>
        </is>
      </c>
      <c r="ES655" s="0" t="inlineStr">
        <is>
          <t>36行 19列，源：None 备：1</t>
        </is>
      </c>
    </row>
    <row r="656">
      <c r="B656" s="0" t="inlineStr">
        <is>
          <t>NULL</t>
        </is>
      </c>
      <c r="C656" s="0" t="inlineStr">
        <is>
          <t>NULL</t>
        </is>
      </c>
      <c r="D656" s="0" t="inlineStr">
        <is>
          <t>NULL</t>
        </is>
      </c>
      <c r="E656" s="0" t="inlineStr">
        <is>
          <t>NULL</t>
        </is>
      </c>
      <c r="F656" s="0" t="inlineStr">
        <is>
          <t>NULL</t>
        </is>
      </c>
      <c r="G656" s="0" t="inlineStr">
        <is>
          <t>NULL</t>
        </is>
      </c>
      <c r="H656" s="0" t="inlineStr">
        <is>
          <t>NULL</t>
        </is>
      </c>
      <c r="I656" s="0" t="inlineStr">
        <is>
          <t>NULL</t>
        </is>
      </c>
      <c r="J656" s="0" t="inlineStr">
        <is>
          <t>NULL</t>
        </is>
      </c>
      <c r="K656" s="0" t="inlineStr">
        <is>
          <t xml:space="preserve"> NO!  	 c_time4列源备映射错误，源端为time None位	期望更改为text	实际备端为time None位</t>
        </is>
      </c>
      <c r="EH656" s="0" t="inlineStr">
        <is>
          <t>37行 0列，源：68 备：160</t>
        </is>
      </c>
      <c r="ES656" s="0" t="inlineStr">
        <is>
          <t>37行 0列，源：68 备：205</t>
        </is>
      </c>
    </row>
    <row r="657">
      <c r="B657" s="0" t="inlineStr">
        <is>
          <t>NULL</t>
        </is>
      </c>
      <c r="C657" s="0" t="inlineStr">
        <is>
          <t>NULL</t>
        </is>
      </c>
      <c r="D657" s="0" t="inlineStr">
        <is>
          <t>NULL</t>
        </is>
      </c>
      <c r="E657" s="0" t="inlineStr">
        <is>
          <t>NULL</t>
        </is>
      </c>
      <c r="F657" s="0" t="inlineStr">
        <is>
          <t>NULL</t>
        </is>
      </c>
      <c r="G657" s="0" t="inlineStr">
        <is>
          <t>NULL</t>
        </is>
      </c>
      <c r="H657" s="0" t="inlineStr">
        <is>
          <t>NULL</t>
        </is>
      </c>
      <c r="I657" s="0" t="inlineStr">
        <is>
          <t>NULL</t>
        </is>
      </c>
      <c r="J657" s="0" t="inlineStr">
        <is>
          <t>NULL</t>
        </is>
      </c>
      <c r="K657" s="0" t="inlineStr">
        <is>
          <t xml:space="preserve"> NO!  	 c_time5列源备映射错误，源端为time None位	期望更改为text	实际备端为time None位</t>
        </is>
      </c>
      <c r="EH657" s="0" t="inlineStr">
        <is>
          <t>37行 1列，源：nan 备：</t>
        </is>
      </c>
      <c r="ES657" s="0" t="inlineStr">
        <is>
          <t>37行 1列，源：nan 备：</t>
        </is>
      </c>
    </row>
    <row r="658">
      <c r="B658" s="0" t="inlineStr">
        <is>
          <t>NULL</t>
        </is>
      </c>
      <c r="C658" s="0" t="inlineStr">
        <is>
          <t>NULL</t>
        </is>
      </c>
      <c r="D658" s="0" t="inlineStr">
        <is>
          <t>NULL</t>
        </is>
      </c>
      <c r="E658" s="0" t="inlineStr">
        <is>
          <t>NULL</t>
        </is>
      </c>
      <c r="F658" s="0" t="inlineStr">
        <is>
          <t>NULL</t>
        </is>
      </c>
      <c r="G658" s="0" t="inlineStr">
        <is>
          <t>NULL</t>
        </is>
      </c>
      <c r="H658" s="0" t="inlineStr">
        <is>
          <t>NULL</t>
        </is>
      </c>
      <c r="I658" s="0" t="inlineStr">
        <is>
          <t>NULL</t>
        </is>
      </c>
      <c r="J658" s="0" t="inlineStr">
        <is>
          <t>NULL</t>
        </is>
      </c>
      <c r="K658" s="0" t="inlineStr">
        <is>
          <t xml:space="preserve"> NO!  	 c_time6列源备映射错误，源端为time None位	期望更改为text	实际备端为time None位</t>
        </is>
      </c>
      <c r="EH658" s="0" t="inlineStr">
        <is>
          <t>37行 2列，源：nan 备：</t>
        </is>
      </c>
      <c r="ES658" s="0" t="inlineStr">
        <is>
          <t>37行 2列，源：nan 备：</t>
        </is>
      </c>
    </row>
    <row r="659">
      <c r="B659" s="0" t="inlineStr">
        <is>
          <t>NULL</t>
        </is>
      </c>
      <c r="C659" s="0" t="inlineStr">
        <is>
          <t>NULL</t>
        </is>
      </c>
      <c r="D659" s="0" t="inlineStr">
        <is>
          <t>NULL</t>
        </is>
      </c>
      <c r="E659" s="0" t="inlineStr">
        <is>
          <t>NULL</t>
        </is>
      </c>
      <c r="F659" s="0" t="inlineStr">
        <is>
          <t>NULL</t>
        </is>
      </c>
      <c r="G659" s="0" t="inlineStr">
        <is>
          <t>NULL</t>
        </is>
      </c>
      <c r="H659" s="0" t="inlineStr">
        <is>
          <t>NULL</t>
        </is>
      </c>
      <c r="I659" s="0" t="inlineStr">
        <is>
          <t>NULL</t>
        </is>
      </c>
      <c r="J659" s="0" t="inlineStr">
        <is>
          <t>NULL</t>
        </is>
      </c>
      <c r="K659" s="0" t="inlineStr">
        <is>
          <t xml:space="preserve"> NO!  	 c_time列源备映射错误，源端为time None位	期望更改为text	实际备端为time None位</t>
        </is>
      </c>
      <c r="EH659" s="0" t="inlineStr">
        <is>
          <t>37行 3列，源：nan 备：</t>
        </is>
      </c>
      <c r="ES659" s="0" t="inlineStr">
        <is>
          <t>37行 3列，源：nan 备：</t>
        </is>
      </c>
    </row>
    <row r="660">
      <c r="A660" s="0" t="inlineStr">
        <is>
          <t>info_binary_dml_batch1_pk_urp1</t>
        </is>
      </c>
      <c r="K660" s="0" t="inlineStr">
        <is>
          <t>[0;34m info_binary_dml_batch1_pk_urp1 [0m源备字段数相同，源端字段：4 	备端字段4</t>
        </is>
      </c>
      <c r="W660" s="2">
        <f>HYPERLINK("#2026041905hbase4!CK2","NO 源备存在差异，共39个")</f>
        <v/>
      </c>
      <c r="X660" s="0">
        <f>A660</f>
        <v/>
      </c>
      <c r="EH660" s="0" t="inlineStr">
        <is>
          <t>37行 4列，源：nan 备：</t>
        </is>
      </c>
      <c r="ES660" s="0" t="inlineStr">
        <is>
          <t>37行 4列，源：nan 备：</t>
        </is>
      </c>
    </row>
    <row r="661">
      <c r="B661" s="0" t="inlineStr">
        <is>
          <t>YES</t>
        </is>
      </c>
      <c r="C661" s="0" t="inlineStr">
        <is>
          <t>NULL</t>
        </is>
      </c>
      <c r="D661" s="0" t="inlineStr">
        <is>
          <t>NULL</t>
        </is>
      </c>
      <c r="E661" s="0" t="inlineStr">
        <is>
          <t>NULL</t>
        </is>
      </c>
      <c r="F661" s="0" t="inlineStr">
        <is>
          <t>NULL</t>
        </is>
      </c>
      <c r="G661" s="0" t="inlineStr">
        <is>
          <t>NULL</t>
        </is>
      </c>
      <c r="H661" s="0" t="inlineStr">
        <is>
          <t>NULL</t>
        </is>
      </c>
      <c r="I661" s="0" t="inlineStr">
        <is>
          <t>YES!PK__info_bin__3213E83F0AD14B48</t>
        </is>
      </c>
      <c r="J661" s="0" t="inlineStr">
        <is>
          <t>YES! 主键相关索引</t>
        </is>
      </c>
      <c r="K661" s="0" t="inlineStr">
        <is>
          <t xml:space="preserve"> NO!  	 id列源备映射错误，源端为int None位	期望更改为text	实际备端为int None位</t>
        </is>
      </c>
      <c r="EH661" s="0" t="inlineStr">
        <is>
          <t>37行 5列，源：None 备：</t>
        </is>
      </c>
      <c r="ES661" s="0" t="inlineStr">
        <is>
          <t>37行 5列，源：None 备：</t>
        </is>
      </c>
    </row>
    <row r="662">
      <c r="B662" s="0" t="inlineStr">
        <is>
          <t>NULL</t>
        </is>
      </c>
      <c r="C662" s="0" t="inlineStr">
        <is>
          <t>NULL</t>
        </is>
      </c>
      <c r="D662" s="0" t="inlineStr">
        <is>
          <t>NULL</t>
        </is>
      </c>
      <c r="E662" s="0" t="inlineStr">
        <is>
          <t>NULL</t>
        </is>
      </c>
      <c r="F662" s="0" t="inlineStr">
        <is>
          <t>NULL</t>
        </is>
      </c>
      <c r="G662" s="0" t="inlineStr">
        <is>
          <t>NULL</t>
        </is>
      </c>
      <c r="H662" s="0" t="inlineStr">
        <is>
          <t>NULL</t>
        </is>
      </c>
      <c r="I662" s="0" t="inlineStr">
        <is>
          <t>NULL</t>
        </is>
      </c>
      <c r="J662" s="0" t="inlineStr">
        <is>
          <t>NULL</t>
        </is>
      </c>
      <c r="K662" s="0" t="inlineStr">
        <is>
          <t xml:space="preserve"> NO!  	 c_binary列源备映射错误，源端为binary 1位	期望更改为text	实际备端为binary 1位</t>
        </is>
      </c>
      <c r="EH662" s="0" t="inlineStr">
        <is>
          <t>37行 6列，源：None 备：</t>
        </is>
      </c>
      <c r="ES662" s="0" t="inlineStr">
        <is>
          <t>37行 6列，源：None 备：</t>
        </is>
      </c>
    </row>
    <row r="663">
      <c r="B663" s="0" t="inlineStr">
        <is>
          <t>NULL</t>
        </is>
      </c>
      <c r="C663" s="0" t="inlineStr">
        <is>
          <t>NULL</t>
        </is>
      </c>
      <c r="D663" s="0" t="inlineStr">
        <is>
          <t>NULL</t>
        </is>
      </c>
      <c r="E663" s="0" t="inlineStr">
        <is>
          <t>NULL</t>
        </is>
      </c>
      <c r="F663" s="0" t="inlineStr">
        <is>
          <t>NULL</t>
        </is>
      </c>
      <c r="G663" s="0" t="inlineStr">
        <is>
          <t>NULL</t>
        </is>
      </c>
      <c r="H663" s="0" t="inlineStr">
        <is>
          <t>NULL</t>
        </is>
      </c>
      <c r="I663" s="0" t="inlineStr">
        <is>
          <t>NULL</t>
        </is>
      </c>
      <c r="J663" s="0" t="inlineStr">
        <is>
          <t>NULL</t>
        </is>
      </c>
      <c r="K663" s="0" t="inlineStr">
        <is>
          <t xml:space="preserve"> NO!  	 c_binary_20列源备映射错误，源端为binary 20位	期望更改为text	实际备端为binary 20位</t>
        </is>
      </c>
      <c r="EH663" s="0" t="inlineStr">
        <is>
          <t>37行 7列，源：None 备：</t>
        </is>
      </c>
      <c r="ES663" s="0" t="inlineStr">
        <is>
          <t>37行 7列，源：None 备：</t>
        </is>
      </c>
    </row>
    <row r="664">
      <c r="B664" s="0" t="inlineStr">
        <is>
          <t>NULL</t>
        </is>
      </c>
      <c r="C664" s="0" t="inlineStr">
        <is>
          <t>NULL</t>
        </is>
      </c>
      <c r="D664" s="0" t="inlineStr">
        <is>
          <t>NULL</t>
        </is>
      </c>
      <c r="E664" s="0" t="inlineStr">
        <is>
          <t>NULL</t>
        </is>
      </c>
      <c r="F664" s="0" t="inlineStr">
        <is>
          <t>NULL</t>
        </is>
      </c>
      <c r="G664" s="0" t="inlineStr">
        <is>
          <t>NULL</t>
        </is>
      </c>
      <c r="H664" s="0" t="inlineStr">
        <is>
          <t>NULL</t>
        </is>
      </c>
      <c r="I664" s="0" t="inlineStr">
        <is>
          <t>NULL</t>
        </is>
      </c>
      <c r="J664" s="0" t="inlineStr">
        <is>
          <t>NULL</t>
        </is>
      </c>
      <c r="K664" s="0" t="inlineStr">
        <is>
          <t xml:space="preserve"> NO!  	 c_binary_200列源备映射错误，源端为binary 200位	期望更改为text	实际备端为binary 200位</t>
        </is>
      </c>
      <c r="EH664" s="0" t="inlineStr">
        <is>
          <t>37行 8列，源：None 备：</t>
        </is>
      </c>
      <c r="ES664" s="0" t="inlineStr">
        <is>
          <t>37行 8列，源：None 备：</t>
        </is>
      </c>
    </row>
    <row r="665">
      <c r="A665" s="0" t="inlineStr">
        <is>
          <t>info_nvarchar_dml_single_pk</t>
        </is>
      </c>
      <c r="K665" s="0" t="inlineStr">
        <is>
          <t>[0;34m info_nvarchar_dml_single_pk [0m源备字段数相同，源端字段：4 	备端字段4</t>
        </is>
      </c>
      <c r="W665" s="0" t="inlineStr">
        <is>
          <t>YES 源备无差异</t>
        </is>
      </c>
      <c r="X665" s="0">
        <f>A665</f>
        <v/>
      </c>
      <c r="EH665" s="0" t="inlineStr">
        <is>
          <t>37行 9列，源：None 备：</t>
        </is>
      </c>
      <c r="ES665" s="0" t="inlineStr">
        <is>
          <t>37行 9列，源：None 备：</t>
        </is>
      </c>
    </row>
    <row r="666">
      <c r="B666" s="0" t="inlineStr">
        <is>
          <t>YES</t>
        </is>
      </c>
      <c r="C666" s="0" t="inlineStr">
        <is>
          <t>NULL</t>
        </is>
      </c>
      <c r="D666" s="0" t="inlineStr">
        <is>
          <t>NULL</t>
        </is>
      </c>
      <c r="E666" s="0" t="inlineStr">
        <is>
          <t>NULL</t>
        </is>
      </c>
      <c r="F666" s="0" t="inlineStr">
        <is>
          <t>NULL</t>
        </is>
      </c>
      <c r="G666" s="0" t="inlineStr">
        <is>
          <t>NULL</t>
        </is>
      </c>
      <c r="H666" s="0" t="inlineStr">
        <is>
          <t>NULL</t>
        </is>
      </c>
      <c r="I666" s="0" t="inlineStr">
        <is>
          <t>YES!PK__info_nva__3213E83F38F69D92</t>
        </is>
      </c>
      <c r="J666" s="0" t="inlineStr">
        <is>
          <t>YES! 主键相关索引</t>
        </is>
      </c>
      <c r="K666" s="0" t="inlineStr">
        <is>
          <t xml:space="preserve"> NO!  	 id列源备映射错误，源端为int None位	期望更改为text	实际备端为int None位</t>
        </is>
      </c>
      <c r="EH666" s="0" t="inlineStr">
        <is>
          <t>37行 10列，源：None 备：</t>
        </is>
      </c>
      <c r="ES666" s="0" t="inlineStr">
        <is>
          <t>37行 10列，源：None 备：</t>
        </is>
      </c>
    </row>
    <row r="667">
      <c r="B667" s="0" t="inlineStr">
        <is>
          <t>NULL</t>
        </is>
      </c>
      <c r="C667" s="0" t="inlineStr">
        <is>
          <t>NULL</t>
        </is>
      </c>
      <c r="D667" s="0" t="inlineStr">
        <is>
          <t>NULL</t>
        </is>
      </c>
      <c r="E667" s="0" t="inlineStr">
        <is>
          <t>NULL</t>
        </is>
      </c>
      <c r="F667" s="0" t="inlineStr">
        <is>
          <t>NULL</t>
        </is>
      </c>
      <c r="G667" s="0" t="inlineStr">
        <is>
          <t>NULL</t>
        </is>
      </c>
      <c r="H667" s="0" t="inlineStr">
        <is>
          <t>NULL</t>
        </is>
      </c>
      <c r="I667" s="0" t="inlineStr">
        <is>
          <t>NULL</t>
        </is>
      </c>
      <c r="J667" s="0" t="inlineStr">
        <is>
          <t>NULL</t>
        </is>
      </c>
      <c r="K667" s="0" t="inlineStr">
        <is>
          <t xml:space="preserve"> NO!  	 c_nvarchar列源备映射错误，源端为nvarchar 2位	期望更改为text	实际备端为nvarchar 2位</t>
        </is>
      </c>
      <c r="EH667" s="0" t="inlineStr">
        <is>
          <t>37行 11列，源：None 备：</t>
        </is>
      </c>
      <c r="ES667" s="0" t="inlineStr">
        <is>
          <t>37行 11列，源：None 备：</t>
        </is>
      </c>
    </row>
    <row r="668">
      <c r="B668" s="0" t="inlineStr">
        <is>
          <t>NULL</t>
        </is>
      </c>
      <c r="C668" s="0" t="inlineStr">
        <is>
          <t>NULL</t>
        </is>
      </c>
      <c r="D668" s="0" t="inlineStr">
        <is>
          <t>NULL</t>
        </is>
      </c>
      <c r="E668" s="0" t="inlineStr">
        <is>
          <t>NULL</t>
        </is>
      </c>
      <c r="F668" s="0" t="inlineStr">
        <is>
          <t>NULL</t>
        </is>
      </c>
      <c r="G668" s="0" t="inlineStr">
        <is>
          <t>NULL</t>
        </is>
      </c>
      <c r="H668" s="0" t="inlineStr">
        <is>
          <t>NULL</t>
        </is>
      </c>
      <c r="I668" s="0" t="inlineStr">
        <is>
          <t>NULL</t>
        </is>
      </c>
      <c r="J668" s="0" t="inlineStr">
        <is>
          <t>NULL</t>
        </is>
      </c>
      <c r="K668" s="0" t="inlineStr">
        <is>
          <t xml:space="preserve"> NO!  	 c_nvarchar20列源备映射错误，源端为nvarchar 40位	期望更改为text	实际备端为nvarchar 40位</t>
        </is>
      </c>
      <c r="EH668" s="0" t="inlineStr">
        <is>
          <t>37行 12列，源：None 备：</t>
        </is>
      </c>
      <c r="ES668" s="0" t="inlineStr">
        <is>
          <t>37行 12列，源：None 备：</t>
        </is>
      </c>
    </row>
    <row r="669">
      <c r="B669" s="0" t="inlineStr">
        <is>
          <t>NULL</t>
        </is>
      </c>
      <c r="C669" s="0" t="inlineStr">
        <is>
          <t>NULL</t>
        </is>
      </c>
      <c r="D669" s="0" t="inlineStr">
        <is>
          <t>NULL</t>
        </is>
      </c>
      <c r="E669" s="0" t="inlineStr">
        <is>
          <t>NULL</t>
        </is>
      </c>
      <c r="F669" s="0" t="inlineStr">
        <is>
          <t>NULL</t>
        </is>
      </c>
      <c r="G669" s="0" t="inlineStr">
        <is>
          <t>NULL</t>
        </is>
      </c>
      <c r="H669" s="0" t="inlineStr">
        <is>
          <t>NULL</t>
        </is>
      </c>
      <c r="I669" s="0" t="inlineStr">
        <is>
          <t>NULL</t>
        </is>
      </c>
      <c r="J669" s="0" t="inlineStr">
        <is>
          <t>NULL</t>
        </is>
      </c>
      <c r="K669" s="0" t="inlineStr">
        <is>
          <t xml:space="preserve"> NO!  	 c_nvarchar4000列源备映射错误，源端为nvarchar 8000位	期望更改为text	实际备端为nvarchar 8000位</t>
        </is>
      </c>
      <c r="EH669" s="0" t="inlineStr">
        <is>
          <t>37行 13列，源：None 备：</t>
        </is>
      </c>
      <c r="ES669" s="0" t="inlineStr">
        <is>
          <t>37行 13列，源：None 备：</t>
        </is>
      </c>
    </row>
    <row r="670">
      <c r="A670" s="0" t="inlineStr">
        <is>
          <t>info_time_dml_single_pk_drp</t>
        </is>
      </c>
      <c r="K670" s="0" t="inlineStr">
        <is>
          <t>[0;34m info_time_dml_single_pk_drp [0m源备字段数相同，源端字段：9 	备端字段9</t>
        </is>
      </c>
      <c r="W670" s="2">
        <f>HYPERLINK("#2026041905hbase4!CL2","NO 源备存在差异，共40个")</f>
        <v/>
      </c>
      <c r="X670" s="0">
        <f>A670</f>
        <v/>
      </c>
      <c r="EH670" s="0" t="inlineStr">
        <is>
          <t>37行 14列，源：None 备：</t>
        </is>
      </c>
      <c r="ES670" s="0" t="inlineStr">
        <is>
          <t>37行 14列，源：None 备：</t>
        </is>
      </c>
    </row>
    <row r="671">
      <c r="B671" s="0" t="inlineStr">
        <is>
          <t>YES</t>
        </is>
      </c>
      <c r="C671" s="0" t="inlineStr">
        <is>
          <t>NULL</t>
        </is>
      </c>
      <c r="D671" s="0" t="inlineStr">
        <is>
          <t>NULL</t>
        </is>
      </c>
      <c r="E671" s="0" t="inlineStr">
        <is>
          <t>NULL</t>
        </is>
      </c>
      <c r="F671" s="0" t="inlineStr">
        <is>
          <t>NULL</t>
        </is>
      </c>
      <c r="G671" s="0" t="inlineStr">
        <is>
          <t>NULL</t>
        </is>
      </c>
      <c r="H671" s="0" t="inlineStr">
        <is>
          <t>NULL</t>
        </is>
      </c>
      <c r="I671" s="0" t="inlineStr">
        <is>
          <t>YES!PK__info_tim__3213E83FB2F0BF8C</t>
        </is>
      </c>
      <c r="J671" s="0" t="inlineStr">
        <is>
          <t>YES! 主键相关索引</t>
        </is>
      </c>
      <c r="K671" s="0" t="inlineStr">
        <is>
          <t xml:space="preserve"> NO!  	 id列源备映射错误，源端为int None位	期望更改为text	实际备端为int None位</t>
        </is>
      </c>
      <c r="EH671" s="0" t="inlineStr">
        <is>
          <t>37行 15列，源：nan 备：</t>
        </is>
      </c>
      <c r="ES671" s="0" t="inlineStr">
        <is>
          <t>37行 15列，源：nan 备：</t>
        </is>
      </c>
    </row>
    <row r="672">
      <c r="B672" s="0" t="inlineStr">
        <is>
          <t>NULL</t>
        </is>
      </c>
      <c r="C672" s="0" t="inlineStr">
        <is>
          <t>NULL</t>
        </is>
      </c>
      <c r="D672" s="0" t="inlineStr">
        <is>
          <t>NULL</t>
        </is>
      </c>
      <c r="E672" s="0" t="inlineStr">
        <is>
          <t>NULL</t>
        </is>
      </c>
      <c r="F672" s="0" t="inlineStr">
        <is>
          <t>NULL</t>
        </is>
      </c>
      <c r="G672" s="0" t="inlineStr">
        <is>
          <t>NULL</t>
        </is>
      </c>
      <c r="H672" s="0" t="inlineStr">
        <is>
          <t>NULL</t>
        </is>
      </c>
      <c r="I672" s="0" t="inlineStr">
        <is>
          <t>NULL</t>
        </is>
      </c>
      <c r="J672" s="0" t="inlineStr">
        <is>
          <t>NULL</t>
        </is>
      </c>
      <c r="K672" s="0" t="inlineStr">
        <is>
          <t xml:space="preserve"> NO!  	 c_time0列源备映射错误，源端为time None位	期望更改为text	实际备端为time None位</t>
        </is>
      </c>
      <c r="EH672" s="0" t="inlineStr">
        <is>
          <t>37行 16列，源：nan 备：</t>
        </is>
      </c>
      <c r="ES672" s="0" t="inlineStr">
        <is>
          <t>37行 16列，源：nan 备：</t>
        </is>
      </c>
    </row>
    <row r="673">
      <c r="B673" s="0" t="inlineStr">
        <is>
          <t>NULL</t>
        </is>
      </c>
      <c r="C673" s="0" t="inlineStr">
        <is>
          <t>NULL</t>
        </is>
      </c>
      <c r="D673" s="0" t="inlineStr">
        <is>
          <t>NULL</t>
        </is>
      </c>
      <c r="E673" s="0" t="inlineStr">
        <is>
          <t>NULL</t>
        </is>
      </c>
      <c r="F673" s="0" t="inlineStr">
        <is>
          <t>NULL</t>
        </is>
      </c>
      <c r="G673" s="0" t="inlineStr">
        <is>
          <t>NULL</t>
        </is>
      </c>
      <c r="H673" s="0" t="inlineStr">
        <is>
          <t>NULL</t>
        </is>
      </c>
      <c r="I673" s="0" t="inlineStr">
        <is>
          <t>NULL</t>
        </is>
      </c>
      <c r="J673" s="0" t="inlineStr">
        <is>
          <t>NULL</t>
        </is>
      </c>
      <c r="K673" s="0" t="inlineStr">
        <is>
          <t xml:space="preserve"> NO!  	 c_time1列源备映射错误，源端为time None位	期望更改为text	实际备端为time None位</t>
        </is>
      </c>
      <c r="EH673" s="0" t="inlineStr">
        <is>
          <t>37行 17列，源：None 备：</t>
        </is>
      </c>
      <c r="ES673" s="0" t="inlineStr">
        <is>
          <t>37行 17列，源：None 备：</t>
        </is>
      </c>
    </row>
    <row r="674">
      <c r="B674" s="0" t="inlineStr">
        <is>
          <t>NULL</t>
        </is>
      </c>
      <c r="C674" s="0" t="inlineStr">
        <is>
          <t>NULL</t>
        </is>
      </c>
      <c r="D674" s="0" t="inlineStr">
        <is>
          <t>NULL</t>
        </is>
      </c>
      <c r="E674" s="0" t="inlineStr">
        <is>
          <t>NULL</t>
        </is>
      </c>
      <c r="F674" s="0" t="inlineStr">
        <is>
          <t>NULL</t>
        </is>
      </c>
      <c r="G674" s="0" t="inlineStr">
        <is>
          <t>NULL</t>
        </is>
      </c>
      <c r="H674" s="0" t="inlineStr">
        <is>
          <t>NULL</t>
        </is>
      </c>
      <c r="I674" s="0" t="inlineStr">
        <is>
          <t>NULL</t>
        </is>
      </c>
      <c r="J674" s="0" t="inlineStr">
        <is>
          <t>NULL</t>
        </is>
      </c>
      <c r="K674" s="0" t="inlineStr">
        <is>
          <t xml:space="preserve"> NO!  	 c_time2列源备映射错误，源端为time None位	期望更改为text	实际备端为time None位</t>
        </is>
      </c>
      <c r="EH674" s="0" t="inlineStr">
        <is>
          <t>37行 18列，源：None 备：</t>
        </is>
      </c>
      <c r="ES674" s="0" t="inlineStr">
        <is>
          <t>37行 18列，源：None 备：</t>
        </is>
      </c>
    </row>
    <row r="675">
      <c r="B675" s="0" t="inlineStr">
        <is>
          <t>NULL</t>
        </is>
      </c>
      <c r="C675" s="0" t="inlineStr">
        <is>
          <t>NULL</t>
        </is>
      </c>
      <c r="D675" s="0" t="inlineStr">
        <is>
          <t>NULL</t>
        </is>
      </c>
      <c r="E675" s="0" t="inlineStr">
        <is>
          <t>NULL</t>
        </is>
      </c>
      <c r="F675" s="0" t="inlineStr">
        <is>
          <t>NULL</t>
        </is>
      </c>
      <c r="G675" s="0" t="inlineStr">
        <is>
          <t>NULL</t>
        </is>
      </c>
      <c r="H675" s="0" t="inlineStr">
        <is>
          <t>NULL</t>
        </is>
      </c>
      <c r="I675" s="0" t="inlineStr">
        <is>
          <t>NULL</t>
        </is>
      </c>
      <c r="J675" s="0" t="inlineStr">
        <is>
          <t>NULL</t>
        </is>
      </c>
      <c r="K675" s="0" t="inlineStr">
        <is>
          <t xml:space="preserve"> NO!  	 c_time3列源备映射错误，源端为time None位	期望更改为text	实际备端为time None位</t>
        </is>
      </c>
      <c r="EH675" s="0" t="inlineStr">
        <is>
          <t>37行 19列，源：None 备：</t>
        </is>
      </c>
      <c r="ES675" s="0" t="inlineStr">
        <is>
          <t>37行 19列，源：None 备：</t>
        </is>
      </c>
    </row>
    <row r="676">
      <c r="B676" s="0" t="inlineStr">
        <is>
          <t>NULL</t>
        </is>
      </c>
      <c r="C676" s="0" t="inlineStr">
        <is>
          <t>NULL</t>
        </is>
      </c>
      <c r="D676" s="0" t="inlineStr">
        <is>
          <t>NULL</t>
        </is>
      </c>
      <c r="E676" s="0" t="inlineStr">
        <is>
          <t>NULL</t>
        </is>
      </c>
      <c r="F676" s="0" t="inlineStr">
        <is>
          <t>NULL</t>
        </is>
      </c>
      <c r="G676" s="0" t="inlineStr">
        <is>
          <t>NULL</t>
        </is>
      </c>
      <c r="H676" s="0" t="inlineStr">
        <is>
          <t>NULL</t>
        </is>
      </c>
      <c r="I676" s="0" t="inlineStr">
        <is>
          <t>NULL</t>
        </is>
      </c>
      <c r="J676" s="0" t="inlineStr">
        <is>
          <t>NULL</t>
        </is>
      </c>
      <c r="K676" s="0" t="inlineStr">
        <is>
          <t xml:space="preserve"> NO!  	 c_time4列源备映射错误，源端为time None位	期望更改为text	实际备端为time None位</t>
        </is>
      </c>
      <c r="EH676" s="0" t="inlineStr">
        <is>
          <t>38行 0列，源：69 备：161</t>
        </is>
      </c>
      <c r="ES676" s="0" t="inlineStr">
        <is>
          <t>38行 0列，源：69 备：206</t>
        </is>
      </c>
    </row>
    <row r="677">
      <c r="B677" s="0" t="inlineStr">
        <is>
          <t>NULL</t>
        </is>
      </c>
      <c r="C677" s="0" t="inlineStr">
        <is>
          <t>NULL</t>
        </is>
      </c>
      <c r="D677" s="0" t="inlineStr">
        <is>
          <t>NULL</t>
        </is>
      </c>
      <c r="E677" s="0" t="inlineStr">
        <is>
          <t>NULL</t>
        </is>
      </c>
      <c r="F677" s="0" t="inlineStr">
        <is>
          <t>NULL</t>
        </is>
      </c>
      <c r="G677" s="0" t="inlineStr">
        <is>
          <t>NULL</t>
        </is>
      </c>
      <c r="H677" s="0" t="inlineStr">
        <is>
          <t>NULL</t>
        </is>
      </c>
      <c r="I677" s="0" t="inlineStr">
        <is>
          <t>NULL</t>
        </is>
      </c>
      <c r="J677" s="0" t="inlineStr">
        <is>
          <t>NULL</t>
        </is>
      </c>
      <c r="K677" s="0" t="inlineStr">
        <is>
          <t xml:space="preserve"> NO!  	 c_time5列源备映射错误，源端为time None位	期望更改为text	实际备端为time None位</t>
        </is>
      </c>
      <c r="EH677" s="0" t="inlineStr">
        <is>
          <t>38行 1列，源：nan 备：</t>
        </is>
      </c>
      <c r="ES677" s="0" t="inlineStr">
        <is>
          <t>38行 1列，源：nan 备：</t>
        </is>
      </c>
    </row>
    <row r="678">
      <c r="B678" s="0" t="inlineStr">
        <is>
          <t>NULL</t>
        </is>
      </c>
      <c r="C678" s="0" t="inlineStr">
        <is>
          <t>NULL</t>
        </is>
      </c>
      <c r="D678" s="0" t="inlineStr">
        <is>
          <t>NULL</t>
        </is>
      </c>
      <c r="E678" s="0" t="inlineStr">
        <is>
          <t>NULL</t>
        </is>
      </c>
      <c r="F678" s="0" t="inlineStr">
        <is>
          <t>NULL</t>
        </is>
      </c>
      <c r="G678" s="0" t="inlineStr">
        <is>
          <t>NULL</t>
        </is>
      </c>
      <c r="H678" s="0" t="inlineStr">
        <is>
          <t>NULL</t>
        </is>
      </c>
      <c r="I678" s="0" t="inlineStr">
        <is>
          <t>NULL</t>
        </is>
      </c>
      <c r="J678" s="0" t="inlineStr">
        <is>
          <t>NULL</t>
        </is>
      </c>
      <c r="K678" s="0" t="inlineStr">
        <is>
          <t xml:space="preserve"> NO!  	 c_time6列源备映射错误，源端为time None位	期望更改为text	实际备端为time None位</t>
        </is>
      </c>
      <c r="EH678" s="0" t="inlineStr">
        <is>
          <t>38行 2列，源：nan 备：</t>
        </is>
      </c>
      <c r="ES678" s="0" t="inlineStr">
        <is>
          <t>38行 2列，源：nan 备：</t>
        </is>
      </c>
    </row>
    <row r="679">
      <c r="B679" s="0" t="inlineStr">
        <is>
          <t>NULL</t>
        </is>
      </c>
      <c r="C679" s="0" t="inlineStr">
        <is>
          <t>NULL</t>
        </is>
      </c>
      <c r="D679" s="0" t="inlineStr">
        <is>
          <t>NULL</t>
        </is>
      </c>
      <c r="E679" s="0" t="inlineStr">
        <is>
          <t>NULL</t>
        </is>
      </c>
      <c r="F679" s="0" t="inlineStr">
        <is>
          <t>NULL</t>
        </is>
      </c>
      <c r="G679" s="0" t="inlineStr">
        <is>
          <t>NULL</t>
        </is>
      </c>
      <c r="H679" s="0" t="inlineStr">
        <is>
          <t>NULL</t>
        </is>
      </c>
      <c r="I679" s="0" t="inlineStr">
        <is>
          <t>NULL</t>
        </is>
      </c>
      <c r="J679" s="0" t="inlineStr">
        <is>
          <t>NULL</t>
        </is>
      </c>
      <c r="K679" s="0" t="inlineStr">
        <is>
          <t xml:space="preserve"> NO!  	 c_time列源备映射错误，源端为time None位	期望更改为text	实际备端为time None位</t>
        </is>
      </c>
      <c r="EH679" s="0" t="inlineStr">
        <is>
          <t>38行 3列，源：nan 备：</t>
        </is>
      </c>
      <c r="ES679" s="0" t="inlineStr">
        <is>
          <t>38行 3列，源：nan 备：</t>
        </is>
      </c>
    </row>
    <row r="680">
      <c r="A680" s="0" t="inlineStr">
        <is>
          <t>info_int_dml_single_pk_irp</t>
        </is>
      </c>
      <c r="K680" s="0" t="inlineStr">
        <is>
          <t>[0;34m info_int_dml_single_pk_irp [0m源备字段数相同，源端字段：20 	备端字段20</t>
        </is>
      </c>
      <c r="W680" s="2">
        <f>HYPERLINK("#2026041905hbase4!CM2","NO 源备存在差异，共389个")</f>
        <v/>
      </c>
      <c r="X680" s="0">
        <f>A680</f>
        <v/>
      </c>
      <c r="EH680" s="0" t="inlineStr">
        <is>
          <t>38行 4列，源：nan 备：</t>
        </is>
      </c>
      <c r="ES680" s="0" t="inlineStr">
        <is>
          <t>38行 4列，源：nan 备：</t>
        </is>
      </c>
    </row>
    <row r="681">
      <c r="B681" s="0" t="inlineStr">
        <is>
          <t>YES</t>
        </is>
      </c>
      <c r="C681" s="0" t="inlineStr">
        <is>
          <t>NULL</t>
        </is>
      </c>
      <c r="D681" s="0" t="inlineStr">
        <is>
          <t>NULL</t>
        </is>
      </c>
      <c r="E681" s="0" t="inlineStr">
        <is>
          <t>NULL</t>
        </is>
      </c>
      <c r="F681" s="0" t="inlineStr">
        <is>
          <t>NULL</t>
        </is>
      </c>
      <c r="G681" s="0" t="inlineStr">
        <is>
          <t>NULL</t>
        </is>
      </c>
      <c r="H681" s="0" t="inlineStr">
        <is>
          <t>NULL</t>
        </is>
      </c>
      <c r="I681" s="0" t="inlineStr">
        <is>
          <t>YES!PK__info_int__3213E83F8E3BC63E</t>
        </is>
      </c>
      <c r="J681" s="0" t="inlineStr">
        <is>
          <t>YES! 主键相关索引</t>
        </is>
      </c>
      <c r="K681" s="0" t="inlineStr">
        <is>
          <t xml:space="preserve"> NO!  	 id列源备映射错误，源端为int None位	期望更改为text	实际备端为int None位</t>
        </is>
      </c>
      <c r="EH681" s="0" t="inlineStr">
        <is>
          <t>38行 5列，源：None 备：</t>
        </is>
      </c>
      <c r="ES681" s="0" t="inlineStr">
        <is>
          <t>38行 5列，源：None 备：</t>
        </is>
      </c>
    </row>
    <row r="682">
      <c r="B682" s="0" t="inlineStr">
        <is>
          <t>NULL</t>
        </is>
      </c>
      <c r="C682" s="0" t="inlineStr">
        <is>
          <t>NULL</t>
        </is>
      </c>
      <c r="D682" s="0" t="inlineStr">
        <is>
          <t>NULL</t>
        </is>
      </c>
      <c r="E682" s="0" t="inlineStr">
        <is>
          <t>NULL</t>
        </is>
      </c>
      <c r="F682" s="0" t="inlineStr">
        <is>
          <t>NULL</t>
        </is>
      </c>
      <c r="G682" s="0" t="inlineStr">
        <is>
          <t>NULL</t>
        </is>
      </c>
      <c r="H682" s="0" t="inlineStr">
        <is>
          <t>NULL</t>
        </is>
      </c>
      <c r="I682" s="0" t="inlineStr">
        <is>
          <t>NULL</t>
        </is>
      </c>
      <c r="J682" s="0" t="inlineStr">
        <is>
          <t>NULL</t>
        </is>
      </c>
      <c r="K682" s="0" t="inlineStr">
        <is>
          <t xml:space="preserve"> NO!  	 c_tinyint列源备映射错误，源端为tinyint None位	期望更改为text	实际备端为tinyint None位</t>
        </is>
      </c>
      <c r="EH682" s="0" t="inlineStr">
        <is>
          <t>38行 6列，源：None 备：</t>
        </is>
      </c>
      <c r="ES682" s="0" t="inlineStr">
        <is>
          <t>38行 6列，源：None 备：</t>
        </is>
      </c>
    </row>
    <row r="683">
      <c r="B683" s="0" t="inlineStr">
        <is>
          <t>NULL</t>
        </is>
      </c>
      <c r="C683" s="0" t="inlineStr">
        <is>
          <t>NULL</t>
        </is>
      </c>
      <c r="D683" s="0" t="inlineStr">
        <is>
          <t>NULL</t>
        </is>
      </c>
      <c r="E683" s="0" t="inlineStr">
        <is>
          <t>NULL</t>
        </is>
      </c>
      <c r="F683" s="0" t="inlineStr">
        <is>
          <t>NULL</t>
        </is>
      </c>
      <c r="G683" s="0" t="inlineStr">
        <is>
          <t>NULL</t>
        </is>
      </c>
      <c r="H683" s="0" t="inlineStr">
        <is>
          <t>NULL</t>
        </is>
      </c>
      <c r="I683" s="0" t="inlineStr">
        <is>
          <t>NULL</t>
        </is>
      </c>
      <c r="J683" s="0" t="inlineStr">
        <is>
          <t>NULL</t>
        </is>
      </c>
      <c r="K683" s="0" t="inlineStr">
        <is>
          <t xml:space="preserve"> NO!  	 c_smallint列源备映射错误，源端为smallint None位	期望更改为text	实际备端为smallint None位</t>
        </is>
      </c>
      <c r="EH683" s="0" t="inlineStr">
        <is>
          <t>38行 7列，源：None 备：</t>
        </is>
      </c>
      <c r="ES683" s="0" t="inlineStr">
        <is>
          <t>38行 7列，源：None 备：</t>
        </is>
      </c>
    </row>
    <row r="684">
      <c r="B684" s="0" t="inlineStr">
        <is>
          <t>NULL</t>
        </is>
      </c>
      <c r="C684" s="0" t="inlineStr">
        <is>
          <t>NULL</t>
        </is>
      </c>
      <c r="D684" s="0" t="inlineStr">
        <is>
          <t>NULL</t>
        </is>
      </c>
      <c r="E684" s="0" t="inlineStr">
        <is>
          <t>NULL</t>
        </is>
      </c>
      <c r="F684" s="0" t="inlineStr">
        <is>
          <t>NULL</t>
        </is>
      </c>
      <c r="G684" s="0" t="inlineStr">
        <is>
          <t>NULL</t>
        </is>
      </c>
      <c r="H684" s="0" t="inlineStr">
        <is>
          <t>NULL</t>
        </is>
      </c>
      <c r="I684" s="0" t="inlineStr">
        <is>
          <t>NULL</t>
        </is>
      </c>
      <c r="J684" s="0" t="inlineStr">
        <is>
          <t>NULL</t>
        </is>
      </c>
      <c r="K684" s="0" t="inlineStr">
        <is>
          <t xml:space="preserve"> NO!  	 c_int列源备映射错误，源端为int None位	期望更改为text	实际备端为int None位</t>
        </is>
      </c>
      <c r="EH684" s="0" t="inlineStr">
        <is>
          <t>38行 8列，源：None 备：</t>
        </is>
      </c>
      <c r="ES684" s="0" t="inlineStr">
        <is>
          <t>38行 8列，源：None 备：</t>
        </is>
      </c>
    </row>
    <row r="685">
      <c r="B685" s="0" t="inlineStr">
        <is>
          <t>NULL</t>
        </is>
      </c>
      <c r="C685" s="0" t="inlineStr">
        <is>
          <t>NULL</t>
        </is>
      </c>
      <c r="D685" s="0" t="inlineStr">
        <is>
          <t>NULL</t>
        </is>
      </c>
      <c r="E685" s="0" t="inlineStr">
        <is>
          <t>NULL</t>
        </is>
      </c>
      <c r="F685" s="0" t="inlineStr">
        <is>
          <t>NULL</t>
        </is>
      </c>
      <c r="G685" s="0" t="inlineStr">
        <is>
          <t>NULL</t>
        </is>
      </c>
      <c r="H685" s="0" t="inlineStr">
        <is>
          <t>NULL</t>
        </is>
      </c>
      <c r="I685" s="0" t="inlineStr">
        <is>
          <t>NULL</t>
        </is>
      </c>
      <c r="J685" s="0" t="inlineStr">
        <is>
          <t>NULL</t>
        </is>
      </c>
      <c r="K685" s="0" t="inlineStr">
        <is>
          <t xml:space="preserve"> NO!  	 c_bigint列源备映射错误，源端为bigint None位	期望更改为text	实际备端为bigint None位</t>
        </is>
      </c>
      <c r="EH685" s="0" t="inlineStr">
        <is>
          <t>38行 9列，源：None 备：</t>
        </is>
      </c>
      <c r="ES685" s="0" t="inlineStr">
        <is>
          <t>38行 9列，源：None 备：</t>
        </is>
      </c>
    </row>
    <row r="686">
      <c r="B686" s="0" t="inlineStr">
        <is>
          <t>NULL</t>
        </is>
      </c>
      <c r="C686" s="0" t="inlineStr">
        <is>
          <t>NULL</t>
        </is>
      </c>
      <c r="D686" s="0" t="inlineStr">
        <is>
          <t>NULL</t>
        </is>
      </c>
      <c r="E686" s="0" t="inlineStr">
        <is>
          <t>NULL</t>
        </is>
      </c>
      <c r="F686" s="0" t="inlineStr">
        <is>
          <t>NULL</t>
        </is>
      </c>
      <c r="G686" s="0" t="inlineStr">
        <is>
          <t>NULL</t>
        </is>
      </c>
      <c r="H686" s="0" t="inlineStr">
        <is>
          <t>NULL</t>
        </is>
      </c>
      <c r="I686" s="0" t="inlineStr">
        <is>
          <t>NULL</t>
        </is>
      </c>
      <c r="J686" s="0" t="inlineStr">
        <is>
          <t>NULL</t>
        </is>
      </c>
      <c r="K686" s="0" t="inlineStr">
        <is>
          <t xml:space="preserve"> NO!  	 c_decimal列源备映射错误，源端为decimal None位	期望更改为text	实际备端为decimal None位</t>
        </is>
      </c>
      <c r="EH686" s="0" t="inlineStr">
        <is>
          <t>38行 10列，源：None 备：</t>
        </is>
      </c>
      <c r="ES686" s="0" t="inlineStr">
        <is>
          <t>38行 10列，源：None 备：</t>
        </is>
      </c>
    </row>
    <row r="687">
      <c r="B687" s="0" t="inlineStr">
        <is>
          <t>NULL</t>
        </is>
      </c>
      <c r="C687" s="0" t="inlineStr">
        <is>
          <t>NULL</t>
        </is>
      </c>
      <c r="D687" s="0" t="inlineStr">
        <is>
          <t>NULL</t>
        </is>
      </c>
      <c r="E687" s="0" t="inlineStr">
        <is>
          <t>NULL</t>
        </is>
      </c>
      <c r="F687" s="0" t="inlineStr">
        <is>
          <t>NULL</t>
        </is>
      </c>
      <c r="G687" s="0" t="inlineStr">
        <is>
          <t>NULL</t>
        </is>
      </c>
      <c r="H687" s="0" t="inlineStr">
        <is>
          <t>NULL</t>
        </is>
      </c>
      <c r="I687" s="0" t="inlineStr">
        <is>
          <t>NULL</t>
        </is>
      </c>
      <c r="J687" s="0" t="inlineStr">
        <is>
          <t>NULL</t>
        </is>
      </c>
      <c r="K687" s="0" t="inlineStr">
        <is>
          <t xml:space="preserve"> NO!  	 c_decimal38列源备映射错误，源端为decimal None位	期望更改为text	实际备端为decimal None位</t>
        </is>
      </c>
      <c r="EH687" s="0" t="inlineStr">
        <is>
          <t>38行 11列，源：None 备：</t>
        </is>
      </c>
      <c r="ES687" s="0" t="inlineStr">
        <is>
          <t>38行 11列，源：None 备：</t>
        </is>
      </c>
    </row>
    <row r="688">
      <c r="B688" s="0" t="inlineStr">
        <is>
          <t>NULL</t>
        </is>
      </c>
      <c r="C688" s="0" t="inlineStr">
        <is>
          <t>NULL</t>
        </is>
      </c>
      <c r="D688" s="0" t="inlineStr">
        <is>
          <t>NULL</t>
        </is>
      </c>
      <c r="E688" s="0" t="inlineStr">
        <is>
          <t>NULL</t>
        </is>
      </c>
      <c r="F688" s="0" t="inlineStr">
        <is>
          <t>NULL</t>
        </is>
      </c>
      <c r="G688" s="0" t="inlineStr">
        <is>
          <t>NULL</t>
        </is>
      </c>
      <c r="H688" s="0" t="inlineStr">
        <is>
          <t>NULL</t>
        </is>
      </c>
      <c r="I688" s="0" t="inlineStr">
        <is>
          <t>NULL</t>
        </is>
      </c>
      <c r="J688" s="0" t="inlineStr">
        <is>
          <t>NULL</t>
        </is>
      </c>
      <c r="K688" s="0" t="inlineStr">
        <is>
          <t xml:space="preserve"> NO!  	 c_decimal38_38列源备映射错误，源端为decimal None位	期望更改为text	实际备端为decimal None位</t>
        </is>
      </c>
      <c r="EH688" s="0" t="inlineStr">
        <is>
          <t>38行 12列，源：None 备：</t>
        </is>
      </c>
      <c r="ES688" s="0" t="inlineStr">
        <is>
          <t>38行 12列，源：None 备：</t>
        </is>
      </c>
    </row>
    <row r="689">
      <c r="B689" s="0" t="inlineStr">
        <is>
          <t>NULL</t>
        </is>
      </c>
      <c r="C689" s="0" t="inlineStr">
        <is>
          <t>NULL</t>
        </is>
      </c>
      <c r="D689" s="0" t="inlineStr">
        <is>
          <t>NULL</t>
        </is>
      </c>
      <c r="E689" s="0" t="inlineStr">
        <is>
          <t>NULL</t>
        </is>
      </c>
      <c r="F689" s="0" t="inlineStr">
        <is>
          <t>NULL</t>
        </is>
      </c>
      <c r="G689" s="0" t="inlineStr">
        <is>
          <t>NULL</t>
        </is>
      </c>
      <c r="H689" s="0" t="inlineStr">
        <is>
          <t>NULL</t>
        </is>
      </c>
      <c r="I689" s="0" t="inlineStr">
        <is>
          <t>NULL</t>
        </is>
      </c>
      <c r="J689" s="0" t="inlineStr">
        <is>
          <t>NULL</t>
        </is>
      </c>
      <c r="K689" s="0" t="inlineStr">
        <is>
          <t xml:space="preserve"> NO!  	 c_decimal38_10列源备映射错误，源端为decimal None位	期望更改为text	实际备端为decimal None位</t>
        </is>
      </c>
      <c r="EH689" s="0" t="inlineStr">
        <is>
          <t>38行 13列，源：None 备：</t>
        </is>
      </c>
      <c r="ES689" s="0" t="inlineStr">
        <is>
          <t>38行 13列，源：None 备：</t>
        </is>
      </c>
    </row>
    <row r="690">
      <c r="B690" s="0" t="inlineStr">
        <is>
          <t>NULL</t>
        </is>
      </c>
      <c r="C690" s="0" t="inlineStr">
        <is>
          <t>NULL</t>
        </is>
      </c>
      <c r="D690" s="0" t="inlineStr">
        <is>
          <t>NULL</t>
        </is>
      </c>
      <c r="E690" s="0" t="inlineStr">
        <is>
          <t>NULL</t>
        </is>
      </c>
      <c r="F690" s="0" t="inlineStr">
        <is>
          <t>NULL</t>
        </is>
      </c>
      <c r="G690" s="0" t="inlineStr">
        <is>
          <t>NULL</t>
        </is>
      </c>
      <c r="H690" s="0" t="inlineStr">
        <is>
          <t>NULL</t>
        </is>
      </c>
      <c r="I690" s="0" t="inlineStr">
        <is>
          <t>NULL</t>
        </is>
      </c>
      <c r="J690" s="0" t="inlineStr">
        <is>
          <t>NULL</t>
        </is>
      </c>
      <c r="K690" s="0" t="inlineStr">
        <is>
          <t xml:space="preserve"> NO!  	 c_decimal19_4列源备映射错误，源端为decimal None位	期望更改为text	实际备端为decimal None位</t>
        </is>
      </c>
      <c r="EH690" s="0" t="inlineStr">
        <is>
          <t>38行 14列，源：None 备：</t>
        </is>
      </c>
      <c r="ES690" s="0" t="inlineStr">
        <is>
          <t>38行 14列，源：None 备：</t>
        </is>
      </c>
    </row>
    <row r="691">
      <c r="B691" s="0" t="inlineStr">
        <is>
          <t>NULL</t>
        </is>
      </c>
      <c r="C691" s="0" t="inlineStr">
        <is>
          <t>NULL</t>
        </is>
      </c>
      <c r="D691" s="0" t="inlineStr">
        <is>
          <t>NULL</t>
        </is>
      </c>
      <c r="E691" s="0" t="inlineStr">
        <is>
          <t>NULL</t>
        </is>
      </c>
      <c r="F691" s="0" t="inlineStr">
        <is>
          <t>NULL</t>
        </is>
      </c>
      <c r="G691" s="0" t="inlineStr">
        <is>
          <t>NULL</t>
        </is>
      </c>
      <c r="H691" s="0" t="inlineStr">
        <is>
          <t>NULL</t>
        </is>
      </c>
      <c r="I691" s="0" t="inlineStr">
        <is>
          <t>NULL</t>
        </is>
      </c>
      <c r="J691" s="0" t="inlineStr">
        <is>
          <t>NULL</t>
        </is>
      </c>
      <c r="K691" s="0" t="inlineStr">
        <is>
          <t xml:space="preserve"> NO!  	 c_numeric列源备映射错误，源端为numeric None位	期望更改为text	实际备端为numeric None位</t>
        </is>
      </c>
      <c r="EH691" s="0" t="inlineStr">
        <is>
          <t>38行 15列，源：nan 备：</t>
        </is>
      </c>
      <c r="ES691" s="0" t="inlineStr">
        <is>
          <t>38行 15列，源：nan 备：</t>
        </is>
      </c>
    </row>
    <row r="692">
      <c r="B692" s="0" t="inlineStr">
        <is>
          <t>NULL</t>
        </is>
      </c>
      <c r="C692" s="0" t="inlineStr">
        <is>
          <t>NULL</t>
        </is>
      </c>
      <c r="D692" s="0" t="inlineStr">
        <is>
          <t>NULL</t>
        </is>
      </c>
      <c r="E692" s="0" t="inlineStr">
        <is>
          <t>NULL</t>
        </is>
      </c>
      <c r="F692" s="0" t="inlineStr">
        <is>
          <t>NULL</t>
        </is>
      </c>
      <c r="G692" s="0" t="inlineStr">
        <is>
          <t>NULL</t>
        </is>
      </c>
      <c r="H692" s="0" t="inlineStr">
        <is>
          <t>NULL</t>
        </is>
      </c>
      <c r="I692" s="0" t="inlineStr">
        <is>
          <t>NULL</t>
        </is>
      </c>
      <c r="J692" s="0" t="inlineStr">
        <is>
          <t>NULL</t>
        </is>
      </c>
      <c r="K692" s="0" t="inlineStr">
        <is>
          <t xml:space="preserve"> NO!  	 c_numeric38列源备映射错误，源端为numeric None位	期望更改为text	实际备端为numeric None位</t>
        </is>
      </c>
      <c r="EH692" s="0" t="inlineStr">
        <is>
          <t>38行 16列，源：nan 备：</t>
        </is>
      </c>
      <c r="ES692" s="0" t="inlineStr">
        <is>
          <t>38行 16列，源：nan 备：</t>
        </is>
      </c>
    </row>
    <row r="693">
      <c r="B693" s="0" t="inlineStr">
        <is>
          <t>NULL</t>
        </is>
      </c>
      <c r="C693" s="0" t="inlineStr">
        <is>
          <t>NULL</t>
        </is>
      </c>
      <c r="D693" s="0" t="inlineStr">
        <is>
          <t>NULL</t>
        </is>
      </c>
      <c r="E693" s="0" t="inlineStr">
        <is>
          <t>NULL</t>
        </is>
      </c>
      <c r="F693" s="0" t="inlineStr">
        <is>
          <t>NULL</t>
        </is>
      </c>
      <c r="G693" s="0" t="inlineStr">
        <is>
          <t>NULL</t>
        </is>
      </c>
      <c r="H693" s="0" t="inlineStr">
        <is>
          <t>NULL</t>
        </is>
      </c>
      <c r="I693" s="0" t="inlineStr">
        <is>
          <t>NULL</t>
        </is>
      </c>
      <c r="J693" s="0" t="inlineStr">
        <is>
          <t>NULL</t>
        </is>
      </c>
      <c r="K693" s="0" t="inlineStr">
        <is>
          <t xml:space="preserve"> NO!  	 c_numeric38_38列源备映射错误，源端为numeric None位	期望更改为text	实际备端为numeric None位</t>
        </is>
      </c>
      <c r="EH693" s="0" t="inlineStr">
        <is>
          <t>38行 17列，源：None 备：</t>
        </is>
      </c>
      <c r="ES693" s="0" t="inlineStr">
        <is>
          <t>38行 17列，源：None 备：</t>
        </is>
      </c>
    </row>
    <row r="694">
      <c r="B694" s="0" t="inlineStr">
        <is>
          <t>NULL</t>
        </is>
      </c>
      <c r="C694" s="0" t="inlineStr">
        <is>
          <t>NULL</t>
        </is>
      </c>
      <c r="D694" s="0" t="inlineStr">
        <is>
          <t>NULL</t>
        </is>
      </c>
      <c r="E694" s="0" t="inlineStr">
        <is>
          <t>NULL</t>
        </is>
      </c>
      <c r="F694" s="0" t="inlineStr">
        <is>
          <t>NULL</t>
        </is>
      </c>
      <c r="G694" s="0" t="inlineStr">
        <is>
          <t>NULL</t>
        </is>
      </c>
      <c r="H694" s="0" t="inlineStr">
        <is>
          <t>NULL</t>
        </is>
      </c>
      <c r="I694" s="0" t="inlineStr">
        <is>
          <t>NULL</t>
        </is>
      </c>
      <c r="J694" s="0" t="inlineStr">
        <is>
          <t>NULL</t>
        </is>
      </c>
      <c r="K694" s="0" t="inlineStr">
        <is>
          <t xml:space="preserve"> NO!  	 c_numeric38_10列源备映射错误，源端为numeric None位	期望更改为text	实际备端为numeric None位</t>
        </is>
      </c>
      <c r="EH694" s="0" t="inlineStr">
        <is>
          <t>38行 18列，源：None 备：</t>
        </is>
      </c>
      <c r="ES694" s="0" t="inlineStr">
        <is>
          <t>38行 18列，源：None 备：</t>
        </is>
      </c>
    </row>
    <row r="695">
      <c r="B695" s="0" t="inlineStr">
        <is>
          <t>NULL</t>
        </is>
      </c>
      <c r="C695" s="0" t="inlineStr">
        <is>
          <t>NULL</t>
        </is>
      </c>
      <c r="D695" s="0" t="inlineStr">
        <is>
          <t>NULL</t>
        </is>
      </c>
      <c r="E695" s="0" t="inlineStr">
        <is>
          <t>NULL</t>
        </is>
      </c>
      <c r="F695" s="0" t="inlineStr">
        <is>
          <t>NULL</t>
        </is>
      </c>
      <c r="G695" s="0" t="inlineStr">
        <is>
          <t>NULL</t>
        </is>
      </c>
      <c r="H695" s="0" t="inlineStr">
        <is>
          <t>NULL</t>
        </is>
      </c>
      <c r="I695" s="0" t="inlineStr">
        <is>
          <t>NULL</t>
        </is>
      </c>
      <c r="J695" s="0" t="inlineStr">
        <is>
          <t>NULL</t>
        </is>
      </c>
      <c r="K695" s="0" t="inlineStr">
        <is>
          <t xml:space="preserve"> NO!  	 c_numeric18_2列源备映射错误，源端为numeric None位	期望更改为text	实际备端为numeric None位</t>
        </is>
      </c>
      <c r="EH695" s="0" t="inlineStr">
        <is>
          <t>38行 19列，源：None 备：</t>
        </is>
      </c>
      <c r="ES695" s="0" t="inlineStr">
        <is>
          <t>38行 19列，源：None 备：</t>
        </is>
      </c>
    </row>
    <row r="696">
      <c r="B696" s="0" t="inlineStr">
        <is>
          <t>NULL</t>
        </is>
      </c>
      <c r="C696" s="0" t="inlineStr">
        <is>
          <t>NULL</t>
        </is>
      </c>
      <c r="D696" s="0" t="inlineStr">
        <is>
          <t>NULL</t>
        </is>
      </c>
      <c r="E696" s="0" t="inlineStr">
        <is>
          <t>NULL</t>
        </is>
      </c>
      <c r="F696" s="0" t="inlineStr">
        <is>
          <t>NULL</t>
        </is>
      </c>
      <c r="G696" s="0" t="inlineStr">
        <is>
          <t>NULL</t>
        </is>
      </c>
      <c r="H696" s="0" t="inlineStr">
        <is>
          <t>NULL</t>
        </is>
      </c>
      <c r="I696" s="0" t="inlineStr">
        <is>
          <t>NULL</t>
        </is>
      </c>
      <c r="J696" s="0" t="inlineStr">
        <is>
          <t>NULL</t>
        </is>
      </c>
      <c r="K696" s="0" t="inlineStr">
        <is>
          <t xml:space="preserve"> NO!  	 c_float列源备映射错误，源端为float None位	期望更改为text	实际备端为float None位</t>
        </is>
      </c>
      <c r="EH696" s="0" t="inlineStr">
        <is>
          <t>39行 0列，源：70 备：162</t>
        </is>
      </c>
      <c r="ES696" s="0" t="inlineStr">
        <is>
          <t>39行 0列，源：70 备：207</t>
        </is>
      </c>
    </row>
    <row r="697">
      <c r="B697" s="0" t="inlineStr">
        <is>
          <t>NULL</t>
        </is>
      </c>
      <c r="C697" s="0" t="inlineStr">
        <is>
          <t>NULL</t>
        </is>
      </c>
      <c r="D697" s="0" t="inlineStr">
        <is>
          <t>NULL</t>
        </is>
      </c>
      <c r="E697" s="0" t="inlineStr">
        <is>
          <t>NULL</t>
        </is>
      </c>
      <c r="F697" s="0" t="inlineStr">
        <is>
          <t>NULL</t>
        </is>
      </c>
      <c r="G697" s="0" t="inlineStr">
        <is>
          <t>NULL</t>
        </is>
      </c>
      <c r="H697" s="0" t="inlineStr">
        <is>
          <t>NULL</t>
        </is>
      </c>
      <c r="I697" s="0" t="inlineStr">
        <is>
          <t>NULL</t>
        </is>
      </c>
      <c r="J697" s="0" t="inlineStr">
        <is>
          <t>NULL</t>
        </is>
      </c>
      <c r="K697" s="0" t="inlineStr">
        <is>
          <t xml:space="preserve"> NO!  	 c_real列源备映射错误，源端为real None位	期望更改为text	实际备端为real None位</t>
        </is>
      </c>
      <c r="EH697" s="0" t="inlineStr">
        <is>
          <t>39行 1列，源：nan 备：</t>
        </is>
      </c>
      <c r="ES697" s="0" t="inlineStr">
        <is>
          <t>39行 1列，源：nan 备：</t>
        </is>
      </c>
    </row>
    <row r="698">
      <c r="B698" s="0" t="inlineStr">
        <is>
          <t>NULL</t>
        </is>
      </c>
      <c r="C698" s="0" t="inlineStr">
        <is>
          <t>NULL</t>
        </is>
      </c>
      <c r="D698" s="0" t="inlineStr">
        <is>
          <t>NULL</t>
        </is>
      </c>
      <c r="E698" s="0" t="inlineStr">
        <is>
          <t>NULL</t>
        </is>
      </c>
      <c r="F698" s="0" t="inlineStr">
        <is>
          <t>NULL</t>
        </is>
      </c>
      <c r="G698" s="0" t="inlineStr">
        <is>
          <t>NULL</t>
        </is>
      </c>
      <c r="H698" s="0" t="inlineStr">
        <is>
          <t>NULL</t>
        </is>
      </c>
      <c r="I698" s="0" t="inlineStr">
        <is>
          <t>NULL</t>
        </is>
      </c>
      <c r="J698" s="0" t="inlineStr">
        <is>
          <t>NULL</t>
        </is>
      </c>
      <c r="K698" s="0" t="inlineStr">
        <is>
          <t xml:space="preserve"> NO!  	 c_money列源备映射错误，源端为money None位	期望更改为text	实际备端为money None位</t>
        </is>
      </c>
      <c r="EH698" s="0" t="inlineStr">
        <is>
          <t>39行 2列，源：nan 备：</t>
        </is>
      </c>
      <c r="ES698" s="0" t="inlineStr">
        <is>
          <t>39行 2列，源：nan 备：</t>
        </is>
      </c>
    </row>
    <row r="699">
      <c r="B699" s="0" t="inlineStr">
        <is>
          <t>NULL</t>
        </is>
      </c>
      <c r="C699" s="0" t="inlineStr">
        <is>
          <t>NULL</t>
        </is>
      </c>
      <c r="D699" s="0" t="inlineStr">
        <is>
          <t>NULL</t>
        </is>
      </c>
      <c r="E699" s="0" t="inlineStr">
        <is>
          <t>NULL</t>
        </is>
      </c>
      <c r="F699" s="0" t="inlineStr">
        <is>
          <t>NULL</t>
        </is>
      </c>
      <c r="G699" s="0" t="inlineStr">
        <is>
          <t>NULL</t>
        </is>
      </c>
      <c r="H699" s="0" t="inlineStr">
        <is>
          <t>NULL</t>
        </is>
      </c>
      <c r="I699" s="0" t="inlineStr">
        <is>
          <t>NULL</t>
        </is>
      </c>
      <c r="J699" s="0" t="inlineStr">
        <is>
          <t>NULL</t>
        </is>
      </c>
      <c r="K699" s="0" t="inlineStr">
        <is>
          <t xml:space="preserve"> NO!  	 c_smallmoney列源备映射错误，源端为smallmoney None位	期望更改为text	实际备端为smallmoney None位</t>
        </is>
      </c>
      <c r="EH699" s="0" t="inlineStr">
        <is>
          <t>39行 3列，源：nan 备：</t>
        </is>
      </c>
      <c r="ES699" s="0" t="inlineStr">
        <is>
          <t>39行 3列，源：nan 备：</t>
        </is>
      </c>
    </row>
    <row r="700">
      <c r="B700" s="0" t="inlineStr">
        <is>
          <t>NULL</t>
        </is>
      </c>
      <c r="C700" s="0" t="inlineStr">
        <is>
          <t>NULL</t>
        </is>
      </c>
      <c r="D700" s="0" t="inlineStr">
        <is>
          <t>NULL</t>
        </is>
      </c>
      <c r="E700" s="0" t="inlineStr">
        <is>
          <t>NULL</t>
        </is>
      </c>
      <c r="F700" s="0" t="inlineStr">
        <is>
          <t>NULL</t>
        </is>
      </c>
      <c r="G700" s="0" t="inlineStr">
        <is>
          <t>NULL</t>
        </is>
      </c>
      <c r="H700" s="0" t="inlineStr">
        <is>
          <t>NULL</t>
        </is>
      </c>
      <c r="I700" s="0" t="inlineStr">
        <is>
          <t>NULL</t>
        </is>
      </c>
      <c r="J700" s="0" t="inlineStr">
        <is>
          <t>NULL</t>
        </is>
      </c>
      <c r="K700" s="0" t="inlineStr">
        <is>
          <t xml:space="preserve"> NO!  	 c_bit列源备映射错误，源端为bit None位	期望更改为text	实际备端为bit None位</t>
        </is>
      </c>
      <c r="EH700" s="0" t="inlineStr">
        <is>
          <t>39行 4列，源：nan 备：</t>
        </is>
      </c>
      <c r="ES700" s="0" t="inlineStr">
        <is>
          <t>39行 4列，源：nan 备：</t>
        </is>
      </c>
    </row>
    <row r="701">
      <c r="A701" s="0" t="inlineStr">
        <is>
          <t>info_date_dml_batch2_pk_irp2</t>
        </is>
      </c>
      <c r="K701" s="0" t="inlineStr">
        <is>
          <t>[0;34m info_date_dml_batch2_pk_irp2 [0m源备字段数相同，源端字段：2 	备端字段2</t>
        </is>
      </c>
      <c r="W701" s="2">
        <f>HYPERLINK("#2026041905hbase4!CN2","NO 源备存在差异，共50个")</f>
        <v/>
      </c>
      <c r="X701" s="0">
        <f>A701</f>
        <v/>
      </c>
      <c r="EH701" s="0" t="inlineStr">
        <is>
          <t>39行 5列，源：None 备：</t>
        </is>
      </c>
      <c r="ES701" s="0" t="inlineStr">
        <is>
          <t>39行 5列，源：None 备：</t>
        </is>
      </c>
    </row>
    <row r="702">
      <c r="B702" s="0" t="inlineStr">
        <is>
          <t>YES</t>
        </is>
      </c>
      <c r="C702" s="0" t="inlineStr">
        <is>
          <t>NULL</t>
        </is>
      </c>
      <c r="D702" s="0" t="inlineStr">
        <is>
          <t>NULL</t>
        </is>
      </c>
      <c r="E702" s="0" t="inlineStr">
        <is>
          <t>NULL</t>
        </is>
      </c>
      <c r="F702" s="0" t="inlineStr">
        <is>
          <t>NULL</t>
        </is>
      </c>
      <c r="G702" s="0" t="inlineStr">
        <is>
          <t>NULL</t>
        </is>
      </c>
      <c r="H702" s="0" t="inlineStr">
        <is>
          <t>NULL</t>
        </is>
      </c>
      <c r="I702" s="0" t="inlineStr">
        <is>
          <t>YES!PK__info_dat__3213E83FEA201868</t>
        </is>
      </c>
      <c r="J702" s="0" t="inlineStr">
        <is>
          <t>YES! 主键相关索引</t>
        </is>
      </c>
      <c r="K702" s="0" t="inlineStr">
        <is>
          <t xml:space="preserve"> NO!  	 id列源备映射错误，源端为int None位	期望更改为text	实际备端为int None位</t>
        </is>
      </c>
      <c r="EH702" s="0" t="inlineStr">
        <is>
          <t>39行 6列，源：None 备：</t>
        </is>
      </c>
      <c r="ES702" s="0" t="inlineStr">
        <is>
          <t>39行 6列，源：None 备：</t>
        </is>
      </c>
    </row>
    <row r="703">
      <c r="B703" s="0" t="inlineStr">
        <is>
          <t>NULL</t>
        </is>
      </c>
      <c r="C703" s="0" t="inlineStr">
        <is>
          <t>NULL</t>
        </is>
      </c>
      <c r="D703" s="0" t="inlineStr">
        <is>
          <t>NULL</t>
        </is>
      </c>
      <c r="E703" s="0" t="inlineStr">
        <is>
          <t>NULL</t>
        </is>
      </c>
      <c r="F703" s="0" t="inlineStr">
        <is>
          <t>NULL</t>
        </is>
      </c>
      <c r="G703" s="0" t="inlineStr">
        <is>
          <t>NULL</t>
        </is>
      </c>
      <c r="H703" s="0" t="inlineStr">
        <is>
          <t>NULL</t>
        </is>
      </c>
      <c r="I703" s="0" t="inlineStr">
        <is>
          <t>NULL</t>
        </is>
      </c>
      <c r="J703" s="0" t="inlineStr">
        <is>
          <t>NULL</t>
        </is>
      </c>
      <c r="K703" s="0" t="inlineStr">
        <is>
          <t xml:space="preserve"> NO!  	 c_date列源备映射错误，源端为date None位	期望更改为text	实际备端为date None位</t>
        </is>
      </c>
      <c r="EH703" s="0" t="inlineStr">
        <is>
          <t>39行 7列，源：None 备：</t>
        </is>
      </c>
      <c r="ES703" s="0" t="inlineStr">
        <is>
          <t>39行 7列，源：None 备：</t>
        </is>
      </c>
    </row>
    <row r="704">
      <c r="A704" s="0" t="inlineStr">
        <is>
          <t>info_time_dml_single_pk</t>
        </is>
      </c>
      <c r="K704" s="0" t="inlineStr">
        <is>
          <t>[0;34m info_time_dml_single_pk [0m源备字段数相同，源端字段：9 	备端字段9</t>
        </is>
      </c>
      <c r="W704" s="0" t="inlineStr">
        <is>
          <t>YES 源备无差异</t>
        </is>
      </c>
      <c r="X704" s="0">
        <f>A704</f>
        <v/>
      </c>
      <c r="EH704" s="0" t="inlineStr">
        <is>
          <t>39行 8列，源：None 备：</t>
        </is>
      </c>
      <c r="ES704" s="0" t="inlineStr">
        <is>
          <t>39行 8列，源：None 备：</t>
        </is>
      </c>
    </row>
    <row r="705">
      <c r="B705" s="0" t="inlineStr">
        <is>
          <t>YES</t>
        </is>
      </c>
      <c r="C705" s="0" t="inlineStr">
        <is>
          <t>NULL</t>
        </is>
      </c>
      <c r="D705" s="0" t="inlineStr">
        <is>
          <t>NULL</t>
        </is>
      </c>
      <c r="E705" s="0" t="inlineStr">
        <is>
          <t>NULL</t>
        </is>
      </c>
      <c r="F705" s="0" t="inlineStr">
        <is>
          <t>NULL</t>
        </is>
      </c>
      <c r="G705" s="0" t="inlineStr">
        <is>
          <t>NULL</t>
        </is>
      </c>
      <c r="H705" s="0" t="inlineStr">
        <is>
          <t>NULL</t>
        </is>
      </c>
      <c r="I705" s="0" t="inlineStr">
        <is>
          <t>YES!PK__info_tim__3213E83F7E3C0DE7</t>
        </is>
      </c>
      <c r="J705" s="0" t="inlineStr">
        <is>
          <t>YES! 主键相关索引</t>
        </is>
      </c>
      <c r="K705" s="0" t="inlineStr">
        <is>
          <t xml:space="preserve"> NO!  	 id列源备映射错误，源端为int None位	期望更改为text	实际备端为int None位</t>
        </is>
      </c>
      <c r="EH705" s="0" t="inlineStr">
        <is>
          <t>39行 9列，源：None 备：</t>
        </is>
      </c>
      <c r="ES705" s="0" t="inlineStr">
        <is>
          <t>39行 9列，源：None 备：</t>
        </is>
      </c>
    </row>
    <row r="706">
      <c r="B706" s="0" t="inlineStr">
        <is>
          <t>NULL</t>
        </is>
      </c>
      <c r="C706" s="0" t="inlineStr">
        <is>
          <t>NULL</t>
        </is>
      </c>
      <c r="D706" s="0" t="inlineStr">
        <is>
          <t>NULL</t>
        </is>
      </c>
      <c r="E706" s="0" t="inlineStr">
        <is>
          <t>NULL</t>
        </is>
      </c>
      <c r="F706" s="0" t="inlineStr">
        <is>
          <t>NULL</t>
        </is>
      </c>
      <c r="G706" s="0" t="inlineStr">
        <is>
          <t>NULL</t>
        </is>
      </c>
      <c r="H706" s="0" t="inlineStr">
        <is>
          <t>NULL</t>
        </is>
      </c>
      <c r="I706" s="0" t="inlineStr">
        <is>
          <t>NULL</t>
        </is>
      </c>
      <c r="J706" s="0" t="inlineStr">
        <is>
          <t>NULL</t>
        </is>
      </c>
      <c r="K706" s="0" t="inlineStr">
        <is>
          <t xml:space="preserve"> NO!  	 c_time0列源备映射错误，源端为time None位	期望更改为text	实际备端为time None位</t>
        </is>
      </c>
      <c r="EH706" s="0" t="inlineStr">
        <is>
          <t>39行 10列，源：None 备：</t>
        </is>
      </c>
      <c r="ES706" s="0" t="inlineStr">
        <is>
          <t>39行 10列，源：None 备：</t>
        </is>
      </c>
    </row>
    <row r="707">
      <c r="B707" s="0" t="inlineStr">
        <is>
          <t>NULL</t>
        </is>
      </c>
      <c r="C707" s="0" t="inlineStr">
        <is>
          <t>NULL</t>
        </is>
      </c>
      <c r="D707" s="0" t="inlineStr">
        <is>
          <t>NULL</t>
        </is>
      </c>
      <c r="E707" s="0" t="inlineStr">
        <is>
          <t>NULL</t>
        </is>
      </c>
      <c r="F707" s="0" t="inlineStr">
        <is>
          <t>NULL</t>
        </is>
      </c>
      <c r="G707" s="0" t="inlineStr">
        <is>
          <t>NULL</t>
        </is>
      </c>
      <c r="H707" s="0" t="inlineStr">
        <is>
          <t>NULL</t>
        </is>
      </c>
      <c r="I707" s="0" t="inlineStr">
        <is>
          <t>NULL</t>
        </is>
      </c>
      <c r="J707" s="0" t="inlineStr">
        <is>
          <t>NULL</t>
        </is>
      </c>
      <c r="K707" s="0" t="inlineStr">
        <is>
          <t xml:space="preserve"> NO!  	 c_time1列源备映射错误，源端为time None位	期望更改为text	实际备端为time None位</t>
        </is>
      </c>
      <c r="EH707" s="0" t="inlineStr">
        <is>
          <t>39行 11列，源：None 备：</t>
        </is>
      </c>
      <c r="ES707" s="0" t="inlineStr">
        <is>
          <t>39行 11列，源：None 备：</t>
        </is>
      </c>
    </row>
    <row r="708">
      <c r="B708" s="0" t="inlineStr">
        <is>
          <t>NULL</t>
        </is>
      </c>
      <c r="C708" s="0" t="inlineStr">
        <is>
          <t>NULL</t>
        </is>
      </c>
      <c r="D708" s="0" t="inlineStr">
        <is>
          <t>NULL</t>
        </is>
      </c>
      <c r="E708" s="0" t="inlineStr">
        <is>
          <t>NULL</t>
        </is>
      </c>
      <c r="F708" s="0" t="inlineStr">
        <is>
          <t>NULL</t>
        </is>
      </c>
      <c r="G708" s="0" t="inlineStr">
        <is>
          <t>NULL</t>
        </is>
      </c>
      <c r="H708" s="0" t="inlineStr">
        <is>
          <t>NULL</t>
        </is>
      </c>
      <c r="I708" s="0" t="inlineStr">
        <is>
          <t>NULL</t>
        </is>
      </c>
      <c r="J708" s="0" t="inlineStr">
        <is>
          <t>NULL</t>
        </is>
      </c>
      <c r="K708" s="0" t="inlineStr">
        <is>
          <t xml:space="preserve"> NO!  	 c_time2列源备映射错误，源端为time None位	期望更改为text	实际备端为time None位</t>
        </is>
      </c>
      <c r="EH708" s="0" t="inlineStr">
        <is>
          <t>39行 12列，源：None 备：</t>
        </is>
      </c>
      <c r="ES708" s="0" t="inlineStr">
        <is>
          <t>39行 12列，源：None 备：</t>
        </is>
      </c>
    </row>
    <row r="709">
      <c r="B709" s="0" t="inlineStr">
        <is>
          <t>NULL</t>
        </is>
      </c>
      <c r="C709" s="0" t="inlineStr">
        <is>
          <t>NULL</t>
        </is>
      </c>
      <c r="D709" s="0" t="inlineStr">
        <is>
          <t>NULL</t>
        </is>
      </c>
      <c r="E709" s="0" t="inlineStr">
        <is>
          <t>NULL</t>
        </is>
      </c>
      <c r="F709" s="0" t="inlineStr">
        <is>
          <t>NULL</t>
        </is>
      </c>
      <c r="G709" s="0" t="inlineStr">
        <is>
          <t>NULL</t>
        </is>
      </c>
      <c r="H709" s="0" t="inlineStr">
        <is>
          <t>NULL</t>
        </is>
      </c>
      <c r="I709" s="0" t="inlineStr">
        <is>
          <t>NULL</t>
        </is>
      </c>
      <c r="J709" s="0" t="inlineStr">
        <is>
          <t>NULL</t>
        </is>
      </c>
      <c r="K709" s="0" t="inlineStr">
        <is>
          <t xml:space="preserve"> NO!  	 c_time3列源备映射错误，源端为time None位	期望更改为text	实际备端为time None位</t>
        </is>
      </c>
      <c r="EH709" s="0" t="inlineStr">
        <is>
          <t>39行 13列，源：None 备：</t>
        </is>
      </c>
      <c r="ES709" s="0" t="inlineStr">
        <is>
          <t>39行 13列，源：None 备：</t>
        </is>
      </c>
    </row>
    <row r="710">
      <c r="B710" s="0" t="inlineStr">
        <is>
          <t>NULL</t>
        </is>
      </c>
      <c r="C710" s="0" t="inlineStr">
        <is>
          <t>NULL</t>
        </is>
      </c>
      <c r="D710" s="0" t="inlineStr">
        <is>
          <t>NULL</t>
        </is>
      </c>
      <c r="E710" s="0" t="inlineStr">
        <is>
          <t>NULL</t>
        </is>
      </c>
      <c r="F710" s="0" t="inlineStr">
        <is>
          <t>NULL</t>
        </is>
      </c>
      <c r="G710" s="0" t="inlineStr">
        <is>
          <t>NULL</t>
        </is>
      </c>
      <c r="H710" s="0" t="inlineStr">
        <is>
          <t>NULL</t>
        </is>
      </c>
      <c r="I710" s="0" t="inlineStr">
        <is>
          <t>NULL</t>
        </is>
      </c>
      <c r="J710" s="0" t="inlineStr">
        <is>
          <t>NULL</t>
        </is>
      </c>
      <c r="K710" s="0" t="inlineStr">
        <is>
          <t xml:space="preserve"> NO!  	 c_time4列源备映射错误，源端为time None位	期望更改为text	实际备端为time None位</t>
        </is>
      </c>
      <c r="EH710" s="0" t="inlineStr">
        <is>
          <t>39行 14列，源：None 备：</t>
        </is>
      </c>
      <c r="ES710" s="0" t="inlineStr">
        <is>
          <t>39行 14列，源：None 备：</t>
        </is>
      </c>
    </row>
    <row r="711">
      <c r="B711" s="0" t="inlineStr">
        <is>
          <t>NULL</t>
        </is>
      </c>
      <c r="C711" s="0" t="inlineStr">
        <is>
          <t>NULL</t>
        </is>
      </c>
      <c r="D711" s="0" t="inlineStr">
        <is>
          <t>NULL</t>
        </is>
      </c>
      <c r="E711" s="0" t="inlineStr">
        <is>
          <t>NULL</t>
        </is>
      </c>
      <c r="F711" s="0" t="inlineStr">
        <is>
          <t>NULL</t>
        </is>
      </c>
      <c r="G711" s="0" t="inlineStr">
        <is>
          <t>NULL</t>
        </is>
      </c>
      <c r="H711" s="0" t="inlineStr">
        <is>
          <t>NULL</t>
        </is>
      </c>
      <c r="I711" s="0" t="inlineStr">
        <is>
          <t>NULL</t>
        </is>
      </c>
      <c r="J711" s="0" t="inlineStr">
        <is>
          <t>NULL</t>
        </is>
      </c>
      <c r="K711" s="0" t="inlineStr">
        <is>
          <t xml:space="preserve"> NO!  	 c_time5列源备映射错误，源端为time None位	期望更改为text	实际备端为time None位</t>
        </is>
      </c>
      <c r="EH711" s="0" t="inlineStr">
        <is>
          <t>39行 15列，源：nan 备：</t>
        </is>
      </c>
      <c r="ES711" s="0" t="inlineStr">
        <is>
          <t>39行 15列，源：nan 备：</t>
        </is>
      </c>
    </row>
    <row r="712">
      <c r="B712" s="0" t="inlineStr">
        <is>
          <t>NULL</t>
        </is>
      </c>
      <c r="C712" s="0" t="inlineStr">
        <is>
          <t>NULL</t>
        </is>
      </c>
      <c r="D712" s="0" t="inlineStr">
        <is>
          <t>NULL</t>
        </is>
      </c>
      <c r="E712" s="0" t="inlineStr">
        <is>
          <t>NULL</t>
        </is>
      </c>
      <c r="F712" s="0" t="inlineStr">
        <is>
          <t>NULL</t>
        </is>
      </c>
      <c r="G712" s="0" t="inlineStr">
        <is>
          <t>NULL</t>
        </is>
      </c>
      <c r="H712" s="0" t="inlineStr">
        <is>
          <t>NULL</t>
        </is>
      </c>
      <c r="I712" s="0" t="inlineStr">
        <is>
          <t>NULL</t>
        </is>
      </c>
      <c r="J712" s="0" t="inlineStr">
        <is>
          <t>NULL</t>
        </is>
      </c>
      <c r="K712" s="0" t="inlineStr">
        <is>
          <t xml:space="preserve"> NO!  	 c_time6列源备映射错误，源端为time None位	期望更改为text	实际备端为time None位</t>
        </is>
      </c>
      <c r="EH712" s="0" t="inlineStr">
        <is>
          <t>39行 16列，源：nan 备：</t>
        </is>
      </c>
      <c r="ES712" s="0" t="inlineStr">
        <is>
          <t>39行 16列，源：nan 备：</t>
        </is>
      </c>
    </row>
    <row r="713">
      <c r="B713" s="0" t="inlineStr">
        <is>
          <t>NULL</t>
        </is>
      </c>
      <c r="C713" s="0" t="inlineStr">
        <is>
          <t>NULL</t>
        </is>
      </c>
      <c r="D713" s="0" t="inlineStr">
        <is>
          <t>NULL</t>
        </is>
      </c>
      <c r="E713" s="0" t="inlineStr">
        <is>
          <t>NULL</t>
        </is>
      </c>
      <c r="F713" s="0" t="inlineStr">
        <is>
          <t>NULL</t>
        </is>
      </c>
      <c r="G713" s="0" t="inlineStr">
        <is>
          <t>NULL</t>
        </is>
      </c>
      <c r="H713" s="0" t="inlineStr">
        <is>
          <t>NULL</t>
        </is>
      </c>
      <c r="I713" s="0" t="inlineStr">
        <is>
          <t>NULL</t>
        </is>
      </c>
      <c r="J713" s="0" t="inlineStr">
        <is>
          <t>NULL</t>
        </is>
      </c>
      <c r="K713" s="0" t="inlineStr">
        <is>
          <t xml:space="preserve"> NO!  	 c_time列源备映射错误，源端为time None位	期望更改为text	实际备端为time None位</t>
        </is>
      </c>
      <c r="EH713" s="0" t="inlineStr">
        <is>
          <t>39行 17列，源：None 备：</t>
        </is>
      </c>
      <c r="ES713" s="0" t="inlineStr">
        <is>
          <t>39行 17列，源：None 备：</t>
        </is>
      </c>
    </row>
    <row r="714">
      <c r="A714" s="0" t="inlineStr">
        <is>
          <t>info_binary_dml_batch1_pk_urp2</t>
        </is>
      </c>
      <c r="K714" s="0" t="inlineStr">
        <is>
          <t>[0;34m info_binary_dml_batch1_pk_urp2 [0m源备字段数相同，源端字段：4 	备端字段4</t>
        </is>
      </c>
      <c r="W714" s="2">
        <f>HYPERLINK("#2026041905hbase4!CO2","NO 源备存在差异，共39个")</f>
        <v/>
      </c>
      <c r="X714" s="0">
        <f>A714</f>
        <v/>
      </c>
      <c r="EH714" s="0" t="inlineStr">
        <is>
          <t>39行 18列，源：None 备：</t>
        </is>
      </c>
      <c r="ES714" s="0" t="inlineStr">
        <is>
          <t>39行 18列，源：None 备：</t>
        </is>
      </c>
    </row>
    <row r="715">
      <c r="B715" s="0" t="inlineStr">
        <is>
          <t>YES</t>
        </is>
      </c>
      <c r="C715" s="0" t="inlineStr">
        <is>
          <t>NULL</t>
        </is>
      </c>
      <c r="D715" s="0" t="inlineStr">
        <is>
          <t>NULL</t>
        </is>
      </c>
      <c r="E715" s="0" t="inlineStr">
        <is>
          <t>NULL</t>
        </is>
      </c>
      <c r="F715" s="0" t="inlineStr">
        <is>
          <t>NULL</t>
        </is>
      </c>
      <c r="G715" s="0" t="inlineStr">
        <is>
          <t>NULL</t>
        </is>
      </c>
      <c r="H715" s="0" t="inlineStr">
        <is>
          <t>NULL</t>
        </is>
      </c>
      <c r="I715" s="0" t="inlineStr">
        <is>
          <t>YES!PK__info_bin__3213E83F3885918B</t>
        </is>
      </c>
      <c r="J715" s="0" t="inlineStr">
        <is>
          <t>YES! 主键相关索引</t>
        </is>
      </c>
      <c r="K715" s="0" t="inlineStr">
        <is>
          <t xml:space="preserve"> NO!  	 id列源备映射错误，源端为int None位	期望更改为text	实际备端为int None位</t>
        </is>
      </c>
      <c r="EH715" s="0" t="inlineStr">
        <is>
          <t>39行 19列，源：None 备：</t>
        </is>
      </c>
      <c r="ES715" s="0" t="inlineStr">
        <is>
          <t>39行 19列，源：None 备：</t>
        </is>
      </c>
    </row>
    <row r="716">
      <c r="B716" s="0" t="inlineStr">
        <is>
          <t>NULL</t>
        </is>
      </c>
      <c r="C716" s="0" t="inlineStr">
        <is>
          <t>NULL</t>
        </is>
      </c>
      <c r="D716" s="0" t="inlineStr">
        <is>
          <t>NULL</t>
        </is>
      </c>
      <c r="E716" s="0" t="inlineStr">
        <is>
          <t>NULL</t>
        </is>
      </c>
      <c r="F716" s="0" t="inlineStr">
        <is>
          <t>NULL</t>
        </is>
      </c>
      <c r="G716" s="0" t="inlineStr">
        <is>
          <t>NULL</t>
        </is>
      </c>
      <c r="H716" s="0" t="inlineStr">
        <is>
          <t>NULL</t>
        </is>
      </c>
      <c r="I716" s="0" t="inlineStr">
        <is>
          <t>NULL</t>
        </is>
      </c>
      <c r="J716" s="0" t="inlineStr">
        <is>
          <t>NULL</t>
        </is>
      </c>
      <c r="K716" s="0" t="inlineStr">
        <is>
          <t xml:space="preserve"> NO!  	 c_binary列源备映射错误，源端为binary 1位	期望更改为text	实际备端为binary 1位</t>
        </is>
      </c>
      <c r="EH716" s="0" t="inlineStr">
        <is>
          <t>40行 0列，源：101 备：163</t>
        </is>
      </c>
      <c r="ES716" s="0" t="inlineStr">
        <is>
          <t>40行 0列，源：101 备：208</t>
        </is>
      </c>
    </row>
    <row r="717">
      <c r="B717" s="0" t="inlineStr">
        <is>
          <t>NULL</t>
        </is>
      </c>
      <c r="C717" s="0" t="inlineStr">
        <is>
          <t>NULL</t>
        </is>
      </c>
      <c r="D717" s="0" t="inlineStr">
        <is>
          <t>NULL</t>
        </is>
      </c>
      <c r="E717" s="0" t="inlineStr">
        <is>
          <t>NULL</t>
        </is>
      </c>
      <c r="F717" s="0" t="inlineStr">
        <is>
          <t>NULL</t>
        </is>
      </c>
      <c r="G717" s="0" t="inlineStr">
        <is>
          <t>NULL</t>
        </is>
      </c>
      <c r="H717" s="0" t="inlineStr">
        <is>
          <t>NULL</t>
        </is>
      </c>
      <c r="I717" s="0" t="inlineStr">
        <is>
          <t>NULL</t>
        </is>
      </c>
      <c r="J717" s="0" t="inlineStr">
        <is>
          <t>NULL</t>
        </is>
      </c>
      <c r="K717" s="0" t="inlineStr">
        <is>
          <t xml:space="preserve"> NO!  	 c_binary_20列源备映射错误，源端为binary 20位	期望更改为text	实际备端为binary 20位</t>
        </is>
      </c>
      <c r="EH717" s="0" t="inlineStr">
        <is>
          <t>40行 1列，源：nan 备：</t>
        </is>
      </c>
      <c r="ES717" s="0" t="inlineStr">
        <is>
          <t>40行 1列，源：nan 备：</t>
        </is>
      </c>
    </row>
    <row r="718">
      <c r="B718" s="0" t="inlineStr">
        <is>
          <t>NULL</t>
        </is>
      </c>
      <c r="C718" s="0" t="inlineStr">
        <is>
          <t>NULL</t>
        </is>
      </c>
      <c r="D718" s="0" t="inlineStr">
        <is>
          <t>NULL</t>
        </is>
      </c>
      <c r="E718" s="0" t="inlineStr">
        <is>
          <t>NULL</t>
        </is>
      </c>
      <c r="F718" s="0" t="inlineStr">
        <is>
          <t>NULL</t>
        </is>
      </c>
      <c r="G718" s="0" t="inlineStr">
        <is>
          <t>NULL</t>
        </is>
      </c>
      <c r="H718" s="0" t="inlineStr">
        <is>
          <t>NULL</t>
        </is>
      </c>
      <c r="I718" s="0" t="inlineStr">
        <is>
          <t>NULL</t>
        </is>
      </c>
      <c r="J718" s="0" t="inlineStr">
        <is>
          <t>NULL</t>
        </is>
      </c>
      <c r="K718" s="0" t="inlineStr">
        <is>
          <t xml:space="preserve"> NO!  	 c_binary_200列源备映射错误，源端为binary 200位	期望更改为text	实际备端为binary 200位</t>
        </is>
      </c>
      <c r="EH718" s="0" t="inlineStr">
        <is>
          <t>40行 2列，源：nan 备：</t>
        </is>
      </c>
      <c r="ES718" s="0" t="inlineStr">
        <is>
          <t>40行 2列，源：nan 备：</t>
        </is>
      </c>
    </row>
    <row r="719">
      <c r="A719" s="0" t="inlineStr">
        <is>
          <t>info_sdt_dml_single_pk_irp</t>
        </is>
      </c>
      <c r="K719" s="0" t="inlineStr">
        <is>
          <t>[0;34m info_sdt_dml_single_pk_irp [0m源备字段数相同，源端字段：2 	备端字段2</t>
        </is>
      </c>
      <c r="W719" s="2">
        <f>HYPERLINK("#2026041905hbase4!CP2","NO 源备存在差异，共26个")</f>
        <v/>
      </c>
      <c r="X719" s="0">
        <f>A719</f>
        <v/>
      </c>
      <c r="EH719" s="0" t="inlineStr">
        <is>
          <t>40行 3列，源：nan 备：</t>
        </is>
      </c>
      <c r="ES719" s="0" t="inlineStr">
        <is>
          <t>40行 3列，源：nan 备：</t>
        </is>
      </c>
    </row>
    <row r="720">
      <c r="B720" s="0" t="inlineStr">
        <is>
          <t>YES</t>
        </is>
      </c>
      <c r="C720" s="0" t="inlineStr">
        <is>
          <t>NULL</t>
        </is>
      </c>
      <c r="D720" s="0" t="inlineStr">
        <is>
          <t>NULL</t>
        </is>
      </c>
      <c r="E720" s="0" t="inlineStr">
        <is>
          <t>NULL</t>
        </is>
      </c>
      <c r="F720" s="0" t="inlineStr">
        <is>
          <t>NULL</t>
        </is>
      </c>
      <c r="G720" s="0" t="inlineStr">
        <is>
          <t>NULL</t>
        </is>
      </c>
      <c r="H720" s="0" t="inlineStr">
        <is>
          <t>NULL</t>
        </is>
      </c>
      <c r="I720" s="0" t="inlineStr">
        <is>
          <t>YES!PK__info_sdt__3213E83F1AFDD18F</t>
        </is>
      </c>
      <c r="J720" s="0" t="inlineStr">
        <is>
          <t>YES! 主键相关索引</t>
        </is>
      </c>
      <c r="K720" s="0" t="inlineStr">
        <is>
          <t xml:space="preserve"> NO!  	 id列源备映射错误，源端为int None位	期望更改为text	实际备端为int None位</t>
        </is>
      </c>
      <c r="EH720" s="0" t="inlineStr">
        <is>
          <t>40行 4列，源：nan 备：</t>
        </is>
      </c>
      <c r="ES720" s="0" t="inlineStr">
        <is>
          <t>40行 4列，源：nan 备：</t>
        </is>
      </c>
    </row>
    <row r="721">
      <c r="B721" s="0" t="inlineStr">
        <is>
          <t>NULL</t>
        </is>
      </c>
      <c r="C721" s="0" t="inlineStr">
        <is>
          <t>NULL</t>
        </is>
      </c>
      <c r="D721" s="0" t="inlineStr">
        <is>
          <t>NULL</t>
        </is>
      </c>
      <c r="E721" s="0" t="inlineStr">
        <is>
          <t>NULL</t>
        </is>
      </c>
      <c r="F721" s="0" t="inlineStr">
        <is>
          <t>NULL</t>
        </is>
      </c>
      <c r="G721" s="0" t="inlineStr">
        <is>
          <t>NULL</t>
        </is>
      </c>
      <c r="H721" s="0" t="inlineStr">
        <is>
          <t>NULL</t>
        </is>
      </c>
      <c r="I721" s="0" t="inlineStr">
        <is>
          <t>NULL</t>
        </is>
      </c>
      <c r="J721" s="0" t="inlineStr">
        <is>
          <t>NULL</t>
        </is>
      </c>
      <c r="K721" s="0" t="inlineStr">
        <is>
          <t xml:space="preserve"> NO!  	 c_sdt列源备映射错误，源端为smalldatetime None位	期望更改为text	实际备端为smalldatetime None位</t>
        </is>
      </c>
      <c r="EH721" s="0" t="inlineStr">
        <is>
          <t>40行 15列，源：nan 备：</t>
        </is>
      </c>
      <c r="ES721" s="0" t="inlineStr">
        <is>
          <t>40行 15列，源：nan 备：</t>
        </is>
      </c>
    </row>
    <row r="722">
      <c r="A722" s="0" t="inlineStr">
        <is>
          <t>info_varcharmax_dml_batch1_pk_urp1</t>
        </is>
      </c>
      <c r="K722" s="0" t="inlineStr">
        <is>
          <t>[0;34m info_varcharmax_dml_batch1_pk_urp1 [0m源备字段数相同，源端字段：3 	备端字段3</t>
        </is>
      </c>
      <c r="W722" s="0" t="inlineStr">
        <is>
          <t>YES 源备无差异</t>
        </is>
      </c>
      <c r="X722" s="0">
        <f>A722</f>
        <v/>
      </c>
      <c r="EH722" s="0" t="inlineStr">
        <is>
          <t>40行 16列，源：nan 备：</t>
        </is>
      </c>
      <c r="ES722" s="0" t="inlineStr">
        <is>
          <t>40行 16列，源：nan 备：</t>
        </is>
      </c>
    </row>
    <row r="723">
      <c r="B723" s="0" t="inlineStr">
        <is>
          <t>YES</t>
        </is>
      </c>
      <c r="C723" s="0" t="inlineStr">
        <is>
          <t>NULL</t>
        </is>
      </c>
      <c r="D723" s="0" t="inlineStr">
        <is>
          <t>NULL</t>
        </is>
      </c>
      <c r="E723" s="0" t="inlineStr">
        <is>
          <t>NULL</t>
        </is>
      </c>
      <c r="F723" s="0" t="inlineStr">
        <is>
          <t>NULL</t>
        </is>
      </c>
      <c r="G723" s="0" t="inlineStr">
        <is>
          <t>NULL</t>
        </is>
      </c>
      <c r="H723" s="0" t="inlineStr">
        <is>
          <t>NULL</t>
        </is>
      </c>
      <c r="I723" s="0" t="inlineStr">
        <is>
          <t>YES!PK__info_var__3213E83FACC0F1BF</t>
        </is>
      </c>
      <c r="J723" s="0" t="inlineStr">
        <is>
          <t>YES! 主键相关索引</t>
        </is>
      </c>
      <c r="K723" s="0" t="inlineStr">
        <is>
          <t xml:space="preserve"> NO!  	 id列源备映射错误，源端为int None位	期望更改为text	实际备端为int None位</t>
        </is>
      </c>
      <c r="EH723" s="0" t="inlineStr">
        <is>
          <t>40行 17列，源：None 备：</t>
        </is>
      </c>
      <c r="ES723" s="0" t="inlineStr">
        <is>
          <t>40行 17列，源：None 备：</t>
        </is>
      </c>
    </row>
    <row r="724">
      <c r="B724" s="0" t="inlineStr">
        <is>
          <t>NULL</t>
        </is>
      </c>
      <c r="C724" s="0" t="inlineStr">
        <is>
          <t>NULL</t>
        </is>
      </c>
      <c r="D724" s="0" t="inlineStr">
        <is>
          <t>NULL</t>
        </is>
      </c>
      <c r="E724" s="0" t="inlineStr">
        <is>
          <t>NULL</t>
        </is>
      </c>
      <c r="F724" s="0" t="inlineStr">
        <is>
          <t>NULL</t>
        </is>
      </c>
      <c r="G724" s="0" t="inlineStr">
        <is>
          <t>NULL</t>
        </is>
      </c>
      <c r="H724" s="0" t="inlineStr">
        <is>
          <t>NULL</t>
        </is>
      </c>
      <c r="I724" s="0" t="inlineStr">
        <is>
          <t>NULL</t>
        </is>
      </c>
      <c r="J724" s="0" t="inlineStr">
        <is>
          <t>NULL</t>
        </is>
      </c>
      <c r="K724" s="0" t="inlineStr">
        <is>
          <t xml:space="preserve"> NO!  	 c_varchar_max列源备映射错误，源端为varchar -1位	期望更改为text	实际备端为varchar -1位</t>
        </is>
      </c>
      <c r="EH724" s="0" t="inlineStr">
        <is>
          <t>40行 18列，源：None 备：</t>
        </is>
      </c>
      <c r="ES724" s="0" t="inlineStr">
        <is>
          <t>40行 18列，源：None 备：</t>
        </is>
      </c>
    </row>
    <row r="725">
      <c r="B725" s="0" t="inlineStr">
        <is>
          <t>NULL</t>
        </is>
      </c>
      <c r="C725" s="0" t="inlineStr">
        <is>
          <t>NULL</t>
        </is>
      </c>
      <c r="D725" s="0" t="inlineStr">
        <is>
          <t>NULL</t>
        </is>
      </c>
      <c r="E725" s="0" t="inlineStr">
        <is>
          <t>NULL</t>
        </is>
      </c>
      <c r="F725" s="0" t="inlineStr">
        <is>
          <t>NULL</t>
        </is>
      </c>
      <c r="G725" s="0" t="inlineStr">
        <is>
          <t>NULL</t>
        </is>
      </c>
      <c r="H725" s="0" t="inlineStr">
        <is>
          <t>NULL</t>
        </is>
      </c>
      <c r="I725" s="0" t="inlineStr">
        <is>
          <t>NULL</t>
        </is>
      </c>
      <c r="J725" s="0" t="inlineStr">
        <is>
          <t>NULL</t>
        </is>
      </c>
      <c r="K725" s="0" t="inlineStr">
        <is>
          <t xml:space="preserve"> NO!  	 c_nvarchar_max列源备映射错误，源端为nvarchar -1位	期望更改为text	实际备端为nvarchar -1位</t>
        </is>
      </c>
      <c r="EH725" s="0" t="inlineStr">
        <is>
          <t>40行 19列，源：None 备：</t>
        </is>
      </c>
      <c r="ES725" s="0" t="inlineStr">
        <is>
          <t>40行 19列，源：None 备：</t>
        </is>
      </c>
    </row>
    <row r="726">
      <c r="K726" s="0" t="inlineStr">
        <is>
          <t>~ 空表</t>
        </is>
      </c>
      <c r="EH726" s="0" t="inlineStr">
        <is>
          <t>41行 0列，源：102 备：164</t>
        </is>
      </c>
      <c r="ES726" s="0" t="inlineStr">
        <is>
          <t>41行 0列，源：102 备：209</t>
        </is>
      </c>
    </row>
    <row r="727">
      <c r="A727" s="0" t="inlineStr">
        <is>
          <t>info_nchar_dml_batch1_pk_drp1</t>
        </is>
      </c>
      <c r="K727" s="0" t="inlineStr">
        <is>
          <t>[0;34m info_nchar_dml_batch1_pk_drp1 [0m源备字段数相同，源端字段：4 	备端字段4</t>
        </is>
      </c>
      <c r="W727" s="0" t="inlineStr">
        <is>
          <t>YES 源备无差异</t>
        </is>
      </c>
      <c r="X727" s="0">
        <f>A727</f>
        <v/>
      </c>
      <c r="EH727" s="0" t="inlineStr">
        <is>
          <t>41行 1列，源：nan 备：</t>
        </is>
      </c>
      <c r="ES727" s="0" t="inlineStr">
        <is>
          <t>41行 1列，源：nan 备：</t>
        </is>
      </c>
    </row>
    <row r="728">
      <c r="B728" s="0" t="inlineStr">
        <is>
          <t>YES</t>
        </is>
      </c>
      <c r="C728" s="0" t="inlineStr">
        <is>
          <t>NULL</t>
        </is>
      </c>
      <c r="D728" s="0" t="inlineStr">
        <is>
          <t>NULL</t>
        </is>
      </c>
      <c r="E728" s="0" t="inlineStr">
        <is>
          <t>NULL</t>
        </is>
      </c>
      <c r="F728" s="0" t="inlineStr">
        <is>
          <t>NULL</t>
        </is>
      </c>
      <c r="G728" s="0" t="inlineStr">
        <is>
          <t>NULL</t>
        </is>
      </c>
      <c r="H728" s="0" t="inlineStr">
        <is>
          <t>NULL</t>
        </is>
      </c>
      <c r="I728" s="0" t="inlineStr">
        <is>
          <t>YES!PK__info_nch__3213E83F857F4EF2</t>
        </is>
      </c>
      <c r="J728" s="0" t="inlineStr">
        <is>
          <t>YES! 主键相关索引</t>
        </is>
      </c>
      <c r="K728" s="0" t="inlineStr">
        <is>
          <t xml:space="preserve"> NO!  	 id列源备映射错误，源端为int None位	期望更改为text	实际备端为int None位</t>
        </is>
      </c>
      <c r="EH728" s="0" t="inlineStr">
        <is>
          <t>41行 2列，源：nan 备：</t>
        </is>
      </c>
      <c r="ES728" s="0" t="inlineStr">
        <is>
          <t>41行 2列，源：nan 备：</t>
        </is>
      </c>
    </row>
    <row r="729">
      <c r="B729" s="0" t="inlineStr">
        <is>
          <t>NULL</t>
        </is>
      </c>
      <c r="C729" s="0" t="inlineStr">
        <is>
          <t>NULL</t>
        </is>
      </c>
      <c r="D729" s="0" t="inlineStr">
        <is>
          <t>NULL</t>
        </is>
      </c>
      <c r="E729" s="0" t="inlineStr">
        <is>
          <t>NULL</t>
        </is>
      </c>
      <c r="F729" s="0" t="inlineStr">
        <is>
          <t>NULL</t>
        </is>
      </c>
      <c r="G729" s="0" t="inlineStr">
        <is>
          <t>NULL</t>
        </is>
      </c>
      <c r="H729" s="0" t="inlineStr">
        <is>
          <t>NULL</t>
        </is>
      </c>
      <c r="I729" s="0" t="inlineStr">
        <is>
          <t>NULL</t>
        </is>
      </c>
      <c r="J729" s="0" t="inlineStr">
        <is>
          <t>NULL</t>
        </is>
      </c>
      <c r="K729" s="0" t="inlineStr">
        <is>
          <t xml:space="preserve"> NO!  	 c_nchar列源备映射错误，源端为nchar 2位	期望更改为text	实际备端为nchar 2位</t>
        </is>
      </c>
      <c r="EH729" s="0" t="inlineStr">
        <is>
          <t>41行 3列，源：nan 备：</t>
        </is>
      </c>
      <c r="ES729" s="0" t="inlineStr">
        <is>
          <t>41行 3列，源：nan 备：</t>
        </is>
      </c>
    </row>
    <row r="730">
      <c r="B730" s="0" t="inlineStr">
        <is>
          <t>NULL</t>
        </is>
      </c>
      <c r="C730" s="0" t="inlineStr">
        <is>
          <t>NULL</t>
        </is>
      </c>
      <c r="D730" s="0" t="inlineStr">
        <is>
          <t>NULL</t>
        </is>
      </c>
      <c r="E730" s="0" t="inlineStr">
        <is>
          <t>NULL</t>
        </is>
      </c>
      <c r="F730" s="0" t="inlineStr">
        <is>
          <t>NULL</t>
        </is>
      </c>
      <c r="G730" s="0" t="inlineStr">
        <is>
          <t>NULL</t>
        </is>
      </c>
      <c r="H730" s="0" t="inlineStr">
        <is>
          <t>NULL</t>
        </is>
      </c>
      <c r="I730" s="0" t="inlineStr">
        <is>
          <t>NULL</t>
        </is>
      </c>
      <c r="J730" s="0" t="inlineStr">
        <is>
          <t>NULL</t>
        </is>
      </c>
      <c r="K730" s="0" t="inlineStr">
        <is>
          <t xml:space="preserve"> NO!  	 c_nchar20列源备映射错误，源端为nchar 40位	期望更改为text	实际备端为nchar 40位</t>
        </is>
      </c>
      <c r="EH730" s="0" t="inlineStr">
        <is>
          <t>41行 4列，源：nan 备：</t>
        </is>
      </c>
      <c r="ES730" s="0" t="inlineStr">
        <is>
          <t>41行 4列，源：nan 备：</t>
        </is>
      </c>
    </row>
    <row r="731">
      <c r="B731" s="0" t="inlineStr">
        <is>
          <t>NULL</t>
        </is>
      </c>
      <c r="C731" s="0" t="inlineStr">
        <is>
          <t>NULL</t>
        </is>
      </c>
      <c r="D731" s="0" t="inlineStr">
        <is>
          <t>NULL</t>
        </is>
      </c>
      <c r="E731" s="0" t="inlineStr">
        <is>
          <t>NULL</t>
        </is>
      </c>
      <c r="F731" s="0" t="inlineStr">
        <is>
          <t>NULL</t>
        </is>
      </c>
      <c r="G731" s="0" t="inlineStr">
        <is>
          <t>NULL</t>
        </is>
      </c>
      <c r="H731" s="0" t="inlineStr">
        <is>
          <t>NULL</t>
        </is>
      </c>
      <c r="I731" s="0" t="inlineStr">
        <is>
          <t>NULL</t>
        </is>
      </c>
      <c r="J731" s="0" t="inlineStr">
        <is>
          <t>NULL</t>
        </is>
      </c>
      <c r="K731" s="0" t="inlineStr">
        <is>
          <t xml:space="preserve"> NO!  	 c_nchar3500列源备映射错误，源端为nchar 7000位	期望更改为text	实际备端为nchar 7000位</t>
        </is>
      </c>
      <c r="EH731" s="0" t="inlineStr">
        <is>
          <t>41行 15列，源：nan 备：</t>
        </is>
      </c>
      <c r="ES731" s="0" t="inlineStr">
        <is>
          <t>41行 15列，源：nan 备：</t>
        </is>
      </c>
    </row>
    <row r="732">
      <c r="K732" s="0" t="inlineStr">
        <is>
          <t>~ 空表</t>
        </is>
      </c>
      <c r="EH732" s="0" t="inlineStr">
        <is>
          <t>41行 16列，源：nan 备：</t>
        </is>
      </c>
      <c r="ES732" s="0" t="inlineStr">
        <is>
          <t>41行 16列，源：nan 备：</t>
        </is>
      </c>
    </row>
    <row r="733">
      <c r="A733" s="0" t="inlineStr">
        <is>
          <t>info_sdt_dml_single_pk_urp</t>
        </is>
      </c>
      <c r="K733" s="0" t="inlineStr">
        <is>
          <t>[0;34m info_sdt_dml_single_pk_urp [0m源备字段数相同，源端字段：2 	备端字段2</t>
        </is>
      </c>
      <c r="W733" s="0" t="inlineStr">
        <is>
          <t>YES 源备无差异</t>
        </is>
      </c>
      <c r="X733" s="0">
        <f>A733</f>
        <v/>
      </c>
      <c r="EH733" s="0" t="inlineStr">
        <is>
          <t>41行 17列，源：None 备：</t>
        </is>
      </c>
      <c r="ES733" s="0" t="inlineStr">
        <is>
          <t>41行 17列，源：None 备：</t>
        </is>
      </c>
    </row>
    <row r="734">
      <c r="B734" s="0" t="inlineStr">
        <is>
          <t>YES</t>
        </is>
      </c>
      <c r="C734" s="0" t="inlineStr">
        <is>
          <t>NULL</t>
        </is>
      </c>
      <c r="D734" s="0" t="inlineStr">
        <is>
          <t>NULL</t>
        </is>
      </c>
      <c r="E734" s="0" t="inlineStr">
        <is>
          <t>NULL</t>
        </is>
      </c>
      <c r="F734" s="0" t="inlineStr">
        <is>
          <t>NULL</t>
        </is>
      </c>
      <c r="G734" s="0" t="inlineStr">
        <is>
          <t>NULL</t>
        </is>
      </c>
      <c r="H734" s="0" t="inlineStr">
        <is>
          <t>NULL</t>
        </is>
      </c>
      <c r="I734" s="0" t="inlineStr">
        <is>
          <t>YES!PK__info_sdt__3213E83F5F19C7BD</t>
        </is>
      </c>
      <c r="J734" s="0" t="inlineStr">
        <is>
          <t>YES! 主键相关索引</t>
        </is>
      </c>
      <c r="K734" s="0" t="inlineStr">
        <is>
          <t xml:space="preserve"> NO!  	 id列源备映射错误，源端为int None位	期望更改为text	实际备端为int None位</t>
        </is>
      </c>
      <c r="EH734" s="0" t="inlineStr">
        <is>
          <t>41行 18列，源：None 备：</t>
        </is>
      </c>
      <c r="ES734" s="0" t="inlineStr">
        <is>
          <t>41行 18列，源：None 备：</t>
        </is>
      </c>
    </row>
    <row r="735">
      <c r="B735" s="0" t="inlineStr">
        <is>
          <t>NULL</t>
        </is>
      </c>
      <c r="C735" s="0" t="inlineStr">
        <is>
          <t>NULL</t>
        </is>
      </c>
      <c r="D735" s="0" t="inlineStr">
        <is>
          <t>NULL</t>
        </is>
      </c>
      <c r="E735" s="0" t="inlineStr">
        <is>
          <t>NULL</t>
        </is>
      </c>
      <c r="F735" s="0" t="inlineStr">
        <is>
          <t>NULL</t>
        </is>
      </c>
      <c r="G735" s="0" t="inlineStr">
        <is>
          <t>NULL</t>
        </is>
      </c>
      <c r="H735" s="0" t="inlineStr">
        <is>
          <t>NULL</t>
        </is>
      </c>
      <c r="I735" s="0" t="inlineStr">
        <is>
          <t>NULL</t>
        </is>
      </c>
      <c r="J735" s="0" t="inlineStr">
        <is>
          <t>NULL</t>
        </is>
      </c>
      <c r="K735" s="0" t="inlineStr">
        <is>
          <t xml:space="preserve"> NO!  	 c_sdt列源备映射错误，源端为smalldatetime None位	期望更改为text	实际备端为smalldatetime None位</t>
        </is>
      </c>
      <c r="EH735" s="0" t="inlineStr">
        <is>
          <t>41行 19列，源：None 备：</t>
        </is>
      </c>
      <c r="ES735" s="0" t="inlineStr">
        <is>
          <t>41行 19列，源：None 备：</t>
        </is>
      </c>
    </row>
    <row r="736">
      <c r="A736" s="0" t="inlineStr">
        <is>
          <t>info_varcharmax_dml_batch1_pk_urp2</t>
        </is>
      </c>
      <c r="K736" s="0" t="inlineStr">
        <is>
          <t>[0;34m info_varcharmax_dml_batch1_pk_urp2 [0m源备字段数相同，源端字段：3 	备端字段3</t>
        </is>
      </c>
      <c r="W736" s="0" t="inlineStr">
        <is>
          <t>YES 源备无差异</t>
        </is>
      </c>
      <c r="X736" s="0">
        <f>A736</f>
        <v/>
      </c>
      <c r="EH736" s="0" t="inlineStr">
        <is>
          <t>42行 0列，源：103 备：165</t>
        </is>
      </c>
      <c r="ES736" s="0" t="inlineStr">
        <is>
          <t>42行 0列，源：103 备：210</t>
        </is>
      </c>
    </row>
    <row r="737">
      <c r="B737" s="0" t="inlineStr">
        <is>
          <t>YES</t>
        </is>
      </c>
      <c r="C737" s="0" t="inlineStr">
        <is>
          <t>NULL</t>
        </is>
      </c>
      <c r="D737" s="0" t="inlineStr">
        <is>
          <t>NULL</t>
        </is>
      </c>
      <c r="E737" s="0" t="inlineStr">
        <is>
          <t>NULL</t>
        </is>
      </c>
      <c r="F737" s="0" t="inlineStr">
        <is>
          <t>NULL</t>
        </is>
      </c>
      <c r="G737" s="0" t="inlineStr">
        <is>
          <t>NULL</t>
        </is>
      </c>
      <c r="H737" s="0" t="inlineStr">
        <is>
          <t>NULL</t>
        </is>
      </c>
      <c r="I737" s="0" t="inlineStr">
        <is>
          <t>YES!PK__info_var__3213E83FE1B334A2</t>
        </is>
      </c>
      <c r="J737" s="0" t="inlineStr">
        <is>
          <t>YES! 主键相关索引</t>
        </is>
      </c>
      <c r="K737" s="0" t="inlineStr">
        <is>
          <t xml:space="preserve"> NO!  	 id列源备映射错误，源端为int None位	期望更改为text	实际备端为int None位</t>
        </is>
      </c>
      <c r="EH737" s="0" t="inlineStr">
        <is>
          <t>42行 1列，源：nan 备：</t>
        </is>
      </c>
      <c r="ES737" s="0" t="inlineStr">
        <is>
          <t>42行 1列，源：nan 备：</t>
        </is>
      </c>
    </row>
    <row r="738">
      <c r="B738" s="0" t="inlineStr">
        <is>
          <t>NULL</t>
        </is>
      </c>
      <c r="C738" s="0" t="inlineStr">
        <is>
          <t>NULL</t>
        </is>
      </c>
      <c r="D738" s="0" t="inlineStr">
        <is>
          <t>NULL</t>
        </is>
      </c>
      <c r="E738" s="0" t="inlineStr">
        <is>
          <t>NULL</t>
        </is>
      </c>
      <c r="F738" s="0" t="inlineStr">
        <is>
          <t>NULL</t>
        </is>
      </c>
      <c r="G738" s="0" t="inlineStr">
        <is>
          <t>NULL</t>
        </is>
      </c>
      <c r="H738" s="0" t="inlineStr">
        <is>
          <t>NULL</t>
        </is>
      </c>
      <c r="I738" s="0" t="inlineStr">
        <is>
          <t>NULL</t>
        </is>
      </c>
      <c r="J738" s="0" t="inlineStr">
        <is>
          <t>NULL</t>
        </is>
      </c>
      <c r="K738" s="0" t="inlineStr">
        <is>
          <t xml:space="preserve"> NO!  	 c_varchar_max列源备映射错误，源端为varchar -1位	期望更改为text	实际备端为varchar -1位</t>
        </is>
      </c>
      <c r="EH738" s="0" t="inlineStr">
        <is>
          <t>42行 2列，源：nan 备：</t>
        </is>
      </c>
      <c r="ES738" s="0" t="inlineStr">
        <is>
          <t>42行 2列，源：nan 备：</t>
        </is>
      </c>
    </row>
    <row r="739">
      <c r="B739" s="0" t="inlineStr">
        <is>
          <t>NULL</t>
        </is>
      </c>
      <c r="C739" s="0" t="inlineStr">
        <is>
          <t>NULL</t>
        </is>
      </c>
      <c r="D739" s="0" t="inlineStr">
        <is>
          <t>NULL</t>
        </is>
      </c>
      <c r="E739" s="0" t="inlineStr">
        <is>
          <t>NULL</t>
        </is>
      </c>
      <c r="F739" s="0" t="inlineStr">
        <is>
          <t>NULL</t>
        </is>
      </c>
      <c r="G739" s="0" t="inlineStr">
        <is>
          <t>NULL</t>
        </is>
      </c>
      <c r="H739" s="0" t="inlineStr">
        <is>
          <t>NULL</t>
        </is>
      </c>
      <c r="I739" s="0" t="inlineStr">
        <is>
          <t>NULL</t>
        </is>
      </c>
      <c r="J739" s="0" t="inlineStr">
        <is>
          <t>NULL</t>
        </is>
      </c>
      <c r="K739" s="0" t="inlineStr">
        <is>
          <t xml:space="preserve"> NO!  	 c_nvarchar_max列源备映射错误，源端为nvarchar -1位	期望更改为text	实际备端为nvarchar -1位</t>
        </is>
      </c>
      <c r="EH739" s="0" t="inlineStr">
        <is>
          <t>42行 3列，源：nan 备：</t>
        </is>
      </c>
      <c r="ES739" s="0" t="inlineStr">
        <is>
          <t>42行 3列，源：nan 备：</t>
        </is>
      </c>
    </row>
    <row r="740">
      <c r="K740" s="0" t="inlineStr">
        <is>
          <t>~ 空表</t>
        </is>
      </c>
      <c r="EH740" s="0" t="inlineStr">
        <is>
          <t>42行 4列，源：nan 备：</t>
        </is>
      </c>
      <c r="ES740" s="0" t="inlineStr">
        <is>
          <t>42行 4列，源：nan 备：</t>
        </is>
      </c>
    </row>
    <row r="741">
      <c r="A741" s="0" t="inlineStr">
        <is>
          <t>info_sdt_dml_single_pk_drp</t>
        </is>
      </c>
      <c r="K741" s="0" t="inlineStr">
        <is>
          <t>[0;34m info_sdt_dml_single_pk_drp [0m源备字段数相同，源端字段：2 	备端字段2</t>
        </is>
      </c>
      <c r="W741" s="2">
        <f>HYPERLINK("#2026041905hbase4!CQ2","NO 源备存在差异，共12个")</f>
        <v/>
      </c>
      <c r="X741" s="0">
        <f>A741</f>
        <v/>
      </c>
      <c r="EH741" s="0" t="inlineStr">
        <is>
          <t>42行 5列，源：None 备：</t>
        </is>
      </c>
      <c r="ES741" s="0" t="inlineStr">
        <is>
          <t>42行 5列，源：None 备：</t>
        </is>
      </c>
    </row>
    <row r="742">
      <c r="B742" s="0" t="inlineStr">
        <is>
          <t>YES</t>
        </is>
      </c>
      <c r="C742" s="0" t="inlineStr">
        <is>
          <t>NULL</t>
        </is>
      </c>
      <c r="D742" s="0" t="inlineStr">
        <is>
          <t>NULL</t>
        </is>
      </c>
      <c r="E742" s="0" t="inlineStr">
        <is>
          <t>NULL</t>
        </is>
      </c>
      <c r="F742" s="0" t="inlineStr">
        <is>
          <t>NULL</t>
        </is>
      </c>
      <c r="G742" s="0" t="inlineStr">
        <is>
          <t>NULL</t>
        </is>
      </c>
      <c r="H742" s="0" t="inlineStr">
        <is>
          <t>NULL</t>
        </is>
      </c>
      <c r="I742" s="0" t="inlineStr">
        <is>
          <t>YES!PK__info_sdt__3213E83FA9CA8008</t>
        </is>
      </c>
      <c r="J742" s="0" t="inlineStr">
        <is>
          <t>YES! 主键相关索引</t>
        </is>
      </c>
      <c r="K742" s="0" t="inlineStr">
        <is>
          <t xml:space="preserve"> NO!  	 id列源备映射错误，源端为int None位	期望更改为text	实际备端为int None位</t>
        </is>
      </c>
      <c r="EH742" s="0" t="inlineStr">
        <is>
          <t>42行 6列，源：None 备：</t>
        </is>
      </c>
      <c r="ES742" s="0" t="inlineStr">
        <is>
          <t>42行 6列，源：None 备：</t>
        </is>
      </c>
    </row>
    <row r="743">
      <c r="B743" s="0" t="inlineStr">
        <is>
          <t>NULL</t>
        </is>
      </c>
      <c r="C743" s="0" t="inlineStr">
        <is>
          <t>NULL</t>
        </is>
      </c>
      <c r="D743" s="0" t="inlineStr">
        <is>
          <t>NULL</t>
        </is>
      </c>
      <c r="E743" s="0" t="inlineStr">
        <is>
          <t>NULL</t>
        </is>
      </c>
      <c r="F743" s="0" t="inlineStr">
        <is>
          <t>NULL</t>
        </is>
      </c>
      <c r="G743" s="0" t="inlineStr">
        <is>
          <t>NULL</t>
        </is>
      </c>
      <c r="H743" s="0" t="inlineStr">
        <is>
          <t>NULL</t>
        </is>
      </c>
      <c r="I743" s="0" t="inlineStr">
        <is>
          <t>NULL</t>
        </is>
      </c>
      <c r="J743" s="0" t="inlineStr">
        <is>
          <t>NULL</t>
        </is>
      </c>
      <c r="K743" s="0" t="inlineStr">
        <is>
          <t xml:space="preserve"> NO!  	 c_sdt列源备映射错误，源端为smalldatetime None位	期望更改为text	实际备端为smalldatetime None位</t>
        </is>
      </c>
      <c r="EH743" s="0" t="inlineStr">
        <is>
          <t>42行 7列，源：None 备：</t>
        </is>
      </c>
      <c r="ES743" s="0" t="inlineStr">
        <is>
          <t>42行 7列，源：None 备：</t>
        </is>
      </c>
    </row>
    <row r="744">
      <c r="A744" s="0" t="inlineStr">
        <is>
          <t>info_varcharmax_dml_single_pk_irp</t>
        </is>
      </c>
      <c r="K744" s="0" t="inlineStr">
        <is>
          <t>[0;34m info_varcharmax_dml_single_pk_irp [0m源备字段数相同，源端字段：3 	备端字段3</t>
        </is>
      </c>
      <c r="W744" s="2">
        <f>HYPERLINK("#2026041905hbase4!CR2","NO 源备存在差异，共2个")</f>
        <v/>
      </c>
      <c r="X744" s="0">
        <f>A744</f>
        <v/>
      </c>
      <c r="EH744" s="0" t="inlineStr">
        <is>
          <t>42行 8列，源：None 备：</t>
        </is>
      </c>
      <c r="ES744" s="0" t="inlineStr">
        <is>
          <t>42行 8列，源：None 备：</t>
        </is>
      </c>
    </row>
    <row r="745">
      <c r="B745" s="0" t="inlineStr">
        <is>
          <t>YES</t>
        </is>
      </c>
      <c r="C745" s="0" t="inlineStr">
        <is>
          <t>NULL</t>
        </is>
      </c>
      <c r="D745" s="0" t="inlineStr">
        <is>
          <t>NULL</t>
        </is>
      </c>
      <c r="E745" s="0" t="inlineStr">
        <is>
          <t>NULL</t>
        </is>
      </c>
      <c r="F745" s="0" t="inlineStr">
        <is>
          <t>NULL</t>
        </is>
      </c>
      <c r="G745" s="0" t="inlineStr">
        <is>
          <t>NULL</t>
        </is>
      </c>
      <c r="H745" s="0" t="inlineStr">
        <is>
          <t>NULL</t>
        </is>
      </c>
      <c r="I745" s="0" t="inlineStr">
        <is>
          <t>YES!PK__info_var__3213E83FFCACF649</t>
        </is>
      </c>
      <c r="J745" s="0" t="inlineStr">
        <is>
          <t>YES! 主键相关索引</t>
        </is>
      </c>
      <c r="K745" s="0" t="inlineStr">
        <is>
          <t xml:space="preserve"> NO!  	 id列源备映射错误，源端为int None位	期望更改为text	实际备端为int None位</t>
        </is>
      </c>
      <c r="EH745" s="0" t="inlineStr">
        <is>
          <t>42行 9列，源：None 备：</t>
        </is>
      </c>
      <c r="ES745" s="0" t="inlineStr">
        <is>
          <t>42行 9列，源：None 备：</t>
        </is>
      </c>
    </row>
    <row r="746">
      <c r="B746" s="0" t="inlineStr">
        <is>
          <t>NULL</t>
        </is>
      </c>
      <c r="C746" s="0" t="inlineStr">
        <is>
          <t>NULL</t>
        </is>
      </c>
      <c r="D746" s="0" t="inlineStr">
        <is>
          <t>NULL</t>
        </is>
      </c>
      <c r="E746" s="0" t="inlineStr">
        <is>
          <t>NULL</t>
        </is>
      </c>
      <c r="F746" s="0" t="inlineStr">
        <is>
          <t>NULL</t>
        </is>
      </c>
      <c r="G746" s="0" t="inlineStr">
        <is>
          <t>NULL</t>
        </is>
      </c>
      <c r="H746" s="0" t="inlineStr">
        <is>
          <t>NULL</t>
        </is>
      </c>
      <c r="I746" s="0" t="inlineStr">
        <is>
          <t>NULL</t>
        </is>
      </c>
      <c r="J746" s="0" t="inlineStr">
        <is>
          <t>NULL</t>
        </is>
      </c>
      <c r="K746" s="0" t="inlineStr">
        <is>
          <t xml:space="preserve"> NO!  	 c_varchar_max列源备映射错误，源端为varchar -1位	期望更改为text	实际备端为varchar -1位</t>
        </is>
      </c>
      <c r="EH746" s="0" t="inlineStr">
        <is>
          <t>42行 10列，源：None 备：</t>
        </is>
      </c>
      <c r="ES746" s="0" t="inlineStr">
        <is>
          <t>42行 10列，源：None 备：</t>
        </is>
      </c>
    </row>
    <row r="747">
      <c r="B747" s="0" t="inlineStr">
        <is>
          <t>NULL</t>
        </is>
      </c>
      <c r="C747" s="0" t="inlineStr">
        <is>
          <t>NULL</t>
        </is>
      </c>
      <c r="D747" s="0" t="inlineStr">
        <is>
          <t>NULL</t>
        </is>
      </c>
      <c r="E747" s="0" t="inlineStr">
        <is>
          <t>NULL</t>
        </is>
      </c>
      <c r="F747" s="0" t="inlineStr">
        <is>
          <t>NULL</t>
        </is>
      </c>
      <c r="G747" s="0" t="inlineStr">
        <is>
          <t>NULL</t>
        </is>
      </c>
      <c r="H747" s="0" t="inlineStr">
        <is>
          <t>NULL</t>
        </is>
      </c>
      <c r="I747" s="0" t="inlineStr">
        <is>
          <t>NULL</t>
        </is>
      </c>
      <c r="J747" s="0" t="inlineStr">
        <is>
          <t>NULL</t>
        </is>
      </c>
      <c r="K747" s="0" t="inlineStr">
        <is>
          <t xml:space="preserve"> NO!  	 c_nvarchar_max列源备映射错误，源端为nvarchar -1位	期望更改为text	实际备端为nvarchar -1位</t>
        </is>
      </c>
      <c r="EH747" s="0" t="inlineStr">
        <is>
          <t>42行 11列，源：None 备：</t>
        </is>
      </c>
      <c r="ES747" s="0" t="inlineStr">
        <is>
          <t>42行 11列，源：None 备：</t>
        </is>
      </c>
    </row>
    <row r="748">
      <c r="A748" s="0" t="inlineStr">
        <is>
          <t>info_char_dml_batch1_pk_drp2</t>
        </is>
      </c>
      <c r="K748" s="0" t="inlineStr">
        <is>
          <t>[0;34m info_char_dml_batch1_pk_drp2 [0m源备字段数相同，源端字段：4 	备端字段4</t>
        </is>
      </c>
      <c r="W748" s="2">
        <f>HYPERLINK("#2026041905hbase4!CS2","NO 源备存在差异，共4个")</f>
        <v/>
      </c>
      <c r="X748" s="0">
        <f>A748</f>
        <v/>
      </c>
      <c r="EH748" s="0" t="inlineStr">
        <is>
          <t>42行 12列，源：None 备：</t>
        </is>
      </c>
      <c r="ES748" s="0" t="inlineStr">
        <is>
          <t>42行 12列，源：None 备：</t>
        </is>
      </c>
    </row>
    <row r="749">
      <c r="B749" s="0" t="inlineStr">
        <is>
          <t>YES</t>
        </is>
      </c>
      <c r="C749" s="0" t="inlineStr">
        <is>
          <t>NULL</t>
        </is>
      </c>
      <c r="D749" s="0" t="inlineStr">
        <is>
          <t>NULL</t>
        </is>
      </c>
      <c r="E749" s="0" t="inlineStr">
        <is>
          <t>NULL</t>
        </is>
      </c>
      <c r="F749" s="0" t="inlineStr">
        <is>
          <t>NULL</t>
        </is>
      </c>
      <c r="G749" s="0" t="inlineStr">
        <is>
          <t>NULL</t>
        </is>
      </c>
      <c r="H749" s="0" t="inlineStr">
        <is>
          <t>NULL</t>
        </is>
      </c>
      <c r="I749" s="0" t="inlineStr">
        <is>
          <t>YES!PK__info_cha__3213E83F191B3139</t>
        </is>
      </c>
      <c r="J749" s="0" t="inlineStr">
        <is>
          <t>YES! 主键相关索引</t>
        </is>
      </c>
      <c r="K749" s="0" t="inlineStr">
        <is>
          <t xml:space="preserve"> NO!  	 id列源备映射错误，源端为int None位	期望更改为text	实际备端为int None位</t>
        </is>
      </c>
      <c r="EH749" s="0" t="inlineStr">
        <is>
          <t>42行 13列，源：None 备：</t>
        </is>
      </c>
      <c r="ES749" s="0" t="inlineStr">
        <is>
          <t>42行 13列，源：None 备：</t>
        </is>
      </c>
    </row>
    <row r="750">
      <c r="B750" s="0" t="inlineStr">
        <is>
          <t>NULL</t>
        </is>
      </c>
      <c r="C750" s="0" t="inlineStr">
        <is>
          <t>NULL</t>
        </is>
      </c>
      <c r="D750" s="0" t="inlineStr">
        <is>
          <t>NULL</t>
        </is>
      </c>
      <c r="E750" s="0" t="inlineStr">
        <is>
          <t>NULL</t>
        </is>
      </c>
      <c r="F750" s="0" t="inlineStr">
        <is>
          <t>NULL</t>
        </is>
      </c>
      <c r="G750" s="0" t="inlineStr">
        <is>
          <t>NULL</t>
        </is>
      </c>
      <c r="H750" s="0" t="inlineStr">
        <is>
          <t>NULL</t>
        </is>
      </c>
      <c r="I750" s="0" t="inlineStr">
        <is>
          <t>NULL</t>
        </is>
      </c>
      <c r="J750" s="0" t="inlineStr">
        <is>
          <t>NULL</t>
        </is>
      </c>
      <c r="K750" s="0" t="inlineStr">
        <is>
          <t xml:space="preserve"> NO!  	 c_char列源备映射错误，源端为char 1位	期望更改为text	实际备端为char 1位</t>
        </is>
      </c>
      <c r="EH750" s="0" t="inlineStr">
        <is>
          <t>42行 14列，源：None 备：</t>
        </is>
      </c>
      <c r="ES750" s="0" t="inlineStr">
        <is>
          <t>42行 14列，源：None 备：</t>
        </is>
      </c>
    </row>
    <row r="751">
      <c r="B751" s="0" t="inlineStr">
        <is>
          <t>NULL</t>
        </is>
      </c>
      <c r="C751" s="0" t="inlineStr">
        <is>
          <t>NULL</t>
        </is>
      </c>
      <c r="D751" s="0" t="inlineStr">
        <is>
          <t>NULL</t>
        </is>
      </c>
      <c r="E751" s="0" t="inlineStr">
        <is>
          <t>NULL</t>
        </is>
      </c>
      <c r="F751" s="0" t="inlineStr">
        <is>
          <t>NULL</t>
        </is>
      </c>
      <c r="G751" s="0" t="inlineStr">
        <is>
          <t>NULL</t>
        </is>
      </c>
      <c r="H751" s="0" t="inlineStr">
        <is>
          <t>NULL</t>
        </is>
      </c>
      <c r="I751" s="0" t="inlineStr">
        <is>
          <t>NULL</t>
        </is>
      </c>
      <c r="J751" s="0" t="inlineStr">
        <is>
          <t>NULL</t>
        </is>
      </c>
      <c r="K751" s="0" t="inlineStr">
        <is>
          <t xml:space="preserve"> NO!  	 c_char20列源备映射错误，源端为char 20位	期望更改为text	实际备端为char 20位</t>
        </is>
      </c>
      <c r="EH751" s="0" t="inlineStr">
        <is>
          <t>42行 15列，源：nan 备：</t>
        </is>
      </c>
      <c r="ES751" s="0" t="inlineStr">
        <is>
          <t>42行 15列，源：nan 备：</t>
        </is>
      </c>
    </row>
    <row r="752">
      <c r="B752" s="0" t="inlineStr">
        <is>
          <t>NULL</t>
        </is>
      </c>
      <c r="C752" s="0" t="inlineStr">
        <is>
          <t>NULL</t>
        </is>
      </c>
      <c r="D752" s="0" t="inlineStr">
        <is>
          <t>NULL</t>
        </is>
      </c>
      <c r="E752" s="0" t="inlineStr">
        <is>
          <t>NULL</t>
        </is>
      </c>
      <c r="F752" s="0" t="inlineStr">
        <is>
          <t>NULL</t>
        </is>
      </c>
      <c r="G752" s="0" t="inlineStr">
        <is>
          <t>NULL</t>
        </is>
      </c>
      <c r="H752" s="0" t="inlineStr">
        <is>
          <t>NULL</t>
        </is>
      </c>
      <c r="I752" s="0" t="inlineStr">
        <is>
          <t>NULL</t>
        </is>
      </c>
      <c r="J752" s="0" t="inlineStr">
        <is>
          <t>NULL</t>
        </is>
      </c>
      <c r="K752" s="0" t="inlineStr">
        <is>
          <t xml:space="preserve"> NO!  	 c_char7000列源备映射错误，源端为char 7000位	期望更改为text	实际备端为char 7000位</t>
        </is>
      </c>
      <c r="EH752" s="0" t="inlineStr">
        <is>
          <t>42行 16列，源：nan 备：</t>
        </is>
      </c>
      <c r="ES752" s="0" t="inlineStr">
        <is>
          <t>42行 16列，源：nan 备：</t>
        </is>
      </c>
    </row>
    <row r="753">
      <c r="A753" s="0" t="inlineStr">
        <is>
          <t>info_int_dml_single_pk_urp</t>
        </is>
      </c>
      <c r="K753" s="0" t="inlineStr">
        <is>
          <t>[0;34m info_int_dml_single_pk_urp [0m源备字段数相同，源端字段：20 	备端字段20</t>
        </is>
      </c>
      <c r="W753" s="2">
        <f>HYPERLINK("#2026041905hbase4!CT2","NO 源备存在差异，共40个")</f>
        <v/>
      </c>
      <c r="X753" s="0">
        <f>A753</f>
        <v/>
      </c>
      <c r="EH753" s="0" t="inlineStr">
        <is>
          <t>42行 17列，源：None 备：</t>
        </is>
      </c>
      <c r="ES753" s="0" t="inlineStr">
        <is>
          <t>42行 17列，源：None 备：</t>
        </is>
      </c>
    </row>
    <row r="754">
      <c r="B754" s="0" t="inlineStr">
        <is>
          <t>YES</t>
        </is>
      </c>
      <c r="C754" s="0" t="inlineStr">
        <is>
          <t>NULL</t>
        </is>
      </c>
      <c r="D754" s="0" t="inlineStr">
        <is>
          <t>NULL</t>
        </is>
      </c>
      <c r="E754" s="0" t="inlineStr">
        <is>
          <t>NULL</t>
        </is>
      </c>
      <c r="F754" s="0" t="inlineStr">
        <is>
          <t>NULL</t>
        </is>
      </c>
      <c r="G754" s="0" t="inlineStr">
        <is>
          <t>NULL</t>
        </is>
      </c>
      <c r="H754" s="0" t="inlineStr">
        <is>
          <t>NULL</t>
        </is>
      </c>
      <c r="I754" s="0" t="inlineStr">
        <is>
          <t>YES!PK__info_int__3213E83F126475C2</t>
        </is>
      </c>
      <c r="J754" s="0" t="inlineStr">
        <is>
          <t>YES! 主键相关索引</t>
        </is>
      </c>
      <c r="K754" s="0" t="inlineStr">
        <is>
          <t xml:space="preserve"> NO!  	 id列源备映射错误，源端为int None位	期望更改为text	实际备端为int None位</t>
        </is>
      </c>
      <c r="EH754" s="0" t="inlineStr">
        <is>
          <t>42行 18列，源：None 备：</t>
        </is>
      </c>
      <c r="ES754" s="0" t="inlineStr">
        <is>
          <t>42行 18列，源：None 备：</t>
        </is>
      </c>
    </row>
    <row r="755">
      <c r="B755" s="0" t="inlineStr">
        <is>
          <t>NULL</t>
        </is>
      </c>
      <c r="C755" s="0" t="inlineStr">
        <is>
          <t>NULL</t>
        </is>
      </c>
      <c r="D755" s="0" t="inlineStr">
        <is>
          <t>NULL</t>
        </is>
      </c>
      <c r="E755" s="0" t="inlineStr">
        <is>
          <t>NULL</t>
        </is>
      </c>
      <c r="F755" s="0" t="inlineStr">
        <is>
          <t>NULL</t>
        </is>
      </c>
      <c r="G755" s="0" t="inlineStr">
        <is>
          <t>NULL</t>
        </is>
      </c>
      <c r="H755" s="0" t="inlineStr">
        <is>
          <t>NULL</t>
        </is>
      </c>
      <c r="I755" s="0" t="inlineStr">
        <is>
          <t>NULL</t>
        </is>
      </c>
      <c r="J755" s="0" t="inlineStr">
        <is>
          <t>NULL</t>
        </is>
      </c>
      <c r="K755" s="0" t="inlineStr">
        <is>
          <t xml:space="preserve"> NO!  	 c_tinyint列源备映射错误，源端为tinyint None位	期望更改为text	实际备端为tinyint None位</t>
        </is>
      </c>
      <c r="EH755" s="0" t="inlineStr">
        <is>
          <t>42行 19列，源：None 备：</t>
        </is>
      </c>
      <c r="ES755" s="0" t="inlineStr">
        <is>
          <t>42行 19列，源：None 备：</t>
        </is>
      </c>
    </row>
    <row r="756">
      <c r="B756" s="0" t="inlineStr">
        <is>
          <t>NULL</t>
        </is>
      </c>
      <c r="C756" s="0" t="inlineStr">
        <is>
          <t>NULL</t>
        </is>
      </c>
      <c r="D756" s="0" t="inlineStr">
        <is>
          <t>NULL</t>
        </is>
      </c>
      <c r="E756" s="0" t="inlineStr">
        <is>
          <t>NULL</t>
        </is>
      </c>
      <c r="F756" s="0" t="inlineStr">
        <is>
          <t>NULL</t>
        </is>
      </c>
      <c r="G756" s="0" t="inlineStr">
        <is>
          <t>NULL</t>
        </is>
      </c>
      <c r="H756" s="0" t="inlineStr">
        <is>
          <t>NULL</t>
        </is>
      </c>
      <c r="I756" s="0" t="inlineStr">
        <is>
          <t>NULL</t>
        </is>
      </c>
      <c r="J756" s="0" t="inlineStr">
        <is>
          <t>NULL</t>
        </is>
      </c>
      <c r="K756" s="0" t="inlineStr">
        <is>
          <t xml:space="preserve"> NO!  	 c_smallint列源备映射错误，源端为smallint None位	期望更改为text	实际备端为smallint None位</t>
        </is>
      </c>
      <c r="EH756" s="0" t="inlineStr">
        <is>
          <t>43行 0列，源：104 备：166</t>
        </is>
      </c>
      <c r="ES756" s="0" t="inlineStr">
        <is>
          <t>43行 0列，源：104 备：211</t>
        </is>
      </c>
    </row>
    <row r="757">
      <c r="B757" s="0" t="inlineStr">
        <is>
          <t>NULL</t>
        </is>
      </c>
      <c r="C757" s="0" t="inlineStr">
        <is>
          <t>NULL</t>
        </is>
      </c>
      <c r="D757" s="0" t="inlineStr">
        <is>
          <t>NULL</t>
        </is>
      </c>
      <c r="E757" s="0" t="inlineStr">
        <is>
          <t>NULL</t>
        </is>
      </c>
      <c r="F757" s="0" t="inlineStr">
        <is>
          <t>NULL</t>
        </is>
      </c>
      <c r="G757" s="0" t="inlineStr">
        <is>
          <t>NULL</t>
        </is>
      </c>
      <c r="H757" s="0" t="inlineStr">
        <is>
          <t>NULL</t>
        </is>
      </c>
      <c r="I757" s="0" t="inlineStr">
        <is>
          <t>NULL</t>
        </is>
      </c>
      <c r="J757" s="0" t="inlineStr">
        <is>
          <t>NULL</t>
        </is>
      </c>
      <c r="K757" s="0" t="inlineStr">
        <is>
          <t xml:space="preserve"> NO!  	 c_int列源备映射错误，源端为int None位	期望更改为text	实际备端为int None位</t>
        </is>
      </c>
      <c r="EH757" s="0" t="inlineStr">
        <is>
          <t>43行 1列，源：nan 备：</t>
        </is>
      </c>
      <c r="ES757" s="0" t="inlineStr">
        <is>
          <t>43行 1列，源：nan 备：</t>
        </is>
      </c>
    </row>
    <row r="758">
      <c r="B758" s="0" t="inlineStr">
        <is>
          <t>NULL</t>
        </is>
      </c>
      <c r="C758" s="0" t="inlineStr">
        <is>
          <t>NULL</t>
        </is>
      </c>
      <c r="D758" s="0" t="inlineStr">
        <is>
          <t>NULL</t>
        </is>
      </c>
      <c r="E758" s="0" t="inlineStr">
        <is>
          <t>NULL</t>
        </is>
      </c>
      <c r="F758" s="0" t="inlineStr">
        <is>
          <t>NULL</t>
        </is>
      </c>
      <c r="G758" s="0" t="inlineStr">
        <is>
          <t>NULL</t>
        </is>
      </c>
      <c r="H758" s="0" t="inlineStr">
        <is>
          <t>NULL</t>
        </is>
      </c>
      <c r="I758" s="0" t="inlineStr">
        <is>
          <t>NULL</t>
        </is>
      </c>
      <c r="J758" s="0" t="inlineStr">
        <is>
          <t>NULL</t>
        </is>
      </c>
      <c r="K758" s="0" t="inlineStr">
        <is>
          <t xml:space="preserve"> NO!  	 c_bigint列源备映射错误，源端为bigint None位	期望更改为text	实际备端为bigint None位</t>
        </is>
      </c>
      <c r="EH758" s="0" t="inlineStr">
        <is>
          <t>43行 2列，源：nan 备：</t>
        </is>
      </c>
      <c r="ES758" s="0" t="inlineStr">
        <is>
          <t>43行 2列，源：nan 备：</t>
        </is>
      </c>
    </row>
    <row r="759">
      <c r="B759" s="0" t="inlineStr">
        <is>
          <t>NULL</t>
        </is>
      </c>
      <c r="C759" s="0" t="inlineStr">
        <is>
          <t>NULL</t>
        </is>
      </c>
      <c r="D759" s="0" t="inlineStr">
        <is>
          <t>NULL</t>
        </is>
      </c>
      <c r="E759" s="0" t="inlineStr">
        <is>
          <t>NULL</t>
        </is>
      </c>
      <c r="F759" s="0" t="inlineStr">
        <is>
          <t>NULL</t>
        </is>
      </c>
      <c r="G759" s="0" t="inlineStr">
        <is>
          <t>NULL</t>
        </is>
      </c>
      <c r="H759" s="0" t="inlineStr">
        <is>
          <t>NULL</t>
        </is>
      </c>
      <c r="I759" s="0" t="inlineStr">
        <is>
          <t>NULL</t>
        </is>
      </c>
      <c r="J759" s="0" t="inlineStr">
        <is>
          <t>NULL</t>
        </is>
      </c>
      <c r="K759" s="0" t="inlineStr">
        <is>
          <t xml:space="preserve"> NO!  	 c_decimal列源备映射错误，源端为decimal None位	期望更改为text	实际备端为decimal None位</t>
        </is>
      </c>
      <c r="EH759" s="0" t="inlineStr">
        <is>
          <t>43行 3列，源：nan 备：</t>
        </is>
      </c>
      <c r="ES759" s="0" t="inlineStr">
        <is>
          <t>43行 3列，源：nan 备：</t>
        </is>
      </c>
    </row>
    <row r="760">
      <c r="B760" s="0" t="inlineStr">
        <is>
          <t>NULL</t>
        </is>
      </c>
      <c r="C760" s="0" t="inlineStr">
        <is>
          <t>NULL</t>
        </is>
      </c>
      <c r="D760" s="0" t="inlineStr">
        <is>
          <t>NULL</t>
        </is>
      </c>
      <c r="E760" s="0" t="inlineStr">
        <is>
          <t>NULL</t>
        </is>
      </c>
      <c r="F760" s="0" t="inlineStr">
        <is>
          <t>NULL</t>
        </is>
      </c>
      <c r="G760" s="0" t="inlineStr">
        <is>
          <t>NULL</t>
        </is>
      </c>
      <c r="H760" s="0" t="inlineStr">
        <is>
          <t>NULL</t>
        </is>
      </c>
      <c r="I760" s="0" t="inlineStr">
        <is>
          <t>NULL</t>
        </is>
      </c>
      <c r="J760" s="0" t="inlineStr">
        <is>
          <t>NULL</t>
        </is>
      </c>
      <c r="K760" s="0" t="inlineStr">
        <is>
          <t xml:space="preserve"> NO!  	 c_decimal38列源备映射错误，源端为decimal None位	期望更改为text	实际备端为decimal None位</t>
        </is>
      </c>
      <c r="EH760" s="0" t="inlineStr">
        <is>
          <t>43行 4列，源：nan 备：</t>
        </is>
      </c>
      <c r="ES760" s="0" t="inlineStr">
        <is>
          <t>43行 4列，源：nan 备：</t>
        </is>
      </c>
    </row>
    <row r="761">
      <c r="B761" s="0" t="inlineStr">
        <is>
          <t>NULL</t>
        </is>
      </c>
      <c r="C761" s="0" t="inlineStr">
        <is>
          <t>NULL</t>
        </is>
      </c>
      <c r="D761" s="0" t="inlineStr">
        <is>
          <t>NULL</t>
        </is>
      </c>
      <c r="E761" s="0" t="inlineStr">
        <is>
          <t>NULL</t>
        </is>
      </c>
      <c r="F761" s="0" t="inlineStr">
        <is>
          <t>NULL</t>
        </is>
      </c>
      <c r="G761" s="0" t="inlineStr">
        <is>
          <t>NULL</t>
        </is>
      </c>
      <c r="H761" s="0" t="inlineStr">
        <is>
          <t>NULL</t>
        </is>
      </c>
      <c r="I761" s="0" t="inlineStr">
        <is>
          <t>NULL</t>
        </is>
      </c>
      <c r="J761" s="0" t="inlineStr">
        <is>
          <t>NULL</t>
        </is>
      </c>
      <c r="K761" s="0" t="inlineStr">
        <is>
          <t xml:space="preserve"> NO!  	 c_decimal38_38列源备映射错误，源端为decimal None位	期望更改为text	实际备端为decimal None位</t>
        </is>
      </c>
      <c r="EH761" s="0" t="inlineStr">
        <is>
          <t>43行 15列，源：nan 备：</t>
        </is>
      </c>
      <c r="ES761" s="0" t="inlineStr">
        <is>
          <t>43行 15列，源：nan 备：</t>
        </is>
      </c>
    </row>
    <row r="762">
      <c r="B762" s="0" t="inlineStr">
        <is>
          <t>NULL</t>
        </is>
      </c>
      <c r="C762" s="0" t="inlineStr">
        <is>
          <t>NULL</t>
        </is>
      </c>
      <c r="D762" s="0" t="inlineStr">
        <is>
          <t>NULL</t>
        </is>
      </c>
      <c r="E762" s="0" t="inlineStr">
        <is>
          <t>NULL</t>
        </is>
      </c>
      <c r="F762" s="0" t="inlineStr">
        <is>
          <t>NULL</t>
        </is>
      </c>
      <c r="G762" s="0" t="inlineStr">
        <is>
          <t>NULL</t>
        </is>
      </c>
      <c r="H762" s="0" t="inlineStr">
        <is>
          <t>NULL</t>
        </is>
      </c>
      <c r="I762" s="0" t="inlineStr">
        <is>
          <t>NULL</t>
        </is>
      </c>
      <c r="J762" s="0" t="inlineStr">
        <is>
          <t>NULL</t>
        </is>
      </c>
      <c r="K762" s="0" t="inlineStr">
        <is>
          <t xml:space="preserve"> NO!  	 c_decimal38_10列源备映射错误，源端为decimal None位	期望更改为text	实际备端为decimal None位</t>
        </is>
      </c>
      <c r="EH762" s="0" t="inlineStr">
        <is>
          <t>43行 16列，源：nan 备：</t>
        </is>
      </c>
      <c r="ES762" s="0" t="inlineStr">
        <is>
          <t>43行 16列，源：nan 备：</t>
        </is>
      </c>
    </row>
    <row r="763">
      <c r="B763" s="0" t="inlineStr">
        <is>
          <t>NULL</t>
        </is>
      </c>
      <c r="C763" s="0" t="inlineStr">
        <is>
          <t>NULL</t>
        </is>
      </c>
      <c r="D763" s="0" t="inlineStr">
        <is>
          <t>NULL</t>
        </is>
      </c>
      <c r="E763" s="0" t="inlineStr">
        <is>
          <t>NULL</t>
        </is>
      </c>
      <c r="F763" s="0" t="inlineStr">
        <is>
          <t>NULL</t>
        </is>
      </c>
      <c r="G763" s="0" t="inlineStr">
        <is>
          <t>NULL</t>
        </is>
      </c>
      <c r="H763" s="0" t="inlineStr">
        <is>
          <t>NULL</t>
        </is>
      </c>
      <c r="I763" s="0" t="inlineStr">
        <is>
          <t>NULL</t>
        </is>
      </c>
      <c r="J763" s="0" t="inlineStr">
        <is>
          <t>NULL</t>
        </is>
      </c>
      <c r="K763" s="0" t="inlineStr">
        <is>
          <t xml:space="preserve"> NO!  	 c_decimal19_4列源备映射错误，源端为decimal None位	期望更改为text	实际备端为decimal None位</t>
        </is>
      </c>
      <c r="EH763" s="0" t="inlineStr">
        <is>
          <t>43行 17列，源：None 备：</t>
        </is>
      </c>
      <c r="ES763" s="0" t="inlineStr">
        <is>
          <t>43行 17列，源：None 备：</t>
        </is>
      </c>
    </row>
    <row r="764">
      <c r="B764" s="0" t="inlineStr">
        <is>
          <t>NULL</t>
        </is>
      </c>
      <c r="C764" s="0" t="inlineStr">
        <is>
          <t>NULL</t>
        </is>
      </c>
      <c r="D764" s="0" t="inlineStr">
        <is>
          <t>NULL</t>
        </is>
      </c>
      <c r="E764" s="0" t="inlineStr">
        <is>
          <t>NULL</t>
        </is>
      </c>
      <c r="F764" s="0" t="inlineStr">
        <is>
          <t>NULL</t>
        </is>
      </c>
      <c r="G764" s="0" t="inlineStr">
        <is>
          <t>NULL</t>
        </is>
      </c>
      <c r="H764" s="0" t="inlineStr">
        <is>
          <t>NULL</t>
        </is>
      </c>
      <c r="I764" s="0" t="inlineStr">
        <is>
          <t>NULL</t>
        </is>
      </c>
      <c r="J764" s="0" t="inlineStr">
        <is>
          <t>NULL</t>
        </is>
      </c>
      <c r="K764" s="0" t="inlineStr">
        <is>
          <t xml:space="preserve"> NO!  	 c_numeric列源备映射错误，源端为numeric None位	期望更改为text	实际备端为numeric None位</t>
        </is>
      </c>
      <c r="EH764" s="0" t="inlineStr">
        <is>
          <t>43行 18列，源：None 备：</t>
        </is>
      </c>
      <c r="ES764" s="0" t="inlineStr">
        <is>
          <t>43行 18列，源：None 备：</t>
        </is>
      </c>
    </row>
    <row r="765">
      <c r="B765" s="0" t="inlineStr">
        <is>
          <t>NULL</t>
        </is>
      </c>
      <c r="C765" s="0" t="inlineStr">
        <is>
          <t>NULL</t>
        </is>
      </c>
      <c r="D765" s="0" t="inlineStr">
        <is>
          <t>NULL</t>
        </is>
      </c>
      <c r="E765" s="0" t="inlineStr">
        <is>
          <t>NULL</t>
        </is>
      </c>
      <c r="F765" s="0" t="inlineStr">
        <is>
          <t>NULL</t>
        </is>
      </c>
      <c r="G765" s="0" t="inlineStr">
        <is>
          <t>NULL</t>
        </is>
      </c>
      <c r="H765" s="0" t="inlineStr">
        <is>
          <t>NULL</t>
        </is>
      </c>
      <c r="I765" s="0" t="inlineStr">
        <is>
          <t>NULL</t>
        </is>
      </c>
      <c r="J765" s="0" t="inlineStr">
        <is>
          <t>NULL</t>
        </is>
      </c>
      <c r="K765" s="0" t="inlineStr">
        <is>
          <t xml:space="preserve"> NO!  	 c_numeric38列源备映射错误，源端为numeric None位	期望更改为text	实际备端为numeric None位</t>
        </is>
      </c>
      <c r="EH765" s="0" t="inlineStr">
        <is>
          <t>43行 19列，源：None 备：</t>
        </is>
      </c>
      <c r="ES765" s="0" t="inlineStr">
        <is>
          <t>43行 19列，源：None 备：</t>
        </is>
      </c>
    </row>
    <row r="766">
      <c r="B766" s="0" t="inlineStr">
        <is>
          <t>NULL</t>
        </is>
      </c>
      <c r="C766" s="0" t="inlineStr">
        <is>
          <t>NULL</t>
        </is>
      </c>
      <c r="D766" s="0" t="inlineStr">
        <is>
          <t>NULL</t>
        </is>
      </c>
      <c r="E766" s="0" t="inlineStr">
        <is>
          <t>NULL</t>
        </is>
      </c>
      <c r="F766" s="0" t="inlineStr">
        <is>
          <t>NULL</t>
        </is>
      </c>
      <c r="G766" s="0" t="inlineStr">
        <is>
          <t>NULL</t>
        </is>
      </c>
      <c r="H766" s="0" t="inlineStr">
        <is>
          <t>NULL</t>
        </is>
      </c>
      <c r="I766" s="0" t="inlineStr">
        <is>
          <t>NULL</t>
        </is>
      </c>
      <c r="J766" s="0" t="inlineStr">
        <is>
          <t>NULL</t>
        </is>
      </c>
      <c r="K766" s="0" t="inlineStr">
        <is>
          <t xml:space="preserve"> NO!  	 c_numeric38_38列源备映射错误，源端为numeric None位	期望更改为text	实际备端为numeric None位</t>
        </is>
      </c>
      <c r="EH766" s="0" t="inlineStr">
        <is>
          <t>44行 0列，源：105 备：167</t>
        </is>
      </c>
      <c r="ES766" s="0" t="inlineStr">
        <is>
          <t>44行 0列，源：105 备：212</t>
        </is>
      </c>
    </row>
    <row r="767">
      <c r="B767" s="0" t="inlineStr">
        <is>
          <t>NULL</t>
        </is>
      </c>
      <c r="C767" s="0" t="inlineStr">
        <is>
          <t>NULL</t>
        </is>
      </c>
      <c r="D767" s="0" t="inlineStr">
        <is>
          <t>NULL</t>
        </is>
      </c>
      <c r="E767" s="0" t="inlineStr">
        <is>
          <t>NULL</t>
        </is>
      </c>
      <c r="F767" s="0" t="inlineStr">
        <is>
          <t>NULL</t>
        </is>
      </c>
      <c r="G767" s="0" t="inlineStr">
        <is>
          <t>NULL</t>
        </is>
      </c>
      <c r="H767" s="0" t="inlineStr">
        <is>
          <t>NULL</t>
        </is>
      </c>
      <c r="I767" s="0" t="inlineStr">
        <is>
          <t>NULL</t>
        </is>
      </c>
      <c r="J767" s="0" t="inlineStr">
        <is>
          <t>NULL</t>
        </is>
      </c>
      <c r="K767" s="0" t="inlineStr">
        <is>
          <t xml:space="preserve"> NO!  	 c_numeric38_10列源备映射错误，源端为numeric None位	期望更改为text	实际备端为numeric None位</t>
        </is>
      </c>
      <c r="EH767" s="0" t="inlineStr">
        <is>
          <t>44行 1列，源：nan 备：</t>
        </is>
      </c>
      <c r="ES767" s="0" t="inlineStr">
        <is>
          <t>44行 1列，源：nan 备：</t>
        </is>
      </c>
    </row>
    <row r="768">
      <c r="B768" s="0" t="inlineStr">
        <is>
          <t>NULL</t>
        </is>
      </c>
      <c r="C768" s="0" t="inlineStr">
        <is>
          <t>NULL</t>
        </is>
      </c>
      <c r="D768" s="0" t="inlineStr">
        <is>
          <t>NULL</t>
        </is>
      </c>
      <c r="E768" s="0" t="inlineStr">
        <is>
          <t>NULL</t>
        </is>
      </c>
      <c r="F768" s="0" t="inlineStr">
        <is>
          <t>NULL</t>
        </is>
      </c>
      <c r="G768" s="0" t="inlineStr">
        <is>
          <t>NULL</t>
        </is>
      </c>
      <c r="H768" s="0" t="inlineStr">
        <is>
          <t>NULL</t>
        </is>
      </c>
      <c r="I768" s="0" t="inlineStr">
        <is>
          <t>NULL</t>
        </is>
      </c>
      <c r="J768" s="0" t="inlineStr">
        <is>
          <t>NULL</t>
        </is>
      </c>
      <c r="K768" s="0" t="inlineStr">
        <is>
          <t xml:space="preserve"> NO!  	 c_numeric18_2列源备映射错误，源端为numeric None位	期望更改为text	实际备端为numeric None位</t>
        </is>
      </c>
      <c r="EH768" s="0" t="inlineStr">
        <is>
          <t>44行 2列，源：nan 备：</t>
        </is>
      </c>
      <c r="ES768" s="0" t="inlineStr">
        <is>
          <t>44行 2列，源：nan 备：</t>
        </is>
      </c>
    </row>
    <row r="769">
      <c r="B769" s="0" t="inlineStr">
        <is>
          <t>NULL</t>
        </is>
      </c>
      <c r="C769" s="0" t="inlineStr">
        <is>
          <t>NULL</t>
        </is>
      </c>
      <c r="D769" s="0" t="inlineStr">
        <is>
          <t>NULL</t>
        </is>
      </c>
      <c r="E769" s="0" t="inlineStr">
        <is>
          <t>NULL</t>
        </is>
      </c>
      <c r="F769" s="0" t="inlineStr">
        <is>
          <t>NULL</t>
        </is>
      </c>
      <c r="G769" s="0" t="inlineStr">
        <is>
          <t>NULL</t>
        </is>
      </c>
      <c r="H769" s="0" t="inlineStr">
        <is>
          <t>NULL</t>
        </is>
      </c>
      <c r="I769" s="0" t="inlineStr">
        <is>
          <t>NULL</t>
        </is>
      </c>
      <c r="J769" s="0" t="inlineStr">
        <is>
          <t>NULL</t>
        </is>
      </c>
      <c r="K769" s="0" t="inlineStr">
        <is>
          <t xml:space="preserve"> NO!  	 c_float列源备映射错误，源端为float None位	期望更改为text	实际备端为float None位</t>
        </is>
      </c>
      <c r="EH769" s="0" t="inlineStr">
        <is>
          <t>44行 3列，源：nan 备：</t>
        </is>
      </c>
      <c r="ES769" s="0" t="inlineStr">
        <is>
          <t>44行 3列，源：nan 备：</t>
        </is>
      </c>
    </row>
    <row r="770">
      <c r="B770" s="0" t="inlineStr">
        <is>
          <t>NULL</t>
        </is>
      </c>
      <c r="C770" s="0" t="inlineStr">
        <is>
          <t>NULL</t>
        </is>
      </c>
      <c r="D770" s="0" t="inlineStr">
        <is>
          <t>NULL</t>
        </is>
      </c>
      <c r="E770" s="0" t="inlineStr">
        <is>
          <t>NULL</t>
        </is>
      </c>
      <c r="F770" s="0" t="inlineStr">
        <is>
          <t>NULL</t>
        </is>
      </c>
      <c r="G770" s="0" t="inlineStr">
        <is>
          <t>NULL</t>
        </is>
      </c>
      <c r="H770" s="0" t="inlineStr">
        <is>
          <t>NULL</t>
        </is>
      </c>
      <c r="I770" s="0" t="inlineStr">
        <is>
          <t>NULL</t>
        </is>
      </c>
      <c r="J770" s="0" t="inlineStr">
        <is>
          <t>NULL</t>
        </is>
      </c>
      <c r="K770" s="0" t="inlineStr">
        <is>
          <t xml:space="preserve"> NO!  	 c_real列源备映射错误，源端为real None位	期望更改为text	实际备端为real None位</t>
        </is>
      </c>
      <c r="EH770" s="0" t="inlineStr">
        <is>
          <t>44行 4列，源：nan 备：</t>
        </is>
      </c>
      <c r="ES770" s="0" t="inlineStr">
        <is>
          <t>44行 4列，源：nan 备：</t>
        </is>
      </c>
    </row>
    <row r="771">
      <c r="B771" s="0" t="inlineStr">
        <is>
          <t>NULL</t>
        </is>
      </c>
      <c r="C771" s="0" t="inlineStr">
        <is>
          <t>NULL</t>
        </is>
      </c>
      <c r="D771" s="0" t="inlineStr">
        <is>
          <t>NULL</t>
        </is>
      </c>
      <c r="E771" s="0" t="inlineStr">
        <is>
          <t>NULL</t>
        </is>
      </c>
      <c r="F771" s="0" t="inlineStr">
        <is>
          <t>NULL</t>
        </is>
      </c>
      <c r="G771" s="0" t="inlineStr">
        <is>
          <t>NULL</t>
        </is>
      </c>
      <c r="H771" s="0" t="inlineStr">
        <is>
          <t>NULL</t>
        </is>
      </c>
      <c r="I771" s="0" t="inlineStr">
        <is>
          <t>NULL</t>
        </is>
      </c>
      <c r="J771" s="0" t="inlineStr">
        <is>
          <t>NULL</t>
        </is>
      </c>
      <c r="K771" s="0" t="inlineStr">
        <is>
          <t xml:space="preserve"> NO!  	 c_money列源备映射错误，源端为money None位	期望更改为text	实际备端为money None位</t>
        </is>
      </c>
      <c r="EH771" s="0" t="inlineStr">
        <is>
          <t>44行 5列，源：None 备：</t>
        </is>
      </c>
      <c r="ES771" s="0" t="inlineStr">
        <is>
          <t>44行 5列，源：None 备：</t>
        </is>
      </c>
    </row>
    <row r="772">
      <c r="B772" s="0" t="inlineStr">
        <is>
          <t>NULL</t>
        </is>
      </c>
      <c r="C772" s="0" t="inlineStr">
        <is>
          <t>NULL</t>
        </is>
      </c>
      <c r="D772" s="0" t="inlineStr">
        <is>
          <t>NULL</t>
        </is>
      </c>
      <c r="E772" s="0" t="inlineStr">
        <is>
          <t>NULL</t>
        </is>
      </c>
      <c r="F772" s="0" t="inlineStr">
        <is>
          <t>NULL</t>
        </is>
      </c>
      <c r="G772" s="0" t="inlineStr">
        <is>
          <t>NULL</t>
        </is>
      </c>
      <c r="H772" s="0" t="inlineStr">
        <is>
          <t>NULL</t>
        </is>
      </c>
      <c r="I772" s="0" t="inlineStr">
        <is>
          <t>NULL</t>
        </is>
      </c>
      <c r="J772" s="0" t="inlineStr">
        <is>
          <t>NULL</t>
        </is>
      </c>
      <c r="K772" s="0" t="inlineStr">
        <is>
          <t xml:space="preserve"> NO!  	 c_smallmoney列源备映射错误，源端为smallmoney None位	期望更改为text	实际备端为smallmoney None位</t>
        </is>
      </c>
      <c r="EH772" s="0" t="inlineStr">
        <is>
          <t>44行 6列，源：None 备：</t>
        </is>
      </c>
      <c r="ES772" s="0" t="inlineStr">
        <is>
          <t>44行 6列，源：None 备：</t>
        </is>
      </c>
    </row>
    <row r="773">
      <c r="B773" s="0" t="inlineStr">
        <is>
          <t>NULL</t>
        </is>
      </c>
      <c r="C773" s="0" t="inlineStr">
        <is>
          <t>NULL</t>
        </is>
      </c>
      <c r="D773" s="0" t="inlineStr">
        <is>
          <t>NULL</t>
        </is>
      </c>
      <c r="E773" s="0" t="inlineStr">
        <is>
          <t>NULL</t>
        </is>
      </c>
      <c r="F773" s="0" t="inlineStr">
        <is>
          <t>NULL</t>
        </is>
      </c>
      <c r="G773" s="0" t="inlineStr">
        <is>
          <t>NULL</t>
        </is>
      </c>
      <c r="H773" s="0" t="inlineStr">
        <is>
          <t>NULL</t>
        </is>
      </c>
      <c r="I773" s="0" t="inlineStr">
        <is>
          <t>NULL</t>
        </is>
      </c>
      <c r="J773" s="0" t="inlineStr">
        <is>
          <t>NULL</t>
        </is>
      </c>
      <c r="K773" s="0" t="inlineStr">
        <is>
          <t xml:space="preserve"> NO!  	 c_bit列源备映射错误，源端为bit None位	期望更改为text	实际备端为bit None位</t>
        </is>
      </c>
      <c r="EH773" s="0" t="inlineStr">
        <is>
          <t>44行 7列，源：None 备：</t>
        </is>
      </c>
      <c r="ES773" s="0" t="inlineStr">
        <is>
          <t>44行 7列，源：None 备：</t>
        </is>
      </c>
    </row>
    <row r="774">
      <c r="A774" s="0" t="inlineStr">
        <is>
          <t>info_sdt_dml_single_pk</t>
        </is>
      </c>
      <c r="K774" s="0" t="inlineStr">
        <is>
          <t>[0;34m info_sdt_dml_single_pk [0m源备字段数相同，源端字段：2 	备端字段2</t>
        </is>
      </c>
      <c r="W774" s="0" t="inlineStr">
        <is>
          <t>YES 源备无差异</t>
        </is>
      </c>
      <c r="X774" s="0">
        <f>A774</f>
        <v/>
      </c>
      <c r="EH774" s="0" t="inlineStr">
        <is>
          <t>44行 8列，源：None 备：</t>
        </is>
      </c>
      <c r="ES774" s="0" t="inlineStr">
        <is>
          <t>44行 8列，源：None 备：</t>
        </is>
      </c>
    </row>
    <row r="775">
      <c r="B775" s="0" t="inlineStr">
        <is>
          <t>YES</t>
        </is>
      </c>
      <c r="C775" s="0" t="inlineStr">
        <is>
          <t>NULL</t>
        </is>
      </c>
      <c r="D775" s="0" t="inlineStr">
        <is>
          <t>NULL</t>
        </is>
      </c>
      <c r="E775" s="0" t="inlineStr">
        <is>
          <t>NULL</t>
        </is>
      </c>
      <c r="F775" s="0" t="inlineStr">
        <is>
          <t>NULL</t>
        </is>
      </c>
      <c r="G775" s="0" t="inlineStr">
        <is>
          <t>NULL</t>
        </is>
      </c>
      <c r="H775" s="0" t="inlineStr">
        <is>
          <t>NULL</t>
        </is>
      </c>
      <c r="I775" s="0" t="inlineStr">
        <is>
          <t>YES!PK__info_sdt__3213E83F863EA3DC</t>
        </is>
      </c>
      <c r="J775" s="0" t="inlineStr">
        <is>
          <t>YES! 主键相关索引</t>
        </is>
      </c>
      <c r="K775" s="0" t="inlineStr">
        <is>
          <t xml:space="preserve"> NO!  	 id列源备映射错误，源端为int None位	期望更改为text	实际备端为int None位</t>
        </is>
      </c>
      <c r="EH775" s="0" t="inlineStr">
        <is>
          <t>44行 9列，源：None 备：</t>
        </is>
      </c>
      <c r="ES775" s="0" t="inlineStr">
        <is>
          <t>44行 9列，源：None 备：</t>
        </is>
      </c>
    </row>
    <row r="776">
      <c r="B776" s="0" t="inlineStr">
        <is>
          <t>NULL</t>
        </is>
      </c>
      <c r="C776" s="0" t="inlineStr">
        <is>
          <t>NULL</t>
        </is>
      </c>
      <c r="D776" s="0" t="inlineStr">
        <is>
          <t>NULL</t>
        </is>
      </c>
      <c r="E776" s="0" t="inlineStr">
        <is>
          <t>NULL</t>
        </is>
      </c>
      <c r="F776" s="0" t="inlineStr">
        <is>
          <t>NULL</t>
        </is>
      </c>
      <c r="G776" s="0" t="inlineStr">
        <is>
          <t>NULL</t>
        </is>
      </c>
      <c r="H776" s="0" t="inlineStr">
        <is>
          <t>NULL</t>
        </is>
      </c>
      <c r="I776" s="0" t="inlineStr">
        <is>
          <t>NULL</t>
        </is>
      </c>
      <c r="J776" s="0" t="inlineStr">
        <is>
          <t>NULL</t>
        </is>
      </c>
      <c r="K776" s="0" t="inlineStr">
        <is>
          <t xml:space="preserve"> NO!  	 c_sdt列源备映射错误，源端为smalldatetime None位	期望更改为text	实际备端为smalldatetime None位</t>
        </is>
      </c>
      <c r="EH776" s="0" t="inlineStr">
        <is>
          <t>44行 10列，源：None 备：</t>
        </is>
      </c>
      <c r="ES776" s="0" t="inlineStr">
        <is>
          <t>44行 10列，源：None 备：</t>
        </is>
      </c>
    </row>
    <row r="777">
      <c r="A777" s="0" t="inlineStr">
        <is>
          <t>info_varcharmax_dml_single_pk_urp</t>
        </is>
      </c>
      <c r="K777" s="0" t="inlineStr">
        <is>
          <t>[0;34m info_varcharmax_dml_single_pk_urp [0m源备字段数相同，源端字段：3 	备端字段3</t>
        </is>
      </c>
      <c r="W777" s="2">
        <f>HYPERLINK("#2026041905hbase4!CU2","NO 源备存在差异，共2个")</f>
        <v/>
      </c>
      <c r="X777" s="0">
        <f>A777</f>
        <v/>
      </c>
      <c r="EH777" s="0" t="inlineStr">
        <is>
          <t>44行 11列，源：None 备：</t>
        </is>
      </c>
      <c r="ES777" s="0" t="inlineStr">
        <is>
          <t>44行 11列，源：None 备：</t>
        </is>
      </c>
    </row>
    <row r="778">
      <c r="B778" s="0" t="inlineStr">
        <is>
          <t>YES</t>
        </is>
      </c>
      <c r="C778" s="0" t="inlineStr">
        <is>
          <t>NULL</t>
        </is>
      </c>
      <c r="D778" s="0" t="inlineStr">
        <is>
          <t>NULL</t>
        </is>
      </c>
      <c r="E778" s="0" t="inlineStr">
        <is>
          <t>NULL</t>
        </is>
      </c>
      <c r="F778" s="0" t="inlineStr">
        <is>
          <t>NULL</t>
        </is>
      </c>
      <c r="G778" s="0" t="inlineStr">
        <is>
          <t>NULL</t>
        </is>
      </c>
      <c r="H778" s="0" t="inlineStr">
        <is>
          <t>NULL</t>
        </is>
      </c>
      <c r="I778" s="0" t="inlineStr">
        <is>
          <t>YES!PK__info_var__3213E83F4ABB782C</t>
        </is>
      </c>
      <c r="J778" s="0" t="inlineStr">
        <is>
          <t>YES! 主键相关索引</t>
        </is>
      </c>
      <c r="K778" s="0" t="inlineStr">
        <is>
          <t xml:space="preserve"> NO!  	 id列源备映射错误，源端为int None位	期望更改为text	实际备端为int None位</t>
        </is>
      </c>
      <c r="EH778" s="0" t="inlineStr">
        <is>
          <t>44行 12列，源：None 备：</t>
        </is>
      </c>
      <c r="ES778" s="0" t="inlineStr">
        <is>
          <t>44行 12列，源：None 备：</t>
        </is>
      </c>
    </row>
    <row r="779">
      <c r="B779" s="0" t="inlineStr">
        <is>
          <t>NULL</t>
        </is>
      </c>
      <c r="C779" s="0" t="inlineStr">
        <is>
          <t>NULL</t>
        </is>
      </c>
      <c r="D779" s="0" t="inlineStr">
        <is>
          <t>NULL</t>
        </is>
      </c>
      <c r="E779" s="0" t="inlineStr">
        <is>
          <t>NULL</t>
        </is>
      </c>
      <c r="F779" s="0" t="inlineStr">
        <is>
          <t>NULL</t>
        </is>
      </c>
      <c r="G779" s="0" t="inlineStr">
        <is>
          <t>NULL</t>
        </is>
      </c>
      <c r="H779" s="0" t="inlineStr">
        <is>
          <t>NULL</t>
        </is>
      </c>
      <c r="I779" s="0" t="inlineStr">
        <is>
          <t>NULL</t>
        </is>
      </c>
      <c r="J779" s="0" t="inlineStr">
        <is>
          <t>NULL</t>
        </is>
      </c>
      <c r="K779" s="0" t="inlineStr">
        <is>
          <t xml:space="preserve"> NO!  	 c_varchar_max列源备映射错误，源端为varchar -1位	期望更改为text	实际备端为varchar -1位</t>
        </is>
      </c>
      <c r="EH779" s="0" t="inlineStr">
        <is>
          <t>44行 13列，源：None 备：</t>
        </is>
      </c>
      <c r="ES779" s="0" t="inlineStr">
        <is>
          <t>44行 13列，源：None 备：</t>
        </is>
      </c>
    </row>
    <row r="780">
      <c r="B780" s="0" t="inlineStr">
        <is>
          <t>NULL</t>
        </is>
      </c>
      <c r="C780" s="0" t="inlineStr">
        <is>
          <t>NULL</t>
        </is>
      </c>
      <c r="D780" s="0" t="inlineStr">
        <is>
          <t>NULL</t>
        </is>
      </c>
      <c r="E780" s="0" t="inlineStr">
        <is>
          <t>NULL</t>
        </is>
      </c>
      <c r="F780" s="0" t="inlineStr">
        <is>
          <t>NULL</t>
        </is>
      </c>
      <c r="G780" s="0" t="inlineStr">
        <is>
          <t>NULL</t>
        </is>
      </c>
      <c r="H780" s="0" t="inlineStr">
        <is>
          <t>NULL</t>
        </is>
      </c>
      <c r="I780" s="0" t="inlineStr">
        <is>
          <t>NULL</t>
        </is>
      </c>
      <c r="J780" s="0" t="inlineStr">
        <is>
          <t>NULL</t>
        </is>
      </c>
      <c r="K780" s="0" t="inlineStr">
        <is>
          <t xml:space="preserve"> NO!  	 c_nvarchar_max列源备映射错误，源端为nvarchar -1位	期望更改为text	实际备端为nvarchar -1位</t>
        </is>
      </c>
      <c r="EH780" s="0" t="inlineStr">
        <is>
          <t>44行 14列，源：None 备：</t>
        </is>
      </c>
      <c r="ES780" s="0" t="inlineStr">
        <is>
          <t>44行 14列，源：None 备：</t>
        </is>
      </c>
    </row>
    <row r="781">
      <c r="A781" s="0" t="inlineStr">
        <is>
          <t>info_char_dml_batch1_pk</t>
        </is>
      </c>
      <c r="K781" s="0" t="inlineStr">
        <is>
          <t>[0;34m info_char_dml_batch1_pk [0m源备字段数相同，源端字段：4 	备端字段4</t>
        </is>
      </c>
      <c r="W781" s="2">
        <f>HYPERLINK("#2026041905hbase4!CV2","NO 源备存在差异，共6个")</f>
        <v/>
      </c>
      <c r="X781" s="0">
        <f>A781</f>
        <v/>
      </c>
      <c r="EH781" s="0" t="inlineStr">
        <is>
          <t>44行 15列，源：nan 备：</t>
        </is>
      </c>
      <c r="ES781" s="0" t="inlineStr">
        <is>
          <t>44行 15列，源：nan 备：</t>
        </is>
      </c>
    </row>
    <row r="782">
      <c r="B782" s="0" t="inlineStr">
        <is>
          <t>YES</t>
        </is>
      </c>
      <c r="C782" s="0" t="inlineStr">
        <is>
          <t>NULL</t>
        </is>
      </c>
      <c r="D782" s="0" t="inlineStr">
        <is>
          <t>NULL</t>
        </is>
      </c>
      <c r="E782" s="0" t="inlineStr">
        <is>
          <t>NULL</t>
        </is>
      </c>
      <c r="F782" s="0" t="inlineStr">
        <is>
          <t>NULL</t>
        </is>
      </c>
      <c r="G782" s="0" t="inlineStr">
        <is>
          <t>NULL</t>
        </is>
      </c>
      <c r="H782" s="0" t="inlineStr">
        <is>
          <t>NULL</t>
        </is>
      </c>
      <c r="I782" s="0" t="inlineStr">
        <is>
          <t>YES!PK__info_cha__3213E83FDBB0FAF5</t>
        </is>
      </c>
      <c r="J782" s="0" t="inlineStr">
        <is>
          <t>YES! 主键相关索引</t>
        </is>
      </c>
      <c r="K782" s="0" t="inlineStr">
        <is>
          <t xml:space="preserve"> NO!  	 id列源备映射错误，源端为int None位	期望更改为text	实际备端为int None位</t>
        </is>
      </c>
      <c r="EH782" s="0" t="inlineStr">
        <is>
          <t>44行 16列，源：nan 备：</t>
        </is>
      </c>
      <c r="ES782" s="0" t="inlineStr">
        <is>
          <t>44行 16列，源：nan 备：</t>
        </is>
      </c>
    </row>
    <row r="783">
      <c r="B783" s="0" t="inlineStr">
        <is>
          <t>NULL</t>
        </is>
      </c>
      <c r="C783" s="0" t="inlineStr">
        <is>
          <t>NULL</t>
        </is>
      </c>
      <c r="D783" s="0" t="inlineStr">
        <is>
          <t>NULL</t>
        </is>
      </c>
      <c r="E783" s="0" t="inlineStr">
        <is>
          <t>NULL</t>
        </is>
      </c>
      <c r="F783" s="0" t="inlineStr">
        <is>
          <t>NULL</t>
        </is>
      </c>
      <c r="G783" s="0" t="inlineStr">
        <is>
          <t>NULL</t>
        </is>
      </c>
      <c r="H783" s="0" t="inlineStr">
        <is>
          <t>NULL</t>
        </is>
      </c>
      <c r="I783" s="0" t="inlineStr">
        <is>
          <t>NULL</t>
        </is>
      </c>
      <c r="J783" s="0" t="inlineStr">
        <is>
          <t>NULL</t>
        </is>
      </c>
      <c r="K783" s="0" t="inlineStr">
        <is>
          <t xml:space="preserve"> NO!  	 c_char列源备映射错误，源端为char 1位	期望更改为text	实际备端为char 1位</t>
        </is>
      </c>
      <c r="EH783" s="0" t="inlineStr">
        <is>
          <t>44行 17列，源：None 备：</t>
        </is>
      </c>
      <c r="ES783" s="0" t="inlineStr">
        <is>
          <t>44行 17列，源：None 备：</t>
        </is>
      </c>
    </row>
    <row r="784">
      <c r="B784" s="0" t="inlineStr">
        <is>
          <t>NULL</t>
        </is>
      </c>
      <c r="C784" s="0" t="inlineStr">
        <is>
          <t>NULL</t>
        </is>
      </c>
      <c r="D784" s="0" t="inlineStr">
        <is>
          <t>NULL</t>
        </is>
      </c>
      <c r="E784" s="0" t="inlineStr">
        <is>
          <t>NULL</t>
        </is>
      </c>
      <c r="F784" s="0" t="inlineStr">
        <is>
          <t>NULL</t>
        </is>
      </c>
      <c r="G784" s="0" t="inlineStr">
        <is>
          <t>NULL</t>
        </is>
      </c>
      <c r="H784" s="0" t="inlineStr">
        <is>
          <t>NULL</t>
        </is>
      </c>
      <c r="I784" s="0" t="inlineStr">
        <is>
          <t>NULL</t>
        </is>
      </c>
      <c r="J784" s="0" t="inlineStr">
        <is>
          <t>NULL</t>
        </is>
      </c>
      <c r="K784" s="0" t="inlineStr">
        <is>
          <t xml:space="preserve"> NO!  	 c_char20列源备映射错误，源端为char 20位	期望更改为text	实际备端为char 20位</t>
        </is>
      </c>
      <c r="EH784" s="0" t="inlineStr">
        <is>
          <t>44行 18列，源：None 备：</t>
        </is>
      </c>
      <c r="ES784" s="0" t="inlineStr">
        <is>
          <t>44行 18列，源：None 备：</t>
        </is>
      </c>
    </row>
    <row r="785">
      <c r="B785" s="0" t="inlineStr">
        <is>
          <t>NULL</t>
        </is>
      </c>
      <c r="C785" s="0" t="inlineStr">
        <is>
          <t>NULL</t>
        </is>
      </c>
      <c r="D785" s="0" t="inlineStr">
        <is>
          <t>NULL</t>
        </is>
      </c>
      <c r="E785" s="0" t="inlineStr">
        <is>
          <t>NULL</t>
        </is>
      </c>
      <c r="F785" s="0" t="inlineStr">
        <is>
          <t>NULL</t>
        </is>
      </c>
      <c r="G785" s="0" t="inlineStr">
        <is>
          <t>NULL</t>
        </is>
      </c>
      <c r="H785" s="0" t="inlineStr">
        <is>
          <t>NULL</t>
        </is>
      </c>
      <c r="I785" s="0" t="inlineStr">
        <is>
          <t>NULL</t>
        </is>
      </c>
      <c r="J785" s="0" t="inlineStr">
        <is>
          <t>NULL</t>
        </is>
      </c>
      <c r="K785" s="0" t="inlineStr">
        <is>
          <t xml:space="preserve"> NO!  	 c_char7000列源备映射错误，源端为char 7000位	期望更改为text	实际备端为char 7000位</t>
        </is>
      </c>
      <c r="EH785" s="0" t="inlineStr">
        <is>
          <t>44行 19列，源：None 备：</t>
        </is>
      </c>
      <c r="ES785" s="0" t="inlineStr">
        <is>
          <t>44行 19列，源：None 备：</t>
        </is>
      </c>
    </row>
    <row r="786">
      <c r="A786" s="0" t="inlineStr">
        <is>
          <t>info_binary_dml_single_pk_irp</t>
        </is>
      </c>
      <c r="K786" s="0" t="inlineStr">
        <is>
          <t>[0;34m info_binary_dml_single_pk_irp [0m源备字段数相同，源端字段：4 	备端字段4</t>
        </is>
      </c>
      <c r="W786" s="0" t="inlineStr">
        <is>
          <t>YES 源备无差异</t>
        </is>
      </c>
      <c r="X786" s="0">
        <f>A786</f>
        <v/>
      </c>
      <c r="EH786" s="0" t="inlineStr">
        <is>
          <t>45行 0列，源：106 备：168</t>
        </is>
      </c>
      <c r="ES786" s="0" t="inlineStr">
        <is>
          <t>45行 0列，源：106 备：213</t>
        </is>
      </c>
    </row>
    <row r="787">
      <c r="B787" s="0" t="inlineStr">
        <is>
          <t>YES</t>
        </is>
      </c>
      <c r="C787" s="0" t="inlineStr">
        <is>
          <t>NULL</t>
        </is>
      </c>
      <c r="D787" s="0" t="inlineStr">
        <is>
          <t>NULL</t>
        </is>
      </c>
      <c r="E787" s="0" t="inlineStr">
        <is>
          <t>NULL</t>
        </is>
      </c>
      <c r="F787" s="0" t="inlineStr">
        <is>
          <t>NULL</t>
        </is>
      </c>
      <c r="G787" s="0" t="inlineStr">
        <is>
          <t>NULL</t>
        </is>
      </c>
      <c r="H787" s="0" t="inlineStr">
        <is>
          <t>NULL</t>
        </is>
      </c>
      <c r="I787" s="0" t="inlineStr">
        <is>
          <t>YES!PK__info_bin__3213E83F1D0F7CC7</t>
        </is>
      </c>
      <c r="J787" s="0" t="inlineStr">
        <is>
          <t>YES! 主键相关索引</t>
        </is>
      </c>
      <c r="K787" s="0" t="inlineStr">
        <is>
          <t xml:space="preserve"> NO!  	 id列源备映射错误，源端为int None位	期望更改为text	实际备端为int None位</t>
        </is>
      </c>
      <c r="EH787" s="0" t="inlineStr">
        <is>
          <t>45行 1列，源：nan 备：</t>
        </is>
      </c>
      <c r="ES787" s="0" t="inlineStr">
        <is>
          <t>45行 1列，源：nan 备：</t>
        </is>
      </c>
    </row>
    <row r="788">
      <c r="B788" s="0" t="inlineStr">
        <is>
          <t>NULL</t>
        </is>
      </c>
      <c r="C788" s="0" t="inlineStr">
        <is>
          <t>NULL</t>
        </is>
      </c>
      <c r="D788" s="0" t="inlineStr">
        <is>
          <t>NULL</t>
        </is>
      </c>
      <c r="E788" s="0" t="inlineStr">
        <is>
          <t>NULL</t>
        </is>
      </c>
      <c r="F788" s="0" t="inlineStr">
        <is>
          <t>NULL</t>
        </is>
      </c>
      <c r="G788" s="0" t="inlineStr">
        <is>
          <t>NULL</t>
        </is>
      </c>
      <c r="H788" s="0" t="inlineStr">
        <is>
          <t>NULL</t>
        </is>
      </c>
      <c r="I788" s="0" t="inlineStr">
        <is>
          <t>NULL</t>
        </is>
      </c>
      <c r="J788" s="0" t="inlineStr">
        <is>
          <t>NULL</t>
        </is>
      </c>
      <c r="K788" s="0" t="inlineStr">
        <is>
          <t xml:space="preserve"> NO!  	 c_binary列源备映射错误，源端为binary 1位	期望更改为text	实际备端为binary 1位</t>
        </is>
      </c>
      <c r="EH788" s="0" t="inlineStr">
        <is>
          <t>45行 2列，源：nan 备：</t>
        </is>
      </c>
      <c r="ES788" s="0" t="inlineStr">
        <is>
          <t>45行 2列，源：nan 备：</t>
        </is>
      </c>
    </row>
    <row r="789">
      <c r="B789" s="0" t="inlineStr">
        <is>
          <t>NULL</t>
        </is>
      </c>
      <c r="C789" s="0" t="inlineStr">
        <is>
          <t>NULL</t>
        </is>
      </c>
      <c r="D789" s="0" t="inlineStr">
        <is>
          <t>NULL</t>
        </is>
      </c>
      <c r="E789" s="0" t="inlineStr">
        <is>
          <t>NULL</t>
        </is>
      </c>
      <c r="F789" s="0" t="inlineStr">
        <is>
          <t>NULL</t>
        </is>
      </c>
      <c r="G789" s="0" t="inlineStr">
        <is>
          <t>NULL</t>
        </is>
      </c>
      <c r="H789" s="0" t="inlineStr">
        <is>
          <t>NULL</t>
        </is>
      </c>
      <c r="I789" s="0" t="inlineStr">
        <is>
          <t>NULL</t>
        </is>
      </c>
      <c r="J789" s="0" t="inlineStr">
        <is>
          <t>NULL</t>
        </is>
      </c>
      <c r="K789" s="0" t="inlineStr">
        <is>
          <t xml:space="preserve"> NO!  	 c_binary_20列源备映射错误，源端为binary 20位	期望更改为text	实际备端为binary 20位</t>
        </is>
      </c>
      <c r="EH789" s="0" t="inlineStr">
        <is>
          <t>45行 3列，源：nan 备：</t>
        </is>
      </c>
      <c r="ES789" s="0" t="inlineStr">
        <is>
          <t>45行 3列，源：nan 备：</t>
        </is>
      </c>
    </row>
    <row r="790">
      <c r="B790" s="0" t="inlineStr">
        <is>
          <t>NULL</t>
        </is>
      </c>
      <c r="C790" s="0" t="inlineStr">
        <is>
          <t>NULL</t>
        </is>
      </c>
      <c r="D790" s="0" t="inlineStr">
        <is>
          <t>NULL</t>
        </is>
      </c>
      <c r="E790" s="0" t="inlineStr">
        <is>
          <t>NULL</t>
        </is>
      </c>
      <c r="F790" s="0" t="inlineStr">
        <is>
          <t>NULL</t>
        </is>
      </c>
      <c r="G790" s="0" t="inlineStr">
        <is>
          <t>NULL</t>
        </is>
      </c>
      <c r="H790" s="0" t="inlineStr">
        <is>
          <t>NULL</t>
        </is>
      </c>
      <c r="I790" s="0" t="inlineStr">
        <is>
          <t>NULL</t>
        </is>
      </c>
      <c r="J790" s="0" t="inlineStr">
        <is>
          <t>NULL</t>
        </is>
      </c>
      <c r="K790" s="0" t="inlineStr">
        <is>
          <t xml:space="preserve"> NO!  	 c_binary_200列源备映射错误，源端为binary 200位	期望更改为text	实际备端为binary 200位</t>
        </is>
      </c>
      <c r="EH790" s="0" t="inlineStr">
        <is>
          <t>45行 4列，源：nan 备：</t>
        </is>
      </c>
      <c r="ES790" s="0" t="inlineStr">
        <is>
          <t>45行 4列，源：nan 备：</t>
        </is>
      </c>
    </row>
    <row r="791">
      <c r="K791" s="0" t="inlineStr">
        <is>
          <t>~ 空表</t>
        </is>
      </c>
      <c r="EH791" s="0" t="inlineStr">
        <is>
          <t>45行 5列，源：None 备：</t>
        </is>
      </c>
      <c r="ES791" s="0" t="inlineStr">
        <is>
          <t>45行 5列，源：None 备：</t>
        </is>
      </c>
    </row>
    <row r="792">
      <c r="A792" s="0" t="inlineStr">
        <is>
          <t>info_nchar_dml_batch1_pk_drp2</t>
        </is>
      </c>
      <c r="K792" s="0" t="inlineStr">
        <is>
          <t>[0;34m info_nchar_dml_batch1_pk_drp2 [0m源备字段数相同，源端字段：4 	备端字段4</t>
        </is>
      </c>
      <c r="W792" s="0" t="inlineStr">
        <is>
          <t>YES 源备无差异</t>
        </is>
      </c>
      <c r="X792" s="0">
        <f>A792</f>
        <v/>
      </c>
      <c r="EH792" s="0" t="inlineStr">
        <is>
          <t>45行 6列，源：None 备：</t>
        </is>
      </c>
      <c r="ES792" s="0" t="inlineStr">
        <is>
          <t>45行 6列，源：None 备：</t>
        </is>
      </c>
    </row>
    <row r="793">
      <c r="B793" s="0" t="inlineStr">
        <is>
          <t>YES</t>
        </is>
      </c>
      <c r="C793" s="0" t="inlineStr">
        <is>
          <t>NULL</t>
        </is>
      </c>
      <c r="D793" s="0" t="inlineStr">
        <is>
          <t>NULL</t>
        </is>
      </c>
      <c r="E793" s="0" t="inlineStr">
        <is>
          <t>NULL</t>
        </is>
      </c>
      <c r="F793" s="0" t="inlineStr">
        <is>
          <t>NULL</t>
        </is>
      </c>
      <c r="G793" s="0" t="inlineStr">
        <is>
          <t>NULL</t>
        </is>
      </c>
      <c r="H793" s="0" t="inlineStr">
        <is>
          <t>NULL</t>
        </is>
      </c>
      <c r="I793" s="0" t="inlineStr">
        <is>
          <t>YES!PK__info_nch__3213E83FEB6BFFCC</t>
        </is>
      </c>
      <c r="J793" s="0" t="inlineStr">
        <is>
          <t>YES! 主键相关索引</t>
        </is>
      </c>
      <c r="K793" s="0" t="inlineStr">
        <is>
          <t xml:space="preserve"> NO!  	 id列源备映射错误，源端为int None位	期望更改为text	实际备端为int None位</t>
        </is>
      </c>
      <c r="EH793" s="0" t="inlineStr">
        <is>
          <t>45行 7列，源：None 备：</t>
        </is>
      </c>
      <c r="ES793" s="0" t="inlineStr">
        <is>
          <t>45行 7列，源：None 备：</t>
        </is>
      </c>
    </row>
    <row r="794">
      <c r="B794" s="0" t="inlineStr">
        <is>
          <t>NULL</t>
        </is>
      </c>
      <c r="C794" s="0" t="inlineStr">
        <is>
          <t>NULL</t>
        </is>
      </c>
      <c r="D794" s="0" t="inlineStr">
        <is>
          <t>NULL</t>
        </is>
      </c>
      <c r="E794" s="0" t="inlineStr">
        <is>
          <t>NULL</t>
        </is>
      </c>
      <c r="F794" s="0" t="inlineStr">
        <is>
          <t>NULL</t>
        </is>
      </c>
      <c r="G794" s="0" t="inlineStr">
        <is>
          <t>NULL</t>
        </is>
      </c>
      <c r="H794" s="0" t="inlineStr">
        <is>
          <t>NULL</t>
        </is>
      </c>
      <c r="I794" s="0" t="inlineStr">
        <is>
          <t>NULL</t>
        </is>
      </c>
      <c r="J794" s="0" t="inlineStr">
        <is>
          <t>NULL</t>
        </is>
      </c>
      <c r="K794" s="0" t="inlineStr">
        <is>
          <t xml:space="preserve"> NO!  	 c_nchar列源备映射错误，源端为nchar 2位	期望更改为text	实际备端为nchar 2位</t>
        </is>
      </c>
      <c r="EH794" s="0" t="inlineStr">
        <is>
          <t>45行 8列，源：None 备：</t>
        </is>
      </c>
      <c r="ES794" s="0" t="inlineStr">
        <is>
          <t>45行 8列，源：None 备：</t>
        </is>
      </c>
    </row>
    <row r="795">
      <c r="B795" s="0" t="inlineStr">
        <is>
          <t>NULL</t>
        </is>
      </c>
      <c r="C795" s="0" t="inlineStr">
        <is>
          <t>NULL</t>
        </is>
      </c>
      <c r="D795" s="0" t="inlineStr">
        <is>
          <t>NULL</t>
        </is>
      </c>
      <c r="E795" s="0" t="inlineStr">
        <is>
          <t>NULL</t>
        </is>
      </c>
      <c r="F795" s="0" t="inlineStr">
        <is>
          <t>NULL</t>
        </is>
      </c>
      <c r="G795" s="0" t="inlineStr">
        <is>
          <t>NULL</t>
        </is>
      </c>
      <c r="H795" s="0" t="inlineStr">
        <is>
          <t>NULL</t>
        </is>
      </c>
      <c r="I795" s="0" t="inlineStr">
        <is>
          <t>NULL</t>
        </is>
      </c>
      <c r="J795" s="0" t="inlineStr">
        <is>
          <t>NULL</t>
        </is>
      </c>
      <c r="K795" s="0" t="inlineStr">
        <is>
          <t xml:space="preserve"> NO!  	 c_nchar20列源备映射错误，源端为nchar 40位	期望更改为text	实际备端为nchar 40位</t>
        </is>
      </c>
      <c r="EH795" s="0" t="inlineStr">
        <is>
          <t>45行 9列，源：None 备：</t>
        </is>
      </c>
      <c r="ES795" s="0" t="inlineStr">
        <is>
          <t>45行 9列，源：None 备：</t>
        </is>
      </c>
    </row>
    <row r="796">
      <c r="B796" s="0" t="inlineStr">
        <is>
          <t>NULL</t>
        </is>
      </c>
      <c r="C796" s="0" t="inlineStr">
        <is>
          <t>NULL</t>
        </is>
      </c>
      <c r="D796" s="0" t="inlineStr">
        <is>
          <t>NULL</t>
        </is>
      </c>
      <c r="E796" s="0" t="inlineStr">
        <is>
          <t>NULL</t>
        </is>
      </c>
      <c r="F796" s="0" t="inlineStr">
        <is>
          <t>NULL</t>
        </is>
      </c>
      <c r="G796" s="0" t="inlineStr">
        <is>
          <t>NULL</t>
        </is>
      </c>
      <c r="H796" s="0" t="inlineStr">
        <is>
          <t>NULL</t>
        </is>
      </c>
      <c r="I796" s="0" t="inlineStr">
        <is>
          <t>NULL</t>
        </is>
      </c>
      <c r="J796" s="0" t="inlineStr">
        <is>
          <t>NULL</t>
        </is>
      </c>
      <c r="K796" s="0" t="inlineStr">
        <is>
          <t xml:space="preserve"> NO!  	 c_nchar3500列源备映射错误，源端为nchar 7000位	期望更改为text	实际备端为nchar 7000位</t>
        </is>
      </c>
      <c r="EH796" s="0" t="inlineStr">
        <is>
          <t>45行 10列，源：None 备：</t>
        </is>
      </c>
      <c r="ES796" s="0" t="inlineStr">
        <is>
          <t>45行 10列，源：None 备：</t>
        </is>
      </c>
    </row>
    <row r="797">
      <c r="A797" s="0" t="inlineStr">
        <is>
          <t>info_binary_dml_batch1_pk_drp1</t>
        </is>
      </c>
      <c r="K797" s="0" t="inlineStr">
        <is>
          <t>[0;34m info_binary_dml_batch1_pk_drp1 [0m源备字段数相同，源端字段：4 	备端字段4</t>
        </is>
      </c>
      <c r="W797" s="0" t="inlineStr">
        <is>
          <t>YES 源备无差异</t>
        </is>
      </c>
      <c r="X797" s="0">
        <f>A797</f>
        <v/>
      </c>
      <c r="EH797" s="0" t="inlineStr">
        <is>
          <t>45行 11列，源：None 备：</t>
        </is>
      </c>
      <c r="ES797" s="0" t="inlineStr">
        <is>
          <t>45行 11列，源：None 备：</t>
        </is>
      </c>
    </row>
    <row r="798">
      <c r="B798" s="0" t="inlineStr">
        <is>
          <t>YES</t>
        </is>
      </c>
      <c r="C798" s="0" t="inlineStr">
        <is>
          <t>NULL</t>
        </is>
      </c>
      <c r="D798" s="0" t="inlineStr">
        <is>
          <t>NULL</t>
        </is>
      </c>
      <c r="E798" s="0" t="inlineStr">
        <is>
          <t>NULL</t>
        </is>
      </c>
      <c r="F798" s="0" t="inlineStr">
        <is>
          <t>NULL</t>
        </is>
      </c>
      <c r="G798" s="0" t="inlineStr">
        <is>
          <t>NULL</t>
        </is>
      </c>
      <c r="H798" s="0" t="inlineStr">
        <is>
          <t>NULL</t>
        </is>
      </c>
      <c r="I798" s="0" t="inlineStr">
        <is>
          <t>YES!PK__info_bin__3213E83F112F1495</t>
        </is>
      </c>
      <c r="J798" s="0" t="inlineStr">
        <is>
          <t>YES! 主键相关索引</t>
        </is>
      </c>
      <c r="K798" s="0" t="inlineStr">
        <is>
          <t xml:space="preserve"> NO!  	 id列源备映射错误，源端为int None位	期望更改为text	实际备端为int None位</t>
        </is>
      </c>
      <c r="EH798" s="0" t="inlineStr">
        <is>
          <t>45行 12列，源：None 备：</t>
        </is>
      </c>
      <c r="ES798" s="0" t="inlineStr">
        <is>
          <t>45行 12列，源：None 备：</t>
        </is>
      </c>
    </row>
    <row r="799">
      <c r="B799" s="0" t="inlineStr">
        <is>
          <t>NULL</t>
        </is>
      </c>
      <c r="C799" s="0" t="inlineStr">
        <is>
          <t>NULL</t>
        </is>
      </c>
      <c r="D799" s="0" t="inlineStr">
        <is>
          <t>NULL</t>
        </is>
      </c>
      <c r="E799" s="0" t="inlineStr">
        <is>
          <t>NULL</t>
        </is>
      </c>
      <c r="F799" s="0" t="inlineStr">
        <is>
          <t>NULL</t>
        </is>
      </c>
      <c r="G799" s="0" t="inlineStr">
        <is>
          <t>NULL</t>
        </is>
      </c>
      <c r="H799" s="0" t="inlineStr">
        <is>
          <t>NULL</t>
        </is>
      </c>
      <c r="I799" s="0" t="inlineStr">
        <is>
          <t>NULL</t>
        </is>
      </c>
      <c r="J799" s="0" t="inlineStr">
        <is>
          <t>NULL</t>
        </is>
      </c>
      <c r="K799" s="0" t="inlineStr">
        <is>
          <t xml:space="preserve"> NO!  	 c_binary列源备映射错误，源端为binary 1位	期望更改为text	实际备端为binary 1位</t>
        </is>
      </c>
      <c r="EH799" s="0" t="inlineStr">
        <is>
          <t>45行 13列，源：None 备：</t>
        </is>
      </c>
      <c r="ES799" s="0" t="inlineStr">
        <is>
          <t>45行 13列，源：None 备：</t>
        </is>
      </c>
    </row>
    <row r="800">
      <c r="B800" s="0" t="inlineStr">
        <is>
          <t>NULL</t>
        </is>
      </c>
      <c r="C800" s="0" t="inlineStr">
        <is>
          <t>NULL</t>
        </is>
      </c>
      <c r="D800" s="0" t="inlineStr">
        <is>
          <t>NULL</t>
        </is>
      </c>
      <c r="E800" s="0" t="inlineStr">
        <is>
          <t>NULL</t>
        </is>
      </c>
      <c r="F800" s="0" t="inlineStr">
        <is>
          <t>NULL</t>
        </is>
      </c>
      <c r="G800" s="0" t="inlineStr">
        <is>
          <t>NULL</t>
        </is>
      </c>
      <c r="H800" s="0" t="inlineStr">
        <is>
          <t>NULL</t>
        </is>
      </c>
      <c r="I800" s="0" t="inlineStr">
        <is>
          <t>NULL</t>
        </is>
      </c>
      <c r="J800" s="0" t="inlineStr">
        <is>
          <t>NULL</t>
        </is>
      </c>
      <c r="K800" s="0" t="inlineStr">
        <is>
          <t xml:space="preserve"> NO!  	 c_binary_20列源备映射错误，源端为binary 20位	期望更改为text	实际备端为binary 20位</t>
        </is>
      </c>
      <c r="EH800" s="0" t="inlineStr">
        <is>
          <t>45行 14列，源：None 备：</t>
        </is>
      </c>
      <c r="ES800" s="0" t="inlineStr">
        <is>
          <t>45行 14列，源：None 备：</t>
        </is>
      </c>
    </row>
    <row r="801">
      <c r="B801" s="0" t="inlineStr">
        <is>
          <t>NULL</t>
        </is>
      </c>
      <c r="C801" s="0" t="inlineStr">
        <is>
          <t>NULL</t>
        </is>
      </c>
      <c r="D801" s="0" t="inlineStr">
        <is>
          <t>NULL</t>
        </is>
      </c>
      <c r="E801" s="0" t="inlineStr">
        <is>
          <t>NULL</t>
        </is>
      </c>
      <c r="F801" s="0" t="inlineStr">
        <is>
          <t>NULL</t>
        </is>
      </c>
      <c r="G801" s="0" t="inlineStr">
        <is>
          <t>NULL</t>
        </is>
      </c>
      <c r="H801" s="0" t="inlineStr">
        <is>
          <t>NULL</t>
        </is>
      </c>
      <c r="I801" s="0" t="inlineStr">
        <is>
          <t>NULL</t>
        </is>
      </c>
      <c r="J801" s="0" t="inlineStr">
        <is>
          <t>NULL</t>
        </is>
      </c>
      <c r="K801" s="0" t="inlineStr">
        <is>
          <t xml:space="preserve"> NO!  	 c_binary_200列源备映射错误，源端为binary 200位	期望更改为text	实际备端为binary 200位</t>
        </is>
      </c>
      <c r="EH801" s="0" t="inlineStr">
        <is>
          <t>45行 15列，源：nan 备：</t>
        </is>
      </c>
      <c r="ES801" s="0" t="inlineStr">
        <is>
          <t>45行 15列，源：nan 备：</t>
        </is>
      </c>
    </row>
    <row r="802">
      <c r="K802" s="0" t="inlineStr">
        <is>
          <t>~ 空表</t>
        </is>
      </c>
      <c r="EH802" s="0" t="inlineStr">
        <is>
          <t>45行 16列，源：nan 备：</t>
        </is>
      </c>
      <c r="ES802" s="0" t="inlineStr">
        <is>
          <t>45行 16列，源：nan 备：</t>
        </is>
      </c>
    </row>
    <row r="803">
      <c r="A803" s="0" t="inlineStr">
        <is>
          <t>info_date_dml_batch1_pk_urp2</t>
        </is>
      </c>
      <c r="K803" s="0" t="inlineStr">
        <is>
          <t>[0;34m info_date_dml_batch1_pk_urp2 [0m源备字段数相同，源端字段：2 	备端字段2</t>
        </is>
      </c>
      <c r="W803" s="2">
        <f>HYPERLINK("#2026041905hbase4!CW2","NO 源备存在差异，共19个")</f>
        <v/>
      </c>
      <c r="X803" s="0">
        <f>A803</f>
        <v/>
      </c>
      <c r="EH803" s="0" t="inlineStr">
        <is>
          <t>45行 17列，源：None 备：</t>
        </is>
      </c>
      <c r="ES803" s="0" t="inlineStr">
        <is>
          <t>45行 17列，源：None 备：</t>
        </is>
      </c>
    </row>
    <row r="804">
      <c r="B804" s="0" t="inlineStr">
        <is>
          <t>YES</t>
        </is>
      </c>
      <c r="C804" s="0" t="inlineStr">
        <is>
          <t>NULL</t>
        </is>
      </c>
      <c r="D804" s="0" t="inlineStr">
        <is>
          <t>NULL</t>
        </is>
      </c>
      <c r="E804" s="0" t="inlineStr">
        <is>
          <t>NULL</t>
        </is>
      </c>
      <c r="F804" s="0" t="inlineStr">
        <is>
          <t>NULL</t>
        </is>
      </c>
      <c r="G804" s="0" t="inlineStr">
        <is>
          <t>NULL</t>
        </is>
      </c>
      <c r="H804" s="0" t="inlineStr">
        <is>
          <t>NULL</t>
        </is>
      </c>
      <c r="I804" s="0" t="inlineStr">
        <is>
          <t>YES!PK__info_dat__3213E83F670DED64</t>
        </is>
      </c>
      <c r="J804" s="0" t="inlineStr">
        <is>
          <t>YES! 主键相关索引</t>
        </is>
      </c>
      <c r="K804" s="0" t="inlineStr">
        <is>
          <t xml:space="preserve"> NO!  	 id列源备映射错误，源端为int None位	期望更改为text	实际备端为int None位</t>
        </is>
      </c>
      <c r="EH804" s="0" t="inlineStr">
        <is>
          <t>45行 18列，源：None 备：</t>
        </is>
      </c>
      <c r="ES804" s="0" t="inlineStr">
        <is>
          <t>45行 18列，源：None 备：</t>
        </is>
      </c>
    </row>
    <row r="805">
      <c r="B805" s="0" t="inlineStr">
        <is>
          <t>NULL</t>
        </is>
      </c>
      <c r="C805" s="0" t="inlineStr">
        <is>
          <t>NULL</t>
        </is>
      </c>
      <c r="D805" s="0" t="inlineStr">
        <is>
          <t>NULL</t>
        </is>
      </c>
      <c r="E805" s="0" t="inlineStr">
        <is>
          <t>NULL</t>
        </is>
      </c>
      <c r="F805" s="0" t="inlineStr">
        <is>
          <t>NULL</t>
        </is>
      </c>
      <c r="G805" s="0" t="inlineStr">
        <is>
          <t>NULL</t>
        </is>
      </c>
      <c r="H805" s="0" t="inlineStr">
        <is>
          <t>NULL</t>
        </is>
      </c>
      <c r="I805" s="0" t="inlineStr">
        <is>
          <t>NULL</t>
        </is>
      </c>
      <c r="J805" s="0" t="inlineStr">
        <is>
          <t>NULL</t>
        </is>
      </c>
      <c r="K805" s="0" t="inlineStr">
        <is>
          <t xml:space="preserve"> NO!  	 c_date列源备映射错误，源端为date None位	期望更改为text	实际备端为date None位</t>
        </is>
      </c>
      <c r="EH805" s="0" t="inlineStr">
        <is>
          <t>45行 19列，源：None 备：</t>
        </is>
      </c>
      <c r="ES805" s="0" t="inlineStr">
        <is>
          <t>45行 19列，源：None 备：</t>
        </is>
      </c>
    </row>
    <row r="806">
      <c r="A806" s="0" t="inlineStr">
        <is>
          <t>info_char_dml_single_pk_irp</t>
        </is>
      </c>
      <c r="K806" s="0" t="inlineStr">
        <is>
          <t>[0;34m info_char_dml_single_pk_irp [0m源备字段数相同，源端字段：4 	备端字段4</t>
        </is>
      </c>
      <c r="W806" s="2">
        <f>HYPERLINK("#2026041905hbase4!CX2","NO 源备存在差异，共7个")</f>
        <v/>
      </c>
      <c r="X806" s="0">
        <f>A806</f>
        <v/>
      </c>
      <c r="EH806" s="0" t="inlineStr">
        <is>
          <t>46行 0列，源：107 备：169</t>
        </is>
      </c>
      <c r="ES806" s="0" t="inlineStr">
        <is>
          <t>46行 0列，源：107 备：214</t>
        </is>
      </c>
    </row>
    <row r="807">
      <c r="B807" s="0" t="inlineStr">
        <is>
          <t>YES</t>
        </is>
      </c>
      <c r="C807" s="0" t="inlineStr">
        <is>
          <t>NULL</t>
        </is>
      </c>
      <c r="D807" s="0" t="inlineStr">
        <is>
          <t>NULL</t>
        </is>
      </c>
      <c r="E807" s="0" t="inlineStr">
        <is>
          <t>NULL</t>
        </is>
      </c>
      <c r="F807" s="0" t="inlineStr">
        <is>
          <t>NULL</t>
        </is>
      </c>
      <c r="G807" s="0" t="inlineStr">
        <is>
          <t>NULL</t>
        </is>
      </c>
      <c r="H807" s="0" t="inlineStr">
        <is>
          <t>NULL</t>
        </is>
      </c>
      <c r="I807" s="0" t="inlineStr">
        <is>
          <t>YES!PK__info_cha__3213E83FA21A8FDA</t>
        </is>
      </c>
      <c r="J807" s="0" t="inlineStr">
        <is>
          <t>YES! 主键相关索引</t>
        </is>
      </c>
      <c r="K807" s="0" t="inlineStr">
        <is>
          <t xml:space="preserve"> NO!  	 id列源备映射错误，源端为int None位	期望更改为text	实际备端为int None位</t>
        </is>
      </c>
      <c r="EH807" s="0" t="inlineStr">
        <is>
          <t>46行 1列，源：nan 备：</t>
        </is>
      </c>
      <c r="ES807" s="0" t="inlineStr">
        <is>
          <t>46行 1列，源：nan 备：</t>
        </is>
      </c>
    </row>
    <row r="808">
      <c r="B808" s="0" t="inlineStr">
        <is>
          <t>NULL</t>
        </is>
      </c>
      <c r="C808" s="0" t="inlineStr">
        <is>
          <t>NULL</t>
        </is>
      </c>
      <c r="D808" s="0" t="inlineStr">
        <is>
          <t>NULL</t>
        </is>
      </c>
      <c r="E808" s="0" t="inlineStr">
        <is>
          <t>NULL</t>
        </is>
      </c>
      <c r="F808" s="0" t="inlineStr">
        <is>
          <t>NULL</t>
        </is>
      </c>
      <c r="G808" s="0" t="inlineStr">
        <is>
          <t>NULL</t>
        </is>
      </c>
      <c r="H808" s="0" t="inlineStr">
        <is>
          <t>NULL</t>
        </is>
      </c>
      <c r="I808" s="0" t="inlineStr">
        <is>
          <t>NULL</t>
        </is>
      </c>
      <c r="J808" s="0" t="inlineStr">
        <is>
          <t>NULL</t>
        </is>
      </c>
      <c r="K808" s="0" t="inlineStr">
        <is>
          <t xml:space="preserve"> NO!  	 c_char列源备映射错误，源端为char 1位	期望更改为text	实际备端为char 1位</t>
        </is>
      </c>
      <c r="EH808" s="0" t="inlineStr">
        <is>
          <t>46行 2列，源：nan 备：</t>
        </is>
      </c>
      <c r="ES808" s="0" t="inlineStr">
        <is>
          <t>46行 2列，源：nan 备：</t>
        </is>
      </c>
    </row>
    <row r="809">
      <c r="B809" s="0" t="inlineStr">
        <is>
          <t>NULL</t>
        </is>
      </c>
      <c r="C809" s="0" t="inlineStr">
        <is>
          <t>NULL</t>
        </is>
      </c>
      <c r="D809" s="0" t="inlineStr">
        <is>
          <t>NULL</t>
        </is>
      </c>
      <c r="E809" s="0" t="inlineStr">
        <is>
          <t>NULL</t>
        </is>
      </c>
      <c r="F809" s="0" t="inlineStr">
        <is>
          <t>NULL</t>
        </is>
      </c>
      <c r="G809" s="0" t="inlineStr">
        <is>
          <t>NULL</t>
        </is>
      </c>
      <c r="H809" s="0" t="inlineStr">
        <is>
          <t>NULL</t>
        </is>
      </c>
      <c r="I809" s="0" t="inlineStr">
        <is>
          <t>NULL</t>
        </is>
      </c>
      <c r="J809" s="0" t="inlineStr">
        <is>
          <t>NULL</t>
        </is>
      </c>
      <c r="K809" s="0" t="inlineStr">
        <is>
          <t xml:space="preserve"> NO!  	 c_char20列源备映射错误，源端为char 20位	期望更改为text	实际备端为char 20位</t>
        </is>
      </c>
      <c r="EH809" s="0" t="inlineStr">
        <is>
          <t>46行 3列，源：nan 备：</t>
        </is>
      </c>
      <c r="ES809" s="0" t="inlineStr">
        <is>
          <t>46行 3列，源：nan 备：</t>
        </is>
      </c>
    </row>
    <row r="810">
      <c r="B810" s="0" t="inlineStr">
        <is>
          <t>NULL</t>
        </is>
      </c>
      <c r="C810" s="0" t="inlineStr">
        <is>
          <t>NULL</t>
        </is>
      </c>
      <c r="D810" s="0" t="inlineStr">
        <is>
          <t>NULL</t>
        </is>
      </c>
      <c r="E810" s="0" t="inlineStr">
        <is>
          <t>NULL</t>
        </is>
      </c>
      <c r="F810" s="0" t="inlineStr">
        <is>
          <t>NULL</t>
        </is>
      </c>
      <c r="G810" s="0" t="inlineStr">
        <is>
          <t>NULL</t>
        </is>
      </c>
      <c r="H810" s="0" t="inlineStr">
        <is>
          <t>NULL</t>
        </is>
      </c>
      <c r="I810" s="0" t="inlineStr">
        <is>
          <t>NULL</t>
        </is>
      </c>
      <c r="J810" s="0" t="inlineStr">
        <is>
          <t>NULL</t>
        </is>
      </c>
      <c r="K810" s="0" t="inlineStr">
        <is>
          <t xml:space="preserve"> NO!  	 c_char200列源备映射错误，源端为char 200位	期望更改为text	实际备端为char 200位</t>
        </is>
      </c>
      <c r="EH810" s="0" t="inlineStr">
        <is>
          <t>46行 4列，源：nan 备：</t>
        </is>
      </c>
      <c r="ES810" s="0" t="inlineStr">
        <is>
          <t>46行 4列，源：nan 备：</t>
        </is>
      </c>
    </row>
    <row r="811">
      <c r="A811" s="0" t="inlineStr">
        <is>
          <t>info_date_dml_batch1_pk_urp1</t>
        </is>
      </c>
      <c r="K811" s="0" t="inlineStr">
        <is>
          <t>[0;34m info_date_dml_batch1_pk_urp1 [0m源备字段数相同，源端字段：2 	备端字段2</t>
        </is>
      </c>
      <c r="W811" s="2">
        <f>HYPERLINK("#2026041905hbase4!CY2","NO 源备存在差异，共10个")</f>
        <v/>
      </c>
      <c r="X811" s="0">
        <f>A811</f>
        <v/>
      </c>
      <c r="EH811" s="0" t="inlineStr">
        <is>
          <t>46行 5列，源：None 备：</t>
        </is>
      </c>
      <c r="ES811" s="0" t="inlineStr">
        <is>
          <t>46行 5列，源：None 备：</t>
        </is>
      </c>
    </row>
    <row r="812">
      <c r="B812" s="0" t="inlineStr">
        <is>
          <t>YES</t>
        </is>
      </c>
      <c r="C812" s="0" t="inlineStr">
        <is>
          <t>NULL</t>
        </is>
      </c>
      <c r="D812" s="0" t="inlineStr">
        <is>
          <t>NULL</t>
        </is>
      </c>
      <c r="E812" s="0" t="inlineStr">
        <is>
          <t>NULL</t>
        </is>
      </c>
      <c r="F812" s="0" t="inlineStr">
        <is>
          <t>NULL</t>
        </is>
      </c>
      <c r="G812" s="0" t="inlineStr">
        <is>
          <t>NULL</t>
        </is>
      </c>
      <c r="H812" s="0" t="inlineStr">
        <is>
          <t>NULL</t>
        </is>
      </c>
      <c r="I812" s="0" t="inlineStr">
        <is>
          <t>YES!PK__info_dat__3213E83FB3F1F161</t>
        </is>
      </c>
      <c r="J812" s="0" t="inlineStr">
        <is>
          <t>YES! 主键相关索引</t>
        </is>
      </c>
      <c r="K812" s="0" t="inlineStr">
        <is>
          <t xml:space="preserve"> NO!  	 id列源备映射错误，源端为int None位	期望更改为text	实际备端为int None位</t>
        </is>
      </c>
      <c r="EH812" s="0" t="inlineStr">
        <is>
          <t>46行 6列，源：None 备：</t>
        </is>
      </c>
      <c r="ES812" s="0" t="inlineStr">
        <is>
          <t>46行 6列，源：None 备：</t>
        </is>
      </c>
    </row>
    <row r="813">
      <c r="B813" s="0" t="inlineStr">
        <is>
          <t>NULL</t>
        </is>
      </c>
      <c r="C813" s="0" t="inlineStr">
        <is>
          <t>NULL</t>
        </is>
      </c>
      <c r="D813" s="0" t="inlineStr">
        <is>
          <t>NULL</t>
        </is>
      </c>
      <c r="E813" s="0" t="inlineStr">
        <is>
          <t>NULL</t>
        </is>
      </c>
      <c r="F813" s="0" t="inlineStr">
        <is>
          <t>NULL</t>
        </is>
      </c>
      <c r="G813" s="0" t="inlineStr">
        <is>
          <t>NULL</t>
        </is>
      </c>
      <c r="H813" s="0" t="inlineStr">
        <is>
          <t>NULL</t>
        </is>
      </c>
      <c r="I813" s="0" t="inlineStr">
        <is>
          <t>NULL</t>
        </is>
      </c>
      <c r="J813" s="0" t="inlineStr">
        <is>
          <t>NULL</t>
        </is>
      </c>
      <c r="K813" s="0" t="inlineStr">
        <is>
          <t xml:space="preserve"> NO!  	 c_date列源备映射错误，源端为date None位	期望更改为text	实际备端为date None位</t>
        </is>
      </c>
      <c r="EH813" s="0" t="inlineStr">
        <is>
          <t>46行 7列，源：None 备：</t>
        </is>
      </c>
      <c r="ES813" s="0" t="inlineStr">
        <is>
          <t>46行 7列，源：None 备：</t>
        </is>
      </c>
    </row>
    <row r="814">
      <c r="A814" s="0" t="inlineStr">
        <is>
          <t>info_binary_dml_batch1_pk_drp2</t>
        </is>
      </c>
      <c r="K814" s="0" t="inlineStr">
        <is>
          <t>[0;34m info_binary_dml_batch1_pk_drp2 [0m源备字段数相同，源端字段：4 	备端字段4</t>
        </is>
      </c>
      <c r="W814" s="2">
        <f>HYPERLINK("#2026041905hbase4!CZ2","NO 源备存在差异，共6个")</f>
        <v/>
      </c>
      <c r="X814" s="0">
        <f>A814</f>
        <v/>
      </c>
      <c r="EH814" s="0" t="inlineStr">
        <is>
          <t>46行 8列，源：None 备：</t>
        </is>
      </c>
      <c r="ES814" s="0" t="inlineStr">
        <is>
          <t>46行 8列，源：None 备：</t>
        </is>
      </c>
    </row>
    <row r="815">
      <c r="B815" s="0" t="inlineStr">
        <is>
          <t>YES</t>
        </is>
      </c>
      <c r="C815" s="0" t="inlineStr">
        <is>
          <t>NULL</t>
        </is>
      </c>
      <c r="D815" s="0" t="inlineStr">
        <is>
          <t>NULL</t>
        </is>
      </c>
      <c r="E815" s="0" t="inlineStr">
        <is>
          <t>NULL</t>
        </is>
      </c>
      <c r="F815" s="0" t="inlineStr">
        <is>
          <t>NULL</t>
        </is>
      </c>
      <c r="G815" s="0" t="inlineStr">
        <is>
          <t>NULL</t>
        </is>
      </c>
      <c r="H815" s="0" t="inlineStr">
        <is>
          <t>NULL</t>
        </is>
      </c>
      <c r="I815" s="0" t="inlineStr">
        <is>
          <t>YES!PK__info_bin__3213E83F649D4F3A</t>
        </is>
      </c>
      <c r="J815" s="0" t="inlineStr">
        <is>
          <t>YES! 主键相关索引</t>
        </is>
      </c>
      <c r="K815" s="0" t="inlineStr">
        <is>
          <t xml:space="preserve"> NO!  	 id列源备映射错误，源端为int None位	期望更改为text	实际备端为int None位</t>
        </is>
      </c>
      <c r="EH815" s="0" t="inlineStr">
        <is>
          <t>46行 9列，源：None 备：</t>
        </is>
      </c>
      <c r="ES815" s="0" t="inlineStr">
        <is>
          <t>46行 9列，源：None 备：</t>
        </is>
      </c>
    </row>
    <row r="816">
      <c r="B816" s="0" t="inlineStr">
        <is>
          <t>NULL</t>
        </is>
      </c>
      <c r="C816" s="0" t="inlineStr">
        <is>
          <t>NULL</t>
        </is>
      </c>
      <c r="D816" s="0" t="inlineStr">
        <is>
          <t>NULL</t>
        </is>
      </c>
      <c r="E816" s="0" t="inlineStr">
        <is>
          <t>NULL</t>
        </is>
      </c>
      <c r="F816" s="0" t="inlineStr">
        <is>
          <t>NULL</t>
        </is>
      </c>
      <c r="G816" s="0" t="inlineStr">
        <is>
          <t>NULL</t>
        </is>
      </c>
      <c r="H816" s="0" t="inlineStr">
        <is>
          <t>NULL</t>
        </is>
      </c>
      <c r="I816" s="0" t="inlineStr">
        <is>
          <t>NULL</t>
        </is>
      </c>
      <c r="J816" s="0" t="inlineStr">
        <is>
          <t>NULL</t>
        </is>
      </c>
      <c r="K816" s="0" t="inlineStr">
        <is>
          <t xml:space="preserve"> NO!  	 c_binary列源备映射错误，源端为binary 1位	期望更改为text	实际备端为binary 1位</t>
        </is>
      </c>
      <c r="EH816" s="0" t="inlineStr">
        <is>
          <t>46行 10列，源：None 备：</t>
        </is>
      </c>
      <c r="ES816" s="0" t="inlineStr">
        <is>
          <t>46行 10列，源：None 备：</t>
        </is>
      </c>
    </row>
    <row r="817">
      <c r="B817" s="0" t="inlineStr">
        <is>
          <t>NULL</t>
        </is>
      </c>
      <c r="C817" s="0" t="inlineStr">
        <is>
          <t>NULL</t>
        </is>
      </c>
      <c r="D817" s="0" t="inlineStr">
        <is>
          <t>NULL</t>
        </is>
      </c>
      <c r="E817" s="0" t="inlineStr">
        <is>
          <t>NULL</t>
        </is>
      </c>
      <c r="F817" s="0" t="inlineStr">
        <is>
          <t>NULL</t>
        </is>
      </c>
      <c r="G817" s="0" t="inlineStr">
        <is>
          <t>NULL</t>
        </is>
      </c>
      <c r="H817" s="0" t="inlineStr">
        <is>
          <t>NULL</t>
        </is>
      </c>
      <c r="I817" s="0" t="inlineStr">
        <is>
          <t>NULL</t>
        </is>
      </c>
      <c r="J817" s="0" t="inlineStr">
        <is>
          <t>NULL</t>
        </is>
      </c>
      <c r="K817" s="0" t="inlineStr">
        <is>
          <t xml:space="preserve"> NO!  	 c_binary_20列源备映射错误，源端为binary 20位	期望更改为text	实际备端为binary 20位</t>
        </is>
      </c>
      <c r="EH817" s="0" t="inlineStr">
        <is>
          <t>46行 11列，源：None 备：</t>
        </is>
      </c>
      <c r="ES817" s="0" t="inlineStr">
        <is>
          <t>46行 11列，源：None 备：</t>
        </is>
      </c>
    </row>
    <row r="818">
      <c r="B818" s="0" t="inlineStr">
        <is>
          <t>NULL</t>
        </is>
      </c>
      <c r="C818" s="0" t="inlineStr">
        <is>
          <t>NULL</t>
        </is>
      </c>
      <c r="D818" s="0" t="inlineStr">
        <is>
          <t>NULL</t>
        </is>
      </c>
      <c r="E818" s="0" t="inlineStr">
        <is>
          <t>NULL</t>
        </is>
      </c>
      <c r="F818" s="0" t="inlineStr">
        <is>
          <t>NULL</t>
        </is>
      </c>
      <c r="G818" s="0" t="inlineStr">
        <is>
          <t>NULL</t>
        </is>
      </c>
      <c r="H818" s="0" t="inlineStr">
        <is>
          <t>NULL</t>
        </is>
      </c>
      <c r="I818" s="0" t="inlineStr">
        <is>
          <t>NULL</t>
        </is>
      </c>
      <c r="J818" s="0" t="inlineStr">
        <is>
          <t>NULL</t>
        </is>
      </c>
      <c r="K818" s="0" t="inlineStr">
        <is>
          <t xml:space="preserve"> NO!  	 c_binary_200列源备映射错误，源端为binary 200位	期望更改为text	实际备端为binary 200位</t>
        </is>
      </c>
      <c r="EH818" s="0" t="inlineStr">
        <is>
          <t>46行 12列，源：None 备：</t>
        </is>
      </c>
      <c r="ES818" s="0" t="inlineStr">
        <is>
          <t>46行 12列，源：None 备：</t>
        </is>
      </c>
    </row>
    <row r="819">
      <c r="A819" s="0" t="inlineStr">
        <is>
          <t>info_varcharmax_dml_single_pk_drp</t>
        </is>
      </c>
      <c r="K819" s="0" t="inlineStr">
        <is>
          <t>[0;34m info_varcharmax_dml_single_pk_drp [0m源备字段数相同，源端字段：3 	备端字段3</t>
        </is>
      </c>
      <c r="W819" s="0" t="inlineStr">
        <is>
          <t>YES 源备无差异</t>
        </is>
      </c>
      <c r="X819" s="0">
        <f>A819</f>
        <v/>
      </c>
      <c r="EH819" s="0" t="inlineStr">
        <is>
          <t>46行 13列，源：None 备：</t>
        </is>
      </c>
      <c r="ES819" s="0" t="inlineStr">
        <is>
          <t>46行 13列，源：None 备：</t>
        </is>
      </c>
    </row>
    <row r="820">
      <c r="B820" s="0" t="inlineStr">
        <is>
          <t>YES</t>
        </is>
      </c>
      <c r="C820" s="0" t="inlineStr">
        <is>
          <t>NULL</t>
        </is>
      </c>
      <c r="D820" s="0" t="inlineStr">
        <is>
          <t>NULL</t>
        </is>
      </c>
      <c r="E820" s="0" t="inlineStr">
        <is>
          <t>NULL</t>
        </is>
      </c>
      <c r="F820" s="0" t="inlineStr">
        <is>
          <t>NULL</t>
        </is>
      </c>
      <c r="G820" s="0" t="inlineStr">
        <is>
          <t>NULL</t>
        </is>
      </c>
      <c r="H820" s="0" t="inlineStr">
        <is>
          <t>NULL</t>
        </is>
      </c>
      <c r="I820" s="0" t="inlineStr">
        <is>
          <t>YES!PK__info_var__3213E83F1C181C43</t>
        </is>
      </c>
      <c r="J820" s="0" t="inlineStr">
        <is>
          <t>YES! 主键相关索引</t>
        </is>
      </c>
      <c r="K820" s="0" t="inlineStr">
        <is>
          <t xml:space="preserve"> NO!  	 id列源备映射错误，源端为int None位	期望更改为text	实际备端为int None位</t>
        </is>
      </c>
      <c r="EH820" s="0" t="inlineStr">
        <is>
          <t>46行 14列，源：None 备：</t>
        </is>
      </c>
      <c r="ES820" s="0" t="inlineStr">
        <is>
          <t>46行 14列，源：None 备：</t>
        </is>
      </c>
    </row>
    <row r="821">
      <c r="B821" s="0" t="inlineStr">
        <is>
          <t>NULL</t>
        </is>
      </c>
      <c r="C821" s="0" t="inlineStr">
        <is>
          <t>NULL</t>
        </is>
      </c>
      <c r="D821" s="0" t="inlineStr">
        <is>
          <t>NULL</t>
        </is>
      </c>
      <c r="E821" s="0" t="inlineStr">
        <is>
          <t>NULL</t>
        </is>
      </c>
      <c r="F821" s="0" t="inlineStr">
        <is>
          <t>NULL</t>
        </is>
      </c>
      <c r="G821" s="0" t="inlineStr">
        <is>
          <t>NULL</t>
        </is>
      </c>
      <c r="H821" s="0" t="inlineStr">
        <is>
          <t>NULL</t>
        </is>
      </c>
      <c r="I821" s="0" t="inlineStr">
        <is>
          <t>NULL</t>
        </is>
      </c>
      <c r="J821" s="0" t="inlineStr">
        <is>
          <t>NULL</t>
        </is>
      </c>
      <c r="K821" s="0" t="inlineStr">
        <is>
          <t xml:space="preserve"> NO!  	 c_varchar_max列源备映射错误，源端为varchar -1位	期望更改为text	实际备端为varchar -1位</t>
        </is>
      </c>
      <c r="EH821" s="0" t="inlineStr">
        <is>
          <t>46行 15列，源：nan 备：</t>
        </is>
      </c>
      <c r="ES821" s="0" t="inlineStr">
        <is>
          <t>46行 15列，源：nan 备：</t>
        </is>
      </c>
    </row>
    <row r="822">
      <c r="B822" s="0" t="inlineStr">
        <is>
          <t>NULL</t>
        </is>
      </c>
      <c r="C822" s="0" t="inlineStr">
        <is>
          <t>NULL</t>
        </is>
      </c>
      <c r="D822" s="0" t="inlineStr">
        <is>
          <t>NULL</t>
        </is>
      </c>
      <c r="E822" s="0" t="inlineStr">
        <is>
          <t>NULL</t>
        </is>
      </c>
      <c r="F822" s="0" t="inlineStr">
        <is>
          <t>NULL</t>
        </is>
      </c>
      <c r="G822" s="0" t="inlineStr">
        <is>
          <t>NULL</t>
        </is>
      </c>
      <c r="H822" s="0" t="inlineStr">
        <is>
          <t>NULL</t>
        </is>
      </c>
      <c r="I822" s="0" t="inlineStr">
        <is>
          <t>NULL</t>
        </is>
      </c>
      <c r="J822" s="0" t="inlineStr">
        <is>
          <t>NULL</t>
        </is>
      </c>
      <c r="K822" s="0" t="inlineStr">
        <is>
          <t xml:space="preserve"> NO!  	 c_nvarchar_max列源备映射错误，源端为nvarchar -1位	期望更改为text	实际备端为nvarchar -1位</t>
        </is>
      </c>
      <c r="EH822" s="0" t="inlineStr">
        <is>
          <t>46行 16列，源：nan 备：</t>
        </is>
      </c>
      <c r="ES822" s="0" t="inlineStr">
        <is>
          <t>46行 16列，源：nan 备：</t>
        </is>
      </c>
    </row>
    <row r="823">
      <c r="A823" s="0" t="inlineStr">
        <is>
          <t>info_int_dml_single_pk_drp</t>
        </is>
      </c>
      <c r="K823" s="0" t="inlineStr">
        <is>
          <t>[0;34m info_int_dml_single_pk_drp [0m源备字段数相同，源端字段：20 	备端字段20</t>
        </is>
      </c>
      <c r="W823" s="2">
        <f>HYPERLINK("#2026041905hbase4!DA2","NO 源备存在差异，共323个")</f>
        <v/>
      </c>
      <c r="X823" s="0">
        <f>A823</f>
        <v/>
      </c>
      <c r="EH823" s="0" t="inlineStr">
        <is>
          <t>46行 17列，源：None 备：</t>
        </is>
      </c>
      <c r="ES823" s="0" t="inlineStr">
        <is>
          <t>46行 17列，源：None 备：</t>
        </is>
      </c>
    </row>
    <row r="824">
      <c r="B824" s="0" t="inlineStr">
        <is>
          <t>YES</t>
        </is>
      </c>
      <c r="C824" s="0" t="inlineStr">
        <is>
          <t>NULL</t>
        </is>
      </c>
      <c r="D824" s="0" t="inlineStr">
        <is>
          <t>NULL</t>
        </is>
      </c>
      <c r="E824" s="0" t="inlineStr">
        <is>
          <t>NULL</t>
        </is>
      </c>
      <c r="F824" s="0" t="inlineStr">
        <is>
          <t>NULL</t>
        </is>
      </c>
      <c r="G824" s="0" t="inlineStr">
        <is>
          <t>NULL</t>
        </is>
      </c>
      <c r="H824" s="0" t="inlineStr">
        <is>
          <t>NULL</t>
        </is>
      </c>
      <c r="I824" s="0" t="inlineStr">
        <is>
          <t>YES!PK__info_int__3213E83F17F3D42D</t>
        </is>
      </c>
      <c r="J824" s="0" t="inlineStr">
        <is>
          <t>YES! 主键相关索引</t>
        </is>
      </c>
      <c r="K824" s="0" t="inlineStr">
        <is>
          <t xml:space="preserve"> NO!  	 id列源备映射错误，源端为int None位	期望更改为text	实际备端为int None位</t>
        </is>
      </c>
      <c r="EH824" s="0" t="inlineStr">
        <is>
          <t>46行 18列，源：None 备：</t>
        </is>
      </c>
      <c r="ES824" s="0" t="inlineStr">
        <is>
          <t>46行 18列，源：None 备：</t>
        </is>
      </c>
    </row>
    <row r="825">
      <c r="B825" s="0" t="inlineStr">
        <is>
          <t>NULL</t>
        </is>
      </c>
      <c r="C825" s="0" t="inlineStr">
        <is>
          <t>NULL</t>
        </is>
      </c>
      <c r="D825" s="0" t="inlineStr">
        <is>
          <t>NULL</t>
        </is>
      </c>
      <c r="E825" s="0" t="inlineStr">
        <is>
          <t>NULL</t>
        </is>
      </c>
      <c r="F825" s="0" t="inlineStr">
        <is>
          <t>NULL</t>
        </is>
      </c>
      <c r="G825" s="0" t="inlineStr">
        <is>
          <t>NULL</t>
        </is>
      </c>
      <c r="H825" s="0" t="inlineStr">
        <is>
          <t>NULL</t>
        </is>
      </c>
      <c r="I825" s="0" t="inlineStr">
        <is>
          <t>NULL</t>
        </is>
      </c>
      <c r="J825" s="0" t="inlineStr">
        <is>
          <t>NULL</t>
        </is>
      </c>
      <c r="K825" s="0" t="inlineStr">
        <is>
          <t xml:space="preserve"> NO!  	 c_tinyint列源备映射错误，源端为tinyint None位	期望更改为text	实际备端为tinyint None位</t>
        </is>
      </c>
      <c r="EH825" s="0" t="inlineStr">
        <is>
          <t>46行 19列，源：None 备：</t>
        </is>
      </c>
      <c r="ES825" s="0" t="inlineStr">
        <is>
          <t>46行 19列，源：None 备：</t>
        </is>
      </c>
    </row>
    <row r="826">
      <c r="B826" s="0" t="inlineStr">
        <is>
          <t>NULL</t>
        </is>
      </c>
      <c r="C826" s="0" t="inlineStr">
        <is>
          <t>NULL</t>
        </is>
      </c>
      <c r="D826" s="0" t="inlineStr">
        <is>
          <t>NULL</t>
        </is>
      </c>
      <c r="E826" s="0" t="inlineStr">
        <is>
          <t>NULL</t>
        </is>
      </c>
      <c r="F826" s="0" t="inlineStr">
        <is>
          <t>NULL</t>
        </is>
      </c>
      <c r="G826" s="0" t="inlineStr">
        <is>
          <t>NULL</t>
        </is>
      </c>
      <c r="H826" s="0" t="inlineStr">
        <is>
          <t>NULL</t>
        </is>
      </c>
      <c r="I826" s="0" t="inlineStr">
        <is>
          <t>NULL</t>
        </is>
      </c>
      <c r="J826" s="0" t="inlineStr">
        <is>
          <t>NULL</t>
        </is>
      </c>
      <c r="K826" s="0" t="inlineStr">
        <is>
          <t xml:space="preserve"> NO!  	 c_smallint列源备映射错误，源端为smallint None位	期望更改为text	实际备端为smallint None位</t>
        </is>
      </c>
      <c r="EH826" s="0" t="inlineStr">
        <is>
          <t>47行 0列，源：108 备：17</t>
        </is>
      </c>
      <c r="ES826" s="0" t="inlineStr">
        <is>
          <t>47行 0列，源：108 备：215</t>
        </is>
      </c>
    </row>
    <row r="827">
      <c r="B827" s="0" t="inlineStr">
        <is>
          <t>NULL</t>
        </is>
      </c>
      <c r="C827" s="0" t="inlineStr">
        <is>
          <t>NULL</t>
        </is>
      </c>
      <c r="D827" s="0" t="inlineStr">
        <is>
          <t>NULL</t>
        </is>
      </c>
      <c r="E827" s="0" t="inlineStr">
        <is>
          <t>NULL</t>
        </is>
      </c>
      <c r="F827" s="0" t="inlineStr">
        <is>
          <t>NULL</t>
        </is>
      </c>
      <c r="G827" s="0" t="inlineStr">
        <is>
          <t>NULL</t>
        </is>
      </c>
      <c r="H827" s="0" t="inlineStr">
        <is>
          <t>NULL</t>
        </is>
      </c>
      <c r="I827" s="0" t="inlineStr">
        <is>
          <t>NULL</t>
        </is>
      </c>
      <c r="J827" s="0" t="inlineStr">
        <is>
          <t>NULL</t>
        </is>
      </c>
      <c r="K827" s="0" t="inlineStr">
        <is>
          <t xml:space="preserve"> NO!  	 c_int列源备映射错误，源端为int None位	期望更改为text	实际备端为int None位</t>
        </is>
      </c>
      <c r="EH827" s="0" t="inlineStr">
        <is>
          <t>47行 1列，源：nan 备：</t>
        </is>
      </c>
      <c r="ES827" s="0" t="inlineStr">
        <is>
          <t>47行 1列，源：nan 备：</t>
        </is>
      </c>
    </row>
    <row r="828">
      <c r="B828" s="0" t="inlineStr">
        <is>
          <t>NULL</t>
        </is>
      </c>
      <c r="C828" s="0" t="inlineStr">
        <is>
          <t>NULL</t>
        </is>
      </c>
      <c r="D828" s="0" t="inlineStr">
        <is>
          <t>NULL</t>
        </is>
      </c>
      <c r="E828" s="0" t="inlineStr">
        <is>
          <t>NULL</t>
        </is>
      </c>
      <c r="F828" s="0" t="inlineStr">
        <is>
          <t>NULL</t>
        </is>
      </c>
      <c r="G828" s="0" t="inlineStr">
        <is>
          <t>NULL</t>
        </is>
      </c>
      <c r="H828" s="0" t="inlineStr">
        <is>
          <t>NULL</t>
        </is>
      </c>
      <c r="I828" s="0" t="inlineStr">
        <is>
          <t>NULL</t>
        </is>
      </c>
      <c r="J828" s="0" t="inlineStr">
        <is>
          <t>NULL</t>
        </is>
      </c>
      <c r="K828" s="0" t="inlineStr">
        <is>
          <t xml:space="preserve"> NO!  	 c_bigint列源备映射错误，源端为bigint None位	期望更改为text	实际备端为bigint None位</t>
        </is>
      </c>
      <c r="EH828" s="0" t="inlineStr">
        <is>
          <t>47行 2列，源：nan 备：</t>
        </is>
      </c>
      <c r="ES828" s="0" t="inlineStr">
        <is>
          <t>47行 2列，源：nan 备：</t>
        </is>
      </c>
    </row>
    <row r="829">
      <c r="B829" s="0" t="inlineStr">
        <is>
          <t>NULL</t>
        </is>
      </c>
      <c r="C829" s="0" t="inlineStr">
        <is>
          <t>NULL</t>
        </is>
      </c>
      <c r="D829" s="0" t="inlineStr">
        <is>
          <t>NULL</t>
        </is>
      </c>
      <c r="E829" s="0" t="inlineStr">
        <is>
          <t>NULL</t>
        </is>
      </c>
      <c r="F829" s="0" t="inlineStr">
        <is>
          <t>NULL</t>
        </is>
      </c>
      <c r="G829" s="0" t="inlineStr">
        <is>
          <t>NULL</t>
        </is>
      </c>
      <c r="H829" s="0" t="inlineStr">
        <is>
          <t>NULL</t>
        </is>
      </c>
      <c r="I829" s="0" t="inlineStr">
        <is>
          <t>NULL</t>
        </is>
      </c>
      <c r="J829" s="0" t="inlineStr">
        <is>
          <t>NULL</t>
        </is>
      </c>
      <c r="K829" s="0" t="inlineStr">
        <is>
          <t xml:space="preserve"> NO!  	 c_decimal列源备映射错误，源端为decimal None位	期望更改为text	实际备端为decimal None位</t>
        </is>
      </c>
      <c r="EH829" s="0" t="inlineStr">
        <is>
          <t>47行 3列，源：nan 备：</t>
        </is>
      </c>
      <c r="ES829" s="0" t="inlineStr">
        <is>
          <t>47行 3列，源：nan 备：</t>
        </is>
      </c>
    </row>
    <row r="830">
      <c r="B830" s="0" t="inlineStr">
        <is>
          <t>NULL</t>
        </is>
      </c>
      <c r="C830" s="0" t="inlineStr">
        <is>
          <t>NULL</t>
        </is>
      </c>
      <c r="D830" s="0" t="inlineStr">
        <is>
          <t>NULL</t>
        </is>
      </c>
      <c r="E830" s="0" t="inlineStr">
        <is>
          <t>NULL</t>
        </is>
      </c>
      <c r="F830" s="0" t="inlineStr">
        <is>
          <t>NULL</t>
        </is>
      </c>
      <c r="G830" s="0" t="inlineStr">
        <is>
          <t>NULL</t>
        </is>
      </c>
      <c r="H830" s="0" t="inlineStr">
        <is>
          <t>NULL</t>
        </is>
      </c>
      <c r="I830" s="0" t="inlineStr">
        <is>
          <t>NULL</t>
        </is>
      </c>
      <c r="J830" s="0" t="inlineStr">
        <is>
          <t>NULL</t>
        </is>
      </c>
      <c r="K830" s="0" t="inlineStr">
        <is>
          <t xml:space="preserve"> NO!  	 c_decimal38列源备映射错误，源端为decimal None位	期望更改为text	实际备端为decimal None位</t>
        </is>
      </c>
      <c r="EH830" s="0" t="inlineStr">
        <is>
          <t>47行 4列，源：nan 备：</t>
        </is>
      </c>
      <c r="ES830" s="0" t="inlineStr">
        <is>
          <t>47行 4列，源：nan 备：</t>
        </is>
      </c>
    </row>
    <row r="831">
      <c r="B831" s="0" t="inlineStr">
        <is>
          <t>NULL</t>
        </is>
      </c>
      <c r="C831" s="0" t="inlineStr">
        <is>
          <t>NULL</t>
        </is>
      </c>
      <c r="D831" s="0" t="inlineStr">
        <is>
          <t>NULL</t>
        </is>
      </c>
      <c r="E831" s="0" t="inlineStr">
        <is>
          <t>NULL</t>
        </is>
      </c>
      <c r="F831" s="0" t="inlineStr">
        <is>
          <t>NULL</t>
        </is>
      </c>
      <c r="G831" s="0" t="inlineStr">
        <is>
          <t>NULL</t>
        </is>
      </c>
      <c r="H831" s="0" t="inlineStr">
        <is>
          <t>NULL</t>
        </is>
      </c>
      <c r="I831" s="0" t="inlineStr">
        <is>
          <t>NULL</t>
        </is>
      </c>
      <c r="J831" s="0" t="inlineStr">
        <is>
          <t>NULL</t>
        </is>
      </c>
      <c r="K831" s="0" t="inlineStr">
        <is>
          <t xml:space="preserve"> NO!  	 c_decimal38_38列源备映射错误，源端为decimal None位	期望更改为text	实际备端为decimal None位</t>
        </is>
      </c>
      <c r="EH831" s="0" t="inlineStr">
        <is>
          <t>47行 5列，源：None 备：</t>
        </is>
      </c>
      <c r="ES831" s="0" t="inlineStr">
        <is>
          <t>47行 5列，源：None 备：</t>
        </is>
      </c>
    </row>
    <row r="832">
      <c r="B832" s="0" t="inlineStr">
        <is>
          <t>NULL</t>
        </is>
      </c>
      <c r="C832" s="0" t="inlineStr">
        <is>
          <t>NULL</t>
        </is>
      </c>
      <c r="D832" s="0" t="inlineStr">
        <is>
          <t>NULL</t>
        </is>
      </c>
      <c r="E832" s="0" t="inlineStr">
        <is>
          <t>NULL</t>
        </is>
      </c>
      <c r="F832" s="0" t="inlineStr">
        <is>
          <t>NULL</t>
        </is>
      </c>
      <c r="G832" s="0" t="inlineStr">
        <is>
          <t>NULL</t>
        </is>
      </c>
      <c r="H832" s="0" t="inlineStr">
        <is>
          <t>NULL</t>
        </is>
      </c>
      <c r="I832" s="0" t="inlineStr">
        <is>
          <t>NULL</t>
        </is>
      </c>
      <c r="J832" s="0" t="inlineStr">
        <is>
          <t>NULL</t>
        </is>
      </c>
      <c r="K832" s="0" t="inlineStr">
        <is>
          <t xml:space="preserve"> NO!  	 c_decimal38_10列源备映射错误，源端为decimal None位	期望更改为text	实际备端为decimal None位</t>
        </is>
      </c>
      <c r="EH832" s="0" t="inlineStr">
        <is>
          <t>47行 6列，源：None 备：</t>
        </is>
      </c>
      <c r="ES832" s="0" t="inlineStr">
        <is>
          <t>47行 6列，源：None 备：</t>
        </is>
      </c>
    </row>
    <row r="833">
      <c r="B833" s="0" t="inlineStr">
        <is>
          <t>NULL</t>
        </is>
      </c>
      <c r="C833" s="0" t="inlineStr">
        <is>
          <t>NULL</t>
        </is>
      </c>
      <c r="D833" s="0" t="inlineStr">
        <is>
          <t>NULL</t>
        </is>
      </c>
      <c r="E833" s="0" t="inlineStr">
        <is>
          <t>NULL</t>
        </is>
      </c>
      <c r="F833" s="0" t="inlineStr">
        <is>
          <t>NULL</t>
        </is>
      </c>
      <c r="G833" s="0" t="inlineStr">
        <is>
          <t>NULL</t>
        </is>
      </c>
      <c r="H833" s="0" t="inlineStr">
        <is>
          <t>NULL</t>
        </is>
      </c>
      <c r="I833" s="0" t="inlineStr">
        <is>
          <t>NULL</t>
        </is>
      </c>
      <c r="J833" s="0" t="inlineStr">
        <is>
          <t>NULL</t>
        </is>
      </c>
      <c r="K833" s="0" t="inlineStr">
        <is>
          <t xml:space="preserve"> NO!  	 c_decimal19_4列源备映射错误，源端为decimal None位	期望更改为text	实际备端为decimal None位</t>
        </is>
      </c>
      <c r="EH833" s="0" t="inlineStr">
        <is>
          <t>47行 7列，源：None 备：</t>
        </is>
      </c>
      <c r="ES833" s="0" t="inlineStr">
        <is>
          <t>47行 7列，源：None 备：</t>
        </is>
      </c>
    </row>
    <row r="834">
      <c r="B834" s="0" t="inlineStr">
        <is>
          <t>NULL</t>
        </is>
      </c>
      <c r="C834" s="0" t="inlineStr">
        <is>
          <t>NULL</t>
        </is>
      </c>
      <c r="D834" s="0" t="inlineStr">
        <is>
          <t>NULL</t>
        </is>
      </c>
      <c r="E834" s="0" t="inlineStr">
        <is>
          <t>NULL</t>
        </is>
      </c>
      <c r="F834" s="0" t="inlineStr">
        <is>
          <t>NULL</t>
        </is>
      </c>
      <c r="G834" s="0" t="inlineStr">
        <is>
          <t>NULL</t>
        </is>
      </c>
      <c r="H834" s="0" t="inlineStr">
        <is>
          <t>NULL</t>
        </is>
      </c>
      <c r="I834" s="0" t="inlineStr">
        <is>
          <t>NULL</t>
        </is>
      </c>
      <c r="J834" s="0" t="inlineStr">
        <is>
          <t>NULL</t>
        </is>
      </c>
      <c r="K834" s="0" t="inlineStr">
        <is>
          <t xml:space="preserve"> NO!  	 c_numeric列源备映射错误，源端为numeric None位	期望更改为text	实际备端为numeric None位</t>
        </is>
      </c>
      <c r="EH834" s="0" t="inlineStr">
        <is>
          <t>47行 8列，源：None 备：</t>
        </is>
      </c>
      <c r="ES834" s="0" t="inlineStr">
        <is>
          <t>47行 8列，源：None 备：</t>
        </is>
      </c>
    </row>
    <row r="835">
      <c r="B835" s="0" t="inlineStr">
        <is>
          <t>NULL</t>
        </is>
      </c>
      <c r="C835" s="0" t="inlineStr">
        <is>
          <t>NULL</t>
        </is>
      </c>
      <c r="D835" s="0" t="inlineStr">
        <is>
          <t>NULL</t>
        </is>
      </c>
      <c r="E835" s="0" t="inlineStr">
        <is>
          <t>NULL</t>
        </is>
      </c>
      <c r="F835" s="0" t="inlineStr">
        <is>
          <t>NULL</t>
        </is>
      </c>
      <c r="G835" s="0" t="inlineStr">
        <is>
          <t>NULL</t>
        </is>
      </c>
      <c r="H835" s="0" t="inlineStr">
        <is>
          <t>NULL</t>
        </is>
      </c>
      <c r="I835" s="0" t="inlineStr">
        <is>
          <t>NULL</t>
        </is>
      </c>
      <c r="J835" s="0" t="inlineStr">
        <is>
          <t>NULL</t>
        </is>
      </c>
      <c r="K835" s="0" t="inlineStr">
        <is>
          <t xml:space="preserve"> NO!  	 c_numeric38列源备映射错误，源端为numeric None位	期望更改为text	实际备端为numeric None位</t>
        </is>
      </c>
      <c r="EH835" s="0" t="inlineStr">
        <is>
          <t>47行 9列，源：None 备：</t>
        </is>
      </c>
      <c r="ES835" s="0" t="inlineStr">
        <is>
          <t>47行 9列，源：None 备：</t>
        </is>
      </c>
    </row>
    <row r="836">
      <c r="B836" s="0" t="inlineStr">
        <is>
          <t>NULL</t>
        </is>
      </c>
      <c r="C836" s="0" t="inlineStr">
        <is>
          <t>NULL</t>
        </is>
      </c>
      <c r="D836" s="0" t="inlineStr">
        <is>
          <t>NULL</t>
        </is>
      </c>
      <c r="E836" s="0" t="inlineStr">
        <is>
          <t>NULL</t>
        </is>
      </c>
      <c r="F836" s="0" t="inlineStr">
        <is>
          <t>NULL</t>
        </is>
      </c>
      <c r="G836" s="0" t="inlineStr">
        <is>
          <t>NULL</t>
        </is>
      </c>
      <c r="H836" s="0" t="inlineStr">
        <is>
          <t>NULL</t>
        </is>
      </c>
      <c r="I836" s="0" t="inlineStr">
        <is>
          <t>NULL</t>
        </is>
      </c>
      <c r="J836" s="0" t="inlineStr">
        <is>
          <t>NULL</t>
        </is>
      </c>
      <c r="K836" s="0" t="inlineStr">
        <is>
          <t xml:space="preserve"> NO!  	 c_numeric38_38列源备映射错误，源端为numeric None位	期望更改为text	实际备端为numeric None位</t>
        </is>
      </c>
      <c r="EH836" s="0" t="inlineStr">
        <is>
          <t>47行 10列，源：None 备：</t>
        </is>
      </c>
      <c r="ES836" s="0" t="inlineStr">
        <is>
          <t>47行 10列，源：None 备：</t>
        </is>
      </c>
    </row>
    <row r="837">
      <c r="B837" s="0" t="inlineStr">
        <is>
          <t>NULL</t>
        </is>
      </c>
      <c r="C837" s="0" t="inlineStr">
        <is>
          <t>NULL</t>
        </is>
      </c>
      <c r="D837" s="0" t="inlineStr">
        <is>
          <t>NULL</t>
        </is>
      </c>
      <c r="E837" s="0" t="inlineStr">
        <is>
          <t>NULL</t>
        </is>
      </c>
      <c r="F837" s="0" t="inlineStr">
        <is>
          <t>NULL</t>
        </is>
      </c>
      <c r="G837" s="0" t="inlineStr">
        <is>
          <t>NULL</t>
        </is>
      </c>
      <c r="H837" s="0" t="inlineStr">
        <is>
          <t>NULL</t>
        </is>
      </c>
      <c r="I837" s="0" t="inlineStr">
        <is>
          <t>NULL</t>
        </is>
      </c>
      <c r="J837" s="0" t="inlineStr">
        <is>
          <t>NULL</t>
        </is>
      </c>
      <c r="K837" s="0" t="inlineStr">
        <is>
          <t xml:space="preserve"> NO!  	 c_numeric38_10列源备映射错误，源端为numeric None位	期望更改为text	实际备端为numeric None位</t>
        </is>
      </c>
      <c r="EH837" s="0" t="inlineStr">
        <is>
          <t>47行 11列，源：None 备：</t>
        </is>
      </c>
      <c r="ES837" s="0" t="inlineStr">
        <is>
          <t>47行 11列，源：None 备：</t>
        </is>
      </c>
    </row>
    <row r="838">
      <c r="B838" s="0" t="inlineStr">
        <is>
          <t>NULL</t>
        </is>
      </c>
      <c r="C838" s="0" t="inlineStr">
        <is>
          <t>NULL</t>
        </is>
      </c>
      <c r="D838" s="0" t="inlineStr">
        <is>
          <t>NULL</t>
        </is>
      </c>
      <c r="E838" s="0" t="inlineStr">
        <is>
          <t>NULL</t>
        </is>
      </c>
      <c r="F838" s="0" t="inlineStr">
        <is>
          <t>NULL</t>
        </is>
      </c>
      <c r="G838" s="0" t="inlineStr">
        <is>
          <t>NULL</t>
        </is>
      </c>
      <c r="H838" s="0" t="inlineStr">
        <is>
          <t>NULL</t>
        </is>
      </c>
      <c r="I838" s="0" t="inlineStr">
        <is>
          <t>NULL</t>
        </is>
      </c>
      <c r="J838" s="0" t="inlineStr">
        <is>
          <t>NULL</t>
        </is>
      </c>
      <c r="K838" s="0" t="inlineStr">
        <is>
          <t xml:space="preserve"> NO!  	 c_numeric18_2列源备映射错误，源端为numeric None位	期望更改为text	实际备端为numeric None位</t>
        </is>
      </c>
      <c r="EH838" s="0" t="inlineStr">
        <is>
          <t>47行 12列，源：None 备：</t>
        </is>
      </c>
      <c r="ES838" s="0" t="inlineStr">
        <is>
          <t>47行 12列，源：None 备：</t>
        </is>
      </c>
    </row>
    <row r="839">
      <c r="B839" s="0" t="inlineStr">
        <is>
          <t>NULL</t>
        </is>
      </c>
      <c r="C839" s="0" t="inlineStr">
        <is>
          <t>NULL</t>
        </is>
      </c>
      <c r="D839" s="0" t="inlineStr">
        <is>
          <t>NULL</t>
        </is>
      </c>
      <c r="E839" s="0" t="inlineStr">
        <is>
          <t>NULL</t>
        </is>
      </c>
      <c r="F839" s="0" t="inlineStr">
        <is>
          <t>NULL</t>
        </is>
      </c>
      <c r="G839" s="0" t="inlineStr">
        <is>
          <t>NULL</t>
        </is>
      </c>
      <c r="H839" s="0" t="inlineStr">
        <is>
          <t>NULL</t>
        </is>
      </c>
      <c r="I839" s="0" t="inlineStr">
        <is>
          <t>NULL</t>
        </is>
      </c>
      <c r="J839" s="0" t="inlineStr">
        <is>
          <t>NULL</t>
        </is>
      </c>
      <c r="K839" s="0" t="inlineStr">
        <is>
          <t xml:space="preserve"> NO!  	 c_float列源备映射错误，源端为float None位	期望更改为text	实际备端为float None位</t>
        </is>
      </c>
      <c r="EH839" s="0" t="inlineStr">
        <is>
          <t>47行 13列，源：None 备：</t>
        </is>
      </c>
      <c r="ES839" s="0" t="inlineStr">
        <is>
          <t>47行 13列，源：None 备：</t>
        </is>
      </c>
    </row>
    <row r="840">
      <c r="B840" s="0" t="inlineStr">
        <is>
          <t>NULL</t>
        </is>
      </c>
      <c r="C840" s="0" t="inlineStr">
        <is>
          <t>NULL</t>
        </is>
      </c>
      <c r="D840" s="0" t="inlineStr">
        <is>
          <t>NULL</t>
        </is>
      </c>
      <c r="E840" s="0" t="inlineStr">
        <is>
          <t>NULL</t>
        </is>
      </c>
      <c r="F840" s="0" t="inlineStr">
        <is>
          <t>NULL</t>
        </is>
      </c>
      <c r="G840" s="0" t="inlineStr">
        <is>
          <t>NULL</t>
        </is>
      </c>
      <c r="H840" s="0" t="inlineStr">
        <is>
          <t>NULL</t>
        </is>
      </c>
      <c r="I840" s="0" t="inlineStr">
        <is>
          <t>NULL</t>
        </is>
      </c>
      <c r="J840" s="0" t="inlineStr">
        <is>
          <t>NULL</t>
        </is>
      </c>
      <c r="K840" s="0" t="inlineStr">
        <is>
          <t xml:space="preserve"> NO!  	 c_real列源备映射错误，源端为real None位	期望更改为text	实际备端为real None位</t>
        </is>
      </c>
      <c r="EH840" s="0" t="inlineStr">
        <is>
          <t>47行 14列，源：None 备：</t>
        </is>
      </c>
      <c r="ES840" s="0" t="inlineStr">
        <is>
          <t>47行 14列，源：None 备：</t>
        </is>
      </c>
    </row>
    <row r="841">
      <c r="B841" s="0" t="inlineStr">
        <is>
          <t>NULL</t>
        </is>
      </c>
      <c r="C841" s="0" t="inlineStr">
        <is>
          <t>NULL</t>
        </is>
      </c>
      <c r="D841" s="0" t="inlineStr">
        <is>
          <t>NULL</t>
        </is>
      </c>
      <c r="E841" s="0" t="inlineStr">
        <is>
          <t>NULL</t>
        </is>
      </c>
      <c r="F841" s="0" t="inlineStr">
        <is>
          <t>NULL</t>
        </is>
      </c>
      <c r="G841" s="0" t="inlineStr">
        <is>
          <t>NULL</t>
        </is>
      </c>
      <c r="H841" s="0" t="inlineStr">
        <is>
          <t>NULL</t>
        </is>
      </c>
      <c r="I841" s="0" t="inlineStr">
        <is>
          <t>NULL</t>
        </is>
      </c>
      <c r="J841" s="0" t="inlineStr">
        <is>
          <t>NULL</t>
        </is>
      </c>
      <c r="K841" s="0" t="inlineStr">
        <is>
          <t xml:space="preserve"> NO!  	 c_money列源备映射错误，源端为money None位	期望更改为text	实际备端为money None位</t>
        </is>
      </c>
      <c r="EH841" s="0" t="inlineStr">
        <is>
          <t>47行 15列，源：nan 备：-123456789000000002003480098325095514112.0000000000000</t>
        </is>
      </c>
      <c r="ES841" s="0" t="inlineStr">
        <is>
          <t>47行 15列，源：nan 备：</t>
        </is>
      </c>
    </row>
    <row r="842">
      <c r="B842" s="0" t="inlineStr">
        <is>
          <t>NULL</t>
        </is>
      </c>
      <c r="C842" s="0" t="inlineStr">
        <is>
          <t>NULL</t>
        </is>
      </c>
      <c r="D842" s="0" t="inlineStr">
        <is>
          <t>NULL</t>
        </is>
      </c>
      <c r="E842" s="0" t="inlineStr">
        <is>
          <t>NULL</t>
        </is>
      </c>
      <c r="F842" s="0" t="inlineStr">
        <is>
          <t>NULL</t>
        </is>
      </c>
      <c r="G842" s="0" t="inlineStr">
        <is>
          <t>NULL</t>
        </is>
      </c>
      <c r="H842" s="0" t="inlineStr">
        <is>
          <t>NULL</t>
        </is>
      </c>
      <c r="I842" s="0" t="inlineStr">
        <is>
          <t>NULL</t>
        </is>
      </c>
      <c r="J842" s="0" t="inlineStr">
        <is>
          <t>NULL</t>
        </is>
      </c>
      <c r="K842" s="0" t="inlineStr">
        <is>
          <t xml:space="preserve"> NO!  	 c_smallmoney列源备映射错误，源端为smallmoney None位	期望更改为text	实际备端为smallmoney None位</t>
        </is>
      </c>
      <c r="EH842" s="0" t="inlineStr">
        <is>
          <t>47行 16列，源：nan 备：-340282306073709652508363335590014353408.000000</t>
        </is>
      </c>
      <c r="ES842" s="0" t="inlineStr">
        <is>
          <t>47行 16列，源：nan 备：</t>
        </is>
      </c>
    </row>
    <row r="843">
      <c r="B843" s="0" t="inlineStr">
        <is>
          <t>NULL</t>
        </is>
      </c>
      <c r="C843" s="0" t="inlineStr">
        <is>
          <t>NULL</t>
        </is>
      </c>
      <c r="D843" s="0" t="inlineStr">
        <is>
          <t>NULL</t>
        </is>
      </c>
      <c r="E843" s="0" t="inlineStr">
        <is>
          <t>NULL</t>
        </is>
      </c>
      <c r="F843" s="0" t="inlineStr">
        <is>
          <t>NULL</t>
        </is>
      </c>
      <c r="G843" s="0" t="inlineStr">
        <is>
          <t>NULL</t>
        </is>
      </c>
      <c r="H843" s="0" t="inlineStr">
        <is>
          <t>NULL</t>
        </is>
      </c>
      <c r="I843" s="0" t="inlineStr">
        <is>
          <t>NULL</t>
        </is>
      </c>
      <c r="J843" s="0" t="inlineStr">
        <is>
          <t>NULL</t>
        </is>
      </c>
      <c r="K843" s="0" t="inlineStr">
        <is>
          <t xml:space="preserve"> NO!  	 c_bit列源备映射错误，源端为bit None位	期望更改为text	实际备端为bit None位</t>
        </is>
      </c>
      <c r="EH843" s="0" t="inlineStr">
        <is>
          <t>47行 17列，源：None 备：-123456.7890</t>
        </is>
      </c>
      <c r="ES843" s="0" t="inlineStr">
        <is>
          <t>47行 17列，源：None 备：</t>
        </is>
      </c>
    </row>
    <row r="844">
      <c r="A844" s="0" t="inlineStr">
        <is>
          <t>info_varcharmax_dml_batch1_pk_drp1</t>
        </is>
      </c>
      <c r="K844" s="0" t="inlineStr">
        <is>
          <t>[0;34m info_varcharmax_dml_batch1_pk_drp1 [0m源备字段数相同，源端字段：3 	备端字段3</t>
        </is>
      </c>
      <c r="W844" s="0" t="inlineStr">
        <is>
          <t>YES 源备无差异</t>
        </is>
      </c>
      <c r="X844" s="0">
        <f>A844</f>
        <v/>
      </c>
      <c r="EH844" s="0" t="inlineStr">
        <is>
          <t>47行 18列，源：None 备：-1234.5678</t>
        </is>
      </c>
      <c r="ES844" s="0" t="inlineStr">
        <is>
          <t>47行 18列，源：None 备：</t>
        </is>
      </c>
    </row>
    <row r="845">
      <c r="B845" s="0" t="inlineStr">
        <is>
          <t>YES</t>
        </is>
      </c>
      <c r="C845" s="0" t="inlineStr">
        <is>
          <t>NULL</t>
        </is>
      </c>
      <c r="D845" s="0" t="inlineStr">
        <is>
          <t>NULL</t>
        </is>
      </c>
      <c r="E845" s="0" t="inlineStr">
        <is>
          <t>NULL</t>
        </is>
      </c>
      <c r="F845" s="0" t="inlineStr">
        <is>
          <t>NULL</t>
        </is>
      </c>
      <c r="G845" s="0" t="inlineStr">
        <is>
          <t>NULL</t>
        </is>
      </c>
      <c r="H845" s="0" t="inlineStr">
        <is>
          <t>NULL</t>
        </is>
      </c>
      <c r="I845" s="0" t="inlineStr">
        <is>
          <t>YES!PK__info_var__3213E83F55AE15E6</t>
        </is>
      </c>
      <c r="J845" s="0" t="inlineStr">
        <is>
          <t>YES! 主键相关索引</t>
        </is>
      </c>
      <c r="K845" s="0" t="inlineStr">
        <is>
          <t xml:space="preserve"> NO!  	 id列源备映射错误，源端为int None位	期望更改为text	实际备端为int None位</t>
        </is>
      </c>
      <c r="EH845" s="0" t="inlineStr">
        <is>
          <t>47行 19列，源：None 备：0</t>
        </is>
      </c>
      <c r="ES845" s="0" t="inlineStr">
        <is>
          <t>47行 19列，源：None 备：</t>
        </is>
      </c>
    </row>
    <row r="846">
      <c r="B846" s="0" t="inlineStr">
        <is>
          <t>NULL</t>
        </is>
      </c>
      <c r="C846" s="0" t="inlineStr">
        <is>
          <t>NULL</t>
        </is>
      </c>
      <c r="D846" s="0" t="inlineStr">
        <is>
          <t>NULL</t>
        </is>
      </c>
      <c r="E846" s="0" t="inlineStr">
        <is>
          <t>NULL</t>
        </is>
      </c>
      <c r="F846" s="0" t="inlineStr">
        <is>
          <t>NULL</t>
        </is>
      </c>
      <c r="G846" s="0" t="inlineStr">
        <is>
          <t>NULL</t>
        </is>
      </c>
      <c r="H846" s="0" t="inlineStr">
        <is>
          <t>NULL</t>
        </is>
      </c>
      <c r="I846" s="0" t="inlineStr">
        <is>
          <t>NULL</t>
        </is>
      </c>
      <c r="J846" s="0" t="inlineStr">
        <is>
          <t>NULL</t>
        </is>
      </c>
      <c r="K846" s="0" t="inlineStr">
        <is>
          <t xml:space="preserve"> NO!  	 c_varchar_max列源备映射错误，源端为varchar -1位	期望更改为text	实际备端为varchar -1位</t>
        </is>
      </c>
      <c r="EH846" s="0" t="inlineStr">
        <is>
          <t>48行 0列，源：109 备：170</t>
        </is>
      </c>
      <c r="ES846" s="0" t="inlineStr">
        <is>
          <t>48行 0列，源：109 备：216</t>
        </is>
      </c>
    </row>
    <row r="847">
      <c r="B847" s="0" t="inlineStr">
        <is>
          <t>NULL</t>
        </is>
      </c>
      <c r="C847" s="0" t="inlineStr">
        <is>
          <t>NULL</t>
        </is>
      </c>
      <c r="D847" s="0" t="inlineStr">
        <is>
          <t>NULL</t>
        </is>
      </c>
      <c r="E847" s="0" t="inlineStr">
        <is>
          <t>NULL</t>
        </is>
      </c>
      <c r="F847" s="0" t="inlineStr">
        <is>
          <t>NULL</t>
        </is>
      </c>
      <c r="G847" s="0" t="inlineStr">
        <is>
          <t>NULL</t>
        </is>
      </c>
      <c r="H847" s="0" t="inlineStr">
        <is>
          <t>NULL</t>
        </is>
      </c>
      <c r="I847" s="0" t="inlineStr">
        <is>
          <t>NULL</t>
        </is>
      </c>
      <c r="J847" s="0" t="inlineStr">
        <is>
          <t>NULL</t>
        </is>
      </c>
      <c r="K847" s="0" t="inlineStr">
        <is>
          <t xml:space="preserve"> NO!  	 c_nvarchar_max列源备映射错误，源端为nvarchar -1位	期望更改为text	实际备端为nvarchar -1位</t>
        </is>
      </c>
      <c r="EH847" s="0" t="inlineStr">
        <is>
          <t>48行 1列，源：nan 备：</t>
        </is>
      </c>
      <c r="ES847" s="0" t="inlineStr">
        <is>
          <t>48行 1列，源：nan 备：</t>
        </is>
      </c>
    </row>
    <row r="848">
      <c r="K848" s="0" t="inlineStr">
        <is>
          <t>~ 空表</t>
        </is>
      </c>
      <c r="EH848" s="0" t="inlineStr">
        <is>
          <t>48行 2列，源：nan 备：</t>
        </is>
      </c>
      <c r="ES848" s="0" t="inlineStr">
        <is>
          <t>48行 2列，源：nan 备：</t>
        </is>
      </c>
    </row>
    <row r="849">
      <c r="A849" s="0" t="inlineStr">
        <is>
          <t>info_datetime_dml_single_pk_irp</t>
        </is>
      </c>
      <c r="K849" s="0" t="inlineStr">
        <is>
          <t>[0;34m info_datetime_dml_single_pk_irp [0m源备字段数相同，源端字段：2 	备端字段2</t>
        </is>
      </c>
      <c r="W849" s="2">
        <f>HYPERLINK("#2026041905hbase4!DB2","NO 源备存在差异，共47个")</f>
        <v/>
      </c>
      <c r="X849" s="0">
        <f>A849</f>
        <v/>
      </c>
      <c r="EH849" s="0" t="inlineStr">
        <is>
          <t>48行 3列，源：nan 备：</t>
        </is>
      </c>
      <c r="ES849" s="0" t="inlineStr">
        <is>
          <t>48行 3列，源：nan 备：</t>
        </is>
      </c>
    </row>
    <row r="850">
      <c r="B850" s="0" t="inlineStr">
        <is>
          <t>YES</t>
        </is>
      </c>
      <c r="C850" s="0" t="inlineStr">
        <is>
          <t>NULL</t>
        </is>
      </c>
      <c r="D850" s="0" t="inlineStr">
        <is>
          <t>NULL</t>
        </is>
      </c>
      <c r="E850" s="0" t="inlineStr">
        <is>
          <t>NULL</t>
        </is>
      </c>
      <c r="F850" s="0" t="inlineStr">
        <is>
          <t>NULL</t>
        </is>
      </c>
      <c r="G850" s="0" t="inlineStr">
        <is>
          <t>NULL</t>
        </is>
      </c>
      <c r="H850" s="0" t="inlineStr">
        <is>
          <t>NULL</t>
        </is>
      </c>
      <c r="I850" s="0" t="inlineStr">
        <is>
          <t>YES!PK__info_dat__3213E83FB6640165</t>
        </is>
      </c>
      <c r="J850" s="0" t="inlineStr">
        <is>
          <t>YES! 主键相关索引</t>
        </is>
      </c>
      <c r="K850" s="0" t="inlineStr">
        <is>
          <t xml:space="preserve"> NO!  	 id列源备映射错误，源端为int None位	期望更改为text	实际备端为int None位</t>
        </is>
      </c>
      <c r="EH850" s="0" t="inlineStr">
        <is>
          <t>48行 4列，源：nan 备：</t>
        </is>
      </c>
      <c r="ES850" s="0" t="inlineStr">
        <is>
          <t>48行 4列，源：nan 备：</t>
        </is>
      </c>
    </row>
    <row r="851">
      <c r="B851" s="0" t="inlineStr">
        <is>
          <t>NULL</t>
        </is>
      </c>
      <c r="C851" s="0" t="inlineStr">
        <is>
          <t>NULL</t>
        </is>
      </c>
      <c r="D851" s="0" t="inlineStr">
        <is>
          <t>NULL</t>
        </is>
      </c>
      <c r="E851" s="0" t="inlineStr">
        <is>
          <t>NULL</t>
        </is>
      </c>
      <c r="F851" s="0" t="inlineStr">
        <is>
          <t>NULL</t>
        </is>
      </c>
      <c r="G851" s="0" t="inlineStr">
        <is>
          <t>NULL</t>
        </is>
      </c>
      <c r="H851" s="0" t="inlineStr">
        <is>
          <t>NULL</t>
        </is>
      </c>
      <c r="I851" s="0" t="inlineStr">
        <is>
          <t>NULL</t>
        </is>
      </c>
      <c r="J851" s="0" t="inlineStr">
        <is>
          <t>NULL</t>
        </is>
      </c>
      <c r="K851" s="0" t="inlineStr">
        <is>
          <t xml:space="preserve"> NO!  	 c_datetime列源备映射错误，源端为datetime None位	期望更改为text	实际备端为datetime None位</t>
        </is>
      </c>
      <c r="EH851" s="0" t="inlineStr">
        <is>
          <t>48行 5列，源：None 备：</t>
        </is>
      </c>
      <c r="ES851" s="0" t="inlineStr">
        <is>
          <t>48行 5列，源：None 备：</t>
        </is>
      </c>
    </row>
    <row r="852">
      <c r="A852" s="0" t="inlineStr">
        <is>
          <t>info_int_dml_single_pk</t>
        </is>
      </c>
      <c r="K852" s="0" t="inlineStr">
        <is>
          <t>[0;34m info_int_dml_single_pk [0m源备字段数相同，源端字段：20 	备端字段20</t>
        </is>
      </c>
      <c r="W852" s="2">
        <f>HYPERLINK("#2026041905hbase4!DC2","NO 源备存在差异，共35个")</f>
        <v/>
      </c>
      <c r="X852" s="0">
        <f>A852</f>
        <v/>
      </c>
      <c r="EH852" s="0" t="inlineStr">
        <is>
          <t>48行 6列，源：None 备：</t>
        </is>
      </c>
      <c r="ES852" s="0" t="inlineStr">
        <is>
          <t>48行 6列，源：None 备：</t>
        </is>
      </c>
    </row>
    <row r="853">
      <c r="B853" s="0" t="inlineStr">
        <is>
          <t>YES</t>
        </is>
      </c>
      <c r="C853" s="0" t="inlineStr">
        <is>
          <t>NULL</t>
        </is>
      </c>
      <c r="D853" s="0" t="inlineStr">
        <is>
          <t>NULL</t>
        </is>
      </c>
      <c r="E853" s="0" t="inlineStr">
        <is>
          <t>NULL</t>
        </is>
      </c>
      <c r="F853" s="0" t="inlineStr">
        <is>
          <t>NULL</t>
        </is>
      </c>
      <c r="G853" s="0" t="inlineStr">
        <is>
          <t>NULL</t>
        </is>
      </c>
      <c r="H853" s="0" t="inlineStr">
        <is>
          <t>NULL</t>
        </is>
      </c>
      <c r="I853" s="0" t="inlineStr">
        <is>
          <t>YES!PK__info_int__3213E83F941F9E09</t>
        </is>
      </c>
      <c r="J853" s="0" t="inlineStr">
        <is>
          <t>YES! 主键相关索引</t>
        </is>
      </c>
      <c r="K853" s="0" t="inlineStr">
        <is>
          <t xml:space="preserve"> NO!  	 id列源备映射错误，源端为int None位	期望更改为text	实际备端为int None位</t>
        </is>
      </c>
      <c r="EH853" s="0" t="inlineStr">
        <is>
          <t>48行 7列，源：None 备：</t>
        </is>
      </c>
      <c r="ES853" s="0" t="inlineStr">
        <is>
          <t>48行 7列，源：None 备：</t>
        </is>
      </c>
    </row>
    <row r="854">
      <c r="B854" s="0" t="inlineStr">
        <is>
          <t>NULL</t>
        </is>
      </c>
      <c r="C854" s="0" t="inlineStr">
        <is>
          <t>NULL</t>
        </is>
      </c>
      <c r="D854" s="0" t="inlineStr">
        <is>
          <t>NULL</t>
        </is>
      </c>
      <c r="E854" s="0" t="inlineStr">
        <is>
          <t>NULL</t>
        </is>
      </c>
      <c r="F854" s="0" t="inlineStr">
        <is>
          <t>NULL</t>
        </is>
      </c>
      <c r="G854" s="0" t="inlineStr">
        <is>
          <t>NULL</t>
        </is>
      </c>
      <c r="H854" s="0" t="inlineStr">
        <is>
          <t>NULL</t>
        </is>
      </c>
      <c r="I854" s="0" t="inlineStr">
        <is>
          <t>NULL</t>
        </is>
      </c>
      <c r="J854" s="0" t="inlineStr">
        <is>
          <t>NULL</t>
        </is>
      </c>
      <c r="K854" s="0" t="inlineStr">
        <is>
          <t xml:space="preserve"> NO!  	 c_tinyint列源备映射错误，源端为tinyint None位	期望更改为text	实际备端为tinyint None位</t>
        </is>
      </c>
      <c r="EH854" s="0" t="inlineStr">
        <is>
          <t>48行 8列，源：None 备：</t>
        </is>
      </c>
      <c r="ES854" s="0" t="inlineStr">
        <is>
          <t>48行 8列，源：None 备：</t>
        </is>
      </c>
    </row>
    <row r="855">
      <c r="B855" s="0" t="inlineStr">
        <is>
          <t>NULL</t>
        </is>
      </c>
      <c r="C855" s="0" t="inlineStr">
        <is>
          <t>NULL</t>
        </is>
      </c>
      <c r="D855" s="0" t="inlineStr">
        <is>
          <t>NULL</t>
        </is>
      </c>
      <c r="E855" s="0" t="inlineStr">
        <is>
          <t>NULL</t>
        </is>
      </c>
      <c r="F855" s="0" t="inlineStr">
        <is>
          <t>NULL</t>
        </is>
      </c>
      <c r="G855" s="0" t="inlineStr">
        <is>
          <t>NULL</t>
        </is>
      </c>
      <c r="H855" s="0" t="inlineStr">
        <is>
          <t>NULL</t>
        </is>
      </c>
      <c r="I855" s="0" t="inlineStr">
        <is>
          <t>NULL</t>
        </is>
      </c>
      <c r="J855" s="0" t="inlineStr">
        <is>
          <t>NULL</t>
        </is>
      </c>
      <c r="K855" s="0" t="inlineStr">
        <is>
          <t xml:space="preserve"> NO!  	 c_smallint列源备映射错误，源端为smallint None位	期望更改为text	实际备端为smallint None位</t>
        </is>
      </c>
      <c r="EH855" s="0" t="inlineStr">
        <is>
          <t>48行 9列，源：None 备：</t>
        </is>
      </c>
      <c r="ES855" s="0" t="inlineStr">
        <is>
          <t>48行 9列，源：None 备：</t>
        </is>
      </c>
    </row>
    <row r="856">
      <c r="B856" s="0" t="inlineStr">
        <is>
          <t>NULL</t>
        </is>
      </c>
      <c r="C856" s="0" t="inlineStr">
        <is>
          <t>NULL</t>
        </is>
      </c>
      <c r="D856" s="0" t="inlineStr">
        <is>
          <t>NULL</t>
        </is>
      </c>
      <c r="E856" s="0" t="inlineStr">
        <is>
          <t>NULL</t>
        </is>
      </c>
      <c r="F856" s="0" t="inlineStr">
        <is>
          <t>NULL</t>
        </is>
      </c>
      <c r="G856" s="0" t="inlineStr">
        <is>
          <t>NULL</t>
        </is>
      </c>
      <c r="H856" s="0" t="inlineStr">
        <is>
          <t>NULL</t>
        </is>
      </c>
      <c r="I856" s="0" t="inlineStr">
        <is>
          <t>NULL</t>
        </is>
      </c>
      <c r="J856" s="0" t="inlineStr">
        <is>
          <t>NULL</t>
        </is>
      </c>
      <c r="K856" s="0" t="inlineStr">
        <is>
          <t xml:space="preserve"> NO!  	 c_int列源备映射错误，源端为int None位	期望更改为text	实际备端为int None位</t>
        </is>
      </c>
      <c r="EH856" s="0" t="inlineStr">
        <is>
          <t>48行 10列，源：None 备：</t>
        </is>
      </c>
      <c r="ES856" s="0" t="inlineStr">
        <is>
          <t>48行 10列，源：None 备：</t>
        </is>
      </c>
    </row>
    <row r="857">
      <c r="B857" s="0" t="inlineStr">
        <is>
          <t>NULL</t>
        </is>
      </c>
      <c r="C857" s="0" t="inlineStr">
        <is>
          <t>NULL</t>
        </is>
      </c>
      <c r="D857" s="0" t="inlineStr">
        <is>
          <t>NULL</t>
        </is>
      </c>
      <c r="E857" s="0" t="inlineStr">
        <is>
          <t>NULL</t>
        </is>
      </c>
      <c r="F857" s="0" t="inlineStr">
        <is>
          <t>NULL</t>
        </is>
      </c>
      <c r="G857" s="0" t="inlineStr">
        <is>
          <t>NULL</t>
        </is>
      </c>
      <c r="H857" s="0" t="inlineStr">
        <is>
          <t>NULL</t>
        </is>
      </c>
      <c r="I857" s="0" t="inlineStr">
        <is>
          <t>NULL</t>
        </is>
      </c>
      <c r="J857" s="0" t="inlineStr">
        <is>
          <t>NULL</t>
        </is>
      </c>
      <c r="K857" s="0" t="inlineStr">
        <is>
          <t xml:space="preserve"> NO!  	 c_bigint列源备映射错误，源端为bigint None位	期望更改为text	实际备端为bigint None位</t>
        </is>
      </c>
      <c r="EH857" s="0" t="inlineStr">
        <is>
          <t>48行 11列，源：None 备：</t>
        </is>
      </c>
      <c r="ES857" s="0" t="inlineStr">
        <is>
          <t>48行 11列，源：None 备：</t>
        </is>
      </c>
    </row>
    <row r="858">
      <c r="B858" s="0" t="inlineStr">
        <is>
          <t>NULL</t>
        </is>
      </c>
      <c r="C858" s="0" t="inlineStr">
        <is>
          <t>NULL</t>
        </is>
      </c>
      <c r="D858" s="0" t="inlineStr">
        <is>
          <t>NULL</t>
        </is>
      </c>
      <c r="E858" s="0" t="inlineStr">
        <is>
          <t>NULL</t>
        </is>
      </c>
      <c r="F858" s="0" t="inlineStr">
        <is>
          <t>NULL</t>
        </is>
      </c>
      <c r="G858" s="0" t="inlineStr">
        <is>
          <t>NULL</t>
        </is>
      </c>
      <c r="H858" s="0" t="inlineStr">
        <is>
          <t>NULL</t>
        </is>
      </c>
      <c r="I858" s="0" t="inlineStr">
        <is>
          <t>NULL</t>
        </is>
      </c>
      <c r="J858" s="0" t="inlineStr">
        <is>
          <t>NULL</t>
        </is>
      </c>
      <c r="K858" s="0" t="inlineStr">
        <is>
          <t xml:space="preserve"> NO!  	 c_decimal列源备映射错误，源端为decimal None位	期望更改为text	实际备端为decimal None位</t>
        </is>
      </c>
      <c r="EH858" s="0" t="inlineStr">
        <is>
          <t>48行 12列，源：None 备：</t>
        </is>
      </c>
      <c r="ES858" s="0" t="inlineStr">
        <is>
          <t>48行 12列，源：None 备：</t>
        </is>
      </c>
    </row>
    <row r="859">
      <c r="B859" s="0" t="inlineStr">
        <is>
          <t>NULL</t>
        </is>
      </c>
      <c r="C859" s="0" t="inlineStr">
        <is>
          <t>NULL</t>
        </is>
      </c>
      <c r="D859" s="0" t="inlineStr">
        <is>
          <t>NULL</t>
        </is>
      </c>
      <c r="E859" s="0" t="inlineStr">
        <is>
          <t>NULL</t>
        </is>
      </c>
      <c r="F859" s="0" t="inlineStr">
        <is>
          <t>NULL</t>
        </is>
      </c>
      <c r="G859" s="0" t="inlineStr">
        <is>
          <t>NULL</t>
        </is>
      </c>
      <c r="H859" s="0" t="inlineStr">
        <is>
          <t>NULL</t>
        </is>
      </c>
      <c r="I859" s="0" t="inlineStr">
        <is>
          <t>NULL</t>
        </is>
      </c>
      <c r="J859" s="0" t="inlineStr">
        <is>
          <t>NULL</t>
        </is>
      </c>
      <c r="K859" s="0" t="inlineStr">
        <is>
          <t xml:space="preserve"> NO!  	 c_decimal38列源备映射错误，源端为decimal None位	期望更改为text	实际备端为decimal None位</t>
        </is>
      </c>
      <c r="EH859" s="0" t="inlineStr">
        <is>
          <t>48行 13列，源：None 备：</t>
        </is>
      </c>
      <c r="ES859" s="0" t="inlineStr">
        <is>
          <t>48行 13列，源：None 备：</t>
        </is>
      </c>
    </row>
    <row r="860">
      <c r="B860" s="0" t="inlineStr">
        <is>
          <t>NULL</t>
        </is>
      </c>
      <c r="C860" s="0" t="inlineStr">
        <is>
          <t>NULL</t>
        </is>
      </c>
      <c r="D860" s="0" t="inlineStr">
        <is>
          <t>NULL</t>
        </is>
      </c>
      <c r="E860" s="0" t="inlineStr">
        <is>
          <t>NULL</t>
        </is>
      </c>
      <c r="F860" s="0" t="inlineStr">
        <is>
          <t>NULL</t>
        </is>
      </c>
      <c r="G860" s="0" t="inlineStr">
        <is>
          <t>NULL</t>
        </is>
      </c>
      <c r="H860" s="0" t="inlineStr">
        <is>
          <t>NULL</t>
        </is>
      </c>
      <c r="I860" s="0" t="inlineStr">
        <is>
          <t>NULL</t>
        </is>
      </c>
      <c r="J860" s="0" t="inlineStr">
        <is>
          <t>NULL</t>
        </is>
      </c>
      <c r="K860" s="0" t="inlineStr">
        <is>
          <t xml:space="preserve"> NO!  	 c_decimal38_38列源备映射错误，源端为decimal None位	期望更改为text	实际备端为decimal None位</t>
        </is>
      </c>
      <c r="EH860" s="0" t="inlineStr">
        <is>
          <t>48行 14列，源：None 备：</t>
        </is>
      </c>
      <c r="ES860" s="0" t="inlineStr">
        <is>
          <t>48行 14列，源：None 备：</t>
        </is>
      </c>
    </row>
    <row r="861">
      <c r="B861" s="0" t="inlineStr">
        <is>
          <t>NULL</t>
        </is>
      </c>
      <c r="C861" s="0" t="inlineStr">
        <is>
          <t>NULL</t>
        </is>
      </c>
      <c r="D861" s="0" t="inlineStr">
        <is>
          <t>NULL</t>
        </is>
      </c>
      <c r="E861" s="0" t="inlineStr">
        <is>
          <t>NULL</t>
        </is>
      </c>
      <c r="F861" s="0" t="inlineStr">
        <is>
          <t>NULL</t>
        </is>
      </c>
      <c r="G861" s="0" t="inlineStr">
        <is>
          <t>NULL</t>
        </is>
      </c>
      <c r="H861" s="0" t="inlineStr">
        <is>
          <t>NULL</t>
        </is>
      </c>
      <c r="I861" s="0" t="inlineStr">
        <is>
          <t>NULL</t>
        </is>
      </c>
      <c r="J861" s="0" t="inlineStr">
        <is>
          <t>NULL</t>
        </is>
      </c>
      <c r="K861" s="0" t="inlineStr">
        <is>
          <t xml:space="preserve"> NO!  	 c_decimal38_10列源备映射错误，源端为decimal None位	期望更改为text	实际备端为decimal None位</t>
        </is>
      </c>
      <c r="EH861" s="0" t="inlineStr">
        <is>
          <t>48行 15列，源：nan 备：</t>
        </is>
      </c>
      <c r="ES861" s="0" t="inlineStr">
        <is>
          <t>48行 15列，源：nan 备：123456789000000002003480098325095514112.0000000000000</t>
        </is>
      </c>
    </row>
    <row r="862">
      <c r="B862" s="0" t="inlineStr">
        <is>
          <t>NULL</t>
        </is>
      </c>
      <c r="C862" s="0" t="inlineStr">
        <is>
          <t>NULL</t>
        </is>
      </c>
      <c r="D862" s="0" t="inlineStr">
        <is>
          <t>NULL</t>
        </is>
      </c>
      <c r="E862" s="0" t="inlineStr">
        <is>
          <t>NULL</t>
        </is>
      </c>
      <c r="F862" s="0" t="inlineStr">
        <is>
          <t>NULL</t>
        </is>
      </c>
      <c r="G862" s="0" t="inlineStr">
        <is>
          <t>NULL</t>
        </is>
      </c>
      <c r="H862" s="0" t="inlineStr">
        <is>
          <t>NULL</t>
        </is>
      </c>
      <c r="I862" s="0" t="inlineStr">
        <is>
          <t>NULL</t>
        </is>
      </c>
      <c r="J862" s="0" t="inlineStr">
        <is>
          <t>NULL</t>
        </is>
      </c>
      <c r="K862" s="0" t="inlineStr">
        <is>
          <t xml:space="preserve"> NO!  	 c_decimal19_4列源备映射错误，源端为decimal None位	期望更改为text	实际备端为decimal None位</t>
        </is>
      </c>
      <c r="EH862" s="0" t="inlineStr">
        <is>
          <t>48行 16列，源：nan 备：</t>
        </is>
      </c>
      <c r="ES862" s="0" t="inlineStr">
        <is>
          <t>48行 16列，源：nan 备：340282306073709652508363335590014353408.000000</t>
        </is>
      </c>
    </row>
    <row r="863">
      <c r="B863" s="0" t="inlineStr">
        <is>
          <t>NULL</t>
        </is>
      </c>
      <c r="C863" s="0" t="inlineStr">
        <is>
          <t>NULL</t>
        </is>
      </c>
      <c r="D863" s="0" t="inlineStr">
        <is>
          <t>NULL</t>
        </is>
      </c>
      <c r="E863" s="0" t="inlineStr">
        <is>
          <t>NULL</t>
        </is>
      </c>
      <c r="F863" s="0" t="inlineStr">
        <is>
          <t>NULL</t>
        </is>
      </c>
      <c r="G863" s="0" t="inlineStr">
        <is>
          <t>NULL</t>
        </is>
      </c>
      <c r="H863" s="0" t="inlineStr">
        <is>
          <t>NULL</t>
        </is>
      </c>
      <c r="I863" s="0" t="inlineStr">
        <is>
          <t>NULL</t>
        </is>
      </c>
      <c r="J863" s="0" t="inlineStr">
        <is>
          <t>NULL</t>
        </is>
      </c>
      <c r="K863" s="0" t="inlineStr">
        <is>
          <t xml:space="preserve"> NO!  	 c_numeric列源备映射错误，源端为numeric None位	期望更改为text	实际备端为numeric None位</t>
        </is>
      </c>
      <c r="EH863" s="0" t="inlineStr">
        <is>
          <t>48行 17列，源：None 备：</t>
        </is>
      </c>
      <c r="ES863" s="0" t="inlineStr">
        <is>
          <t>48行 17列，源：None 备：123456.7890</t>
        </is>
      </c>
    </row>
    <row r="864">
      <c r="B864" s="0" t="inlineStr">
        <is>
          <t>NULL</t>
        </is>
      </c>
      <c r="C864" s="0" t="inlineStr">
        <is>
          <t>NULL</t>
        </is>
      </c>
      <c r="D864" s="0" t="inlineStr">
        <is>
          <t>NULL</t>
        </is>
      </c>
      <c r="E864" s="0" t="inlineStr">
        <is>
          <t>NULL</t>
        </is>
      </c>
      <c r="F864" s="0" t="inlineStr">
        <is>
          <t>NULL</t>
        </is>
      </c>
      <c r="G864" s="0" t="inlineStr">
        <is>
          <t>NULL</t>
        </is>
      </c>
      <c r="H864" s="0" t="inlineStr">
        <is>
          <t>NULL</t>
        </is>
      </c>
      <c r="I864" s="0" t="inlineStr">
        <is>
          <t>NULL</t>
        </is>
      </c>
      <c r="J864" s="0" t="inlineStr">
        <is>
          <t>NULL</t>
        </is>
      </c>
      <c r="K864" s="0" t="inlineStr">
        <is>
          <t xml:space="preserve"> NO!  	 c_numeric38列源备映射错误，源端为numeric None位	期望更改为text	实际备端为numeric None位</t>
        </is>
      </c>
      <c r="EH864" s="0" t="inlineStr">
        <is>
          <t>48行 18列，源：None 备：</t>
        </is>
      </c>
      <c r="ES864" s="0" t="inlineStr">
        <is>
          <t>48行 18列，源：None 备：1234.5678</t>
        </is>
      </c>
    </row>
    <row r="865">
      <c r="B865" s="0" t="inlineStr">
        <is>
          <t>NULL</t>
        </is>
      </c>
      <c r="C865" s="0" t="inlineStr">
        <is>
          <t>NULL</t>
        </is>
      </c>
      <c r="D865" s="0" t="inlineStr">
        <is>
          <t>NULL</t>
        </is>
      </c>
      <c r="E865" s="0" t="inlineStr">
        <is>
          <t>NULL</t>
        </is>
      </c>
      <c r="F865" s="0" t="inlineStr">
        <is>
          <t>NULL</t>
        </is>
      </c>
      <c r="G865" s="0" t="inlineStr">
        <is>
          <t>NULL</t>
        </is>
      </c>
      <c r="H865" s="0" t="inlineStr">
        <is>
          <t>NULL</t>
        </is>
      </c>
      <c r="I865" s="0" t="inlineStr">
        <is>
          <t>NULL</t>
        </is>
      </c>
      <c r="J865" s="0" t="inlineStr">
        <is>
          <t>NULL</t>
        </is>
      </c>
      <c r="K865" s="0" t="inlineStr">
        <is>
          <t xml:space="preserve"> NO!  	 c_numeric38_38列源备映射错误，源端为numeric None位	期望更改为text	实际备端为numeric None位</t>
        </is>
      </c>
      <c r="EH865" s="0" t="inlineStr">
        <is>
          <t>48行 19列，源：None 备：</t>
        </is>
      </c>
      <c r="ES865" s="0" t="inlineStr">
        <is>
          <t>48行 19列，源：None 备：1</t>
        </is>
      </c>
    </row>
    <row r="866">
      <c r="B866" s="0" t="inlineStr">
        <is>
          <t>NULL</t>
        </is>
      </c>
      <c r="C866" s="0" t="inlineStr">
        <is>
          <t>NULL</t>
        </is>
      </c>
      <c r="D866" s="0" t="inlineStr">
        <is>
          <t>NULL</t>
        </is>
      </c>
      <c r="E866" s="0" t="inlineStr">
        <is>
          <t>NULL</t>
        </is>
      </c>
      <c r="F866" s="0" t="inlineStr">
        <is>
          <t>NULL</t>
        </is>
      </c>
      <c r="G866" s="0" t="inlineStr">
        <is>
          <t>NULL</t>
        </is>
      </c>
      <c r="H866" s="0" t="inlineStr">
        <is>
          <t>NULL</t>
        </is>
      </c>
      <c r="I866" s="0" t="inlineStr">
        <is>
          <t>NULL</t>
        </is>
      </c>
      <c r="J866" s="0" t="inlineStr">
        <is>
          <t>NULL</t>
        </is>
      </c>
      <c r="K866" s="0" t="inlineStr">
        <is>
          <t xml:space="preserve"> NO!  	 c_numeric38_10列源备映射错误，源端为numeric None位	期望更改为text	实际备端为numeric None位</t>
        </is>
      </c>
      <c r="EH866" s="0" t="inlineStr">
        <is>
          <t>49行 0列，源：110 备：18</t>
        </is>
      </c>
      <c r="ES866" s="0" t="inlineStr">
        <is>
          <t>49行 0列，源：110 备：217</t>
        </is>
      </c>
    </row>
    <row r="867">
      <c r="B867" s="0" t="inlineStr">
        <is>
          <t>NULL</t>
        </is>
      </c>
      <c r="C867" s="0" t="inlineStr">
        <is>
          <t>NULL</t>
        </is>
      </c>
      <c r="D867" s="0" t="inlineStr">
        <is>
          <t>NULL</t>
        </is>
      </c>
      <c r="E867" s="0" t="inlineStr">
        <is>
          <t>NULL</t>
        </is>
      </c>
      <c r="F867" s="0" t="inlineStr">
        <is>
          <t>NULL</t>
        </is>
      </c>
      <c r="G867" s="0" t="inlineStr">
        <is>
          <t>NULL</t>
        </is>
      </c>
      <c r="H867" s="0" t="inlineStr">
        <is>
          <t>NULL</t>
        </is>
      </c>
      <c r="I867" s="0" t="inlineStr">
        <is>
          <t>NULL</t>
        </is>
      </c>
      <c r="J867" s="0" t="inlineStr">
        <is>
          <t>NULL</t>
        </is>
      </c>
      <c r="K867" s="0" t="inlineStr">
        <is>
          <t xml:space="preserve"> NO!  	 c_numeric18_2列源备映射错误，源端为numeric None位	期望更改为text	实际备端为numeric None位</t>
        </is>
      </c>
      <c r="EH867" s="0" t="inlineStr">
        <is>
          <t>49行 1列，源：nan 备：</t>
        </is>
      </c>
      <c r="ES867" s="0" t="inlineStr">
        <is>
          <t>49行 1列，源：nan 备：</t>
        </is>
      </c>
    </row>
    <row r="868">
      <c r="B868" s="0" t="inlineStr">
        <is>
          <t>NULL</t>
        </is>
      </c>
      <c r="C868" s="0" t="inlineStr">
        <is>
          <t>NULL</t>
        </is>
      </c>
      <c r="D868" s="0" t="inlineStr">
        <is>
          <t>NULL</t>
        </is>
      </c>
      <c r="E868" s="0" t="inlineStr">
        <is>
          <t>NULL</t>
        </is>
      </c>
      <c r="F868" s="0" t="inlineStr">
        <is>
          <t>NULL</t>
        </is>
      </c>
      <c r="G868" s="0" t="inlineStr">
        <is>
          <t>NULL</t>
        </is>
      </c>
      <c r="H868" s="0" t="inlineStr">
        <is>
          <t>NULL</t>
        </is>
      </c>
      <c r="I868" s="0" t="inlineStr">
        <is>
          <t>NULL</t>
        </is>
      </c>
      <c r="J868" s="0" t="inlineStr">
        <is>
          <t>NULL</t>
        </is>
      </c>
      <c r="K868" s="0" t="inlineStr">
        <is>
          <t xml:space="preserve"> NO!  	 c_float列源备映射错误，源端为float None位	期望更改为text	实际备端为float None位</t>
        </is>
      </c>
      <c r="EH868" s="0" t="inlineStr">
        <is>
          <t>49行 2列，源：nan 备：</t>
        </is>
      </c>
      <c r="ES868" s="0" t="inlineStr">
        <is>
          <t>49行 2列，源：nan 备：</t>
        </is>
      </c>
    </row>
    <row r="869">
      <c r="B869" s="0" t="inlineStr">
        <is>
          <t>NULL</t>
        </is>
      </c>
      <c r="C869" s="0" t="inlineStr">
        <is>
          <t>NULL</t>
        </is>
      </c>
      <c r="D869" s="0" t="inlineStr">
        <is>
          <t>NULL</t>
        </is>
      </c>
      <c r="E869" s="0" t="inlineStr">
        <is>
          <t>NULL</t>
        </is>
      </c>
      <c r="F869" s="0" t="inlineStr">
        <is>
          <t>NULL</t>
        </is>
      </c>
      <c r="G869" s="0" t="inlineStr">
        <is>
          <t>NULL</t>
        </is>
      </c>
      <c r="H869" s="0" t="inlineStr">
        <is>
          <t>NULL</t>
        </is>
      </c>
      <c r="I869" s="0" t="inlineStr">
        <is>
          <t>NULL</t>
        </is>
      </c>
      <c r="J869" s="0" t="inlineStr">
        <is>
          <t>NULL</t>
        </is>
      </c>
      <c r="K869" s="0" t="inlineStr">
        <is>
          <t xml:space="preserve"> NO!  	 c_real列源备映射错误，源端为real None位	期望更改为text	实际备端为real None位</t>
        </is>
      </c>
      <c r="EH869" s="0" t="inlineStr">
        <is>
          <t>49行 3列，源：nan 备：</t>
        </is>
      </c>
      <c r="ES869" s="0" t="inlineStr">
        <is>
          <t>49行 3列，源：nan 备：</t>
        </is>
      </c>
    </row>
    <row r="870">
      <c r="B870" s="0" t="inlineStr">
        <is>
          <t>NULL</t>
        </is>
      </c>
      <c r="C870" s="0" t="inlineStr">
        <is>
          <t>NULL</t>
        </is>
      </c>
      <c r="D870" s="0" t="inlineStr">
        <is>
          <t>NULL</t>
        </is>
      </c>
      <c r="E870" s="0" t="inlineStr">
        <is>
          <t>NULL</t>
        </is>
      </c>
      <c r="F870" s="0" t="inlineStr">
        <is>
          <t>NULL</t>
        </is>
      </c>
      <c r="G870" s="0" t="inlineStr">
        <is>
          <t>NULL</t>
        </is>
      </c>
      <c r="H870" s="0" t="inlineStr">
        <is>
          <t>NULL</t>
        </is>
      </c>
      <c r="I870" s="0" t="inlineStr">
        <is>
          <t>NULL</t>
        </is>
      </c>
      <c r="J870" s="0" t="inlineStr">
        <is>
          <t>NULL</t>
        </is>
      </c>
      <c r="K870" s="0" t="inlineStr">
        <is>
          <t xml:space="preserve"> NO!  	 c_money列源备映射错误，源端为money None位	期望更改为text	实际备端为money None位</t>
        </is>
      </c>
      <c r="EH870" s="0" t="inlineStr">
        <is>
          <t>49行 4列，源：nan 备：</t>
        </is>
      </c>
      <c r="ES870" s="0" t="inlineStr">
        <is>
          <t>49行 4列，源：nan 备：</t>
        </is>
      </c>
    </row>
    <row r="871">
      <c r="B871" s="0" t="inlineStr">
        <is>
          <t>NULL</t>
        </is>
      </c>
      <c r="C871" s="0" t="inlineStr">
        <is>
          <t>NULL</t>
        </is>
      </c>
      <c r="D871" s="0" t="inlineStr">
        <is>
          <t>NULL</t>
        </is>
      </c>
      <c r="E871" s="0" t="inlineStr">
        <is>
          <t>NULL</t>
        </is>
      </c>
      <c r="F871" s="0" t="inlineStr">
        <is>
          <t>NULL</t>
        </is>
      </c>
      <c r="G871" s="0" t="inlineStr">
        <is>
          <t>NULL</t>
        </is>
      </c>
      <c r="H871" s="0" t="inlineStr">
        <is>
          <t>NULL</t>
        </is>
      </c>
      <c r="I871" s="0" t="inlineStr">
        <is>
          <t>NULL</t>
        </is>
      </c>
      <c r="J871" s="0" t="inlineStr">
        <is>
          <t>NULL</t>
        </is>
      </c>
      <c r="K871" s="0" t="inlineStr">
        <is>
          <t xml:space="preserve"> NO!  	 c_smallmoney列源备映射错误，源端为smallmoney None位	期望更改为text	实际备端为smallmoney None位</t>
        </is>
      </c>
      <c r="EH871" s="0" t="inlineStr">
        <is>
          <t>49行 5列，源：None 备：</t>
        </is>
      </c>
      <c r="ES871" s="0" t="inlineStr">
        <is>
          <t>49行 5列，源：None 备：</t>
        </is>
      </c>
    </row>
    <row r="872">
      <c r="B872" s="0" t="inlineStr">
        <is>
          <t>NULL</t>
        </is>
      </c>
      <c r="C872" s="0" t="inlineStr">
        <is>
          <t>NULL</t>
        </is>
      </c>
      <c r="D872" s="0" t="inlineStr">
        <is>
          <t>NULL</t>
        </is>
      </c>
      <c r="E872" s="0" t="inlineStr">
        <is>
          <t>NULL</t>
        </is>
      </c>
      <c r="F872" s="0" t="inlineStr">
        <is>
          <t>NULL</t>
        </is>
      </c>
      <c r="G872" s="0" t="inlineStr">
        <is>
          <t>NULL</t>
        </is>
      </c>
      <c r="H872" s="0" t="inlineStr">
        <is>
          <t>NULL</t>
        </is>
      </c>
      <c r="I872" s="0" t="inlineStr">
        <is>
          <t>NULL</t>
        </is>
      </c>
      <c r="J872" s="0" t="inlineStr">
        <is>
          <t>NULL</t>
        </is>
      </c>
      <c r="K872" s="0" t="inlineStr">
        <is>
          <t xml:space="preserve"> NO!  	 c_bit列源备映射错误，源端为bit None位	期望更改为text	实际备端为bit None位</t>
        </is>
      </c>
      <c r="EH872" s="0" t="inlineStr">
        <is>
          <t>49行 6列，源：None 备：</t>
        </is>
      </c>
      <c r="ES872" s="0" t="inlineStr">
        <is>
          <t>49行 6列，源：None 备：</t>
        </is>
      </c>
    </row>
    <row r="873">
      <c r="A873" s="0" t="inlineStr">
        <is>
          <t>info_timestamp_dml_single_pk_irp</t>
        </is>
      </c>
      <c r="K873" s="0" t="inlineStr">
        <is>
          <t>[0;34m info_timestamp_dml_single_pk_irp [0m源备字段数相同，源端字段：2 	备端字段2</t>
        </is>
      </c>
      <c r="W873" s="2">
        <f>HYPERLINK("#2026041905hbase4!DD2","NO 源备存在差异，共4个")</f>
        <v/>
      </c>
      <c r="X873" s="0">
        <f>A873</f>
        <v/>
      </c>
      <c r="EH873" s="0" t="inlineStr">
        <is>
          <t>49行 7列，源：None 备：</t>
        </is>
      </c>
      <c r="ES873" s="0" t="inlineStr">
        <is>
          <t>49行 7列，源：None 备：</t>
        </is>
      </c>
    </row>
    <row r="874">
      <c r="B874" s="0" t="inlineStr">
        <is>
          <t>YES</t>
        </is>
      </c>
      <c r="C874" s="0" t="inlineStr">
        <is>
          <t>NULL</t>
        </is>
      </c>
      <c r="D874" s="0" t="inlineStr">
        <is>
          <t>NULL</t>
        </is>
      </c>
      <c r="E874" s="0" t="inlineStr">
        <is>
          <t>NULL</t>
        </is>
      </c>
      <c r="F874" s="0" t="inlineStr">
        <is>
          <t>NULL</t>
        </is>
      </c>
      <c r="G874" s="0" t="inlineStr">
        <is>
          <t>NULL</t>
        </is>
      </c>
      <c r="H874" s="0" t="inlineStr">
        <is>
          <t>NULL</t>
        </is>
      </c>
      <c r="I874" s="0" t="inlineStr">
        <is>
          <t>YES!PK__info_tim__3213E83F74F53693</t>
        </is>
      </c>
      <c r="J874" s="0" t="inlineStr">
        <is>
          <t>YES! 主键相关索引</t>
        </is>
      </c>
      <c r="K874" s="0" t="inlineStr">
        <is>
          <t xml:space="preserve"> NO!  	 id列源备映射错误，源端为int None位	期望更改为text	实际备端为int None位</t>
        </is>
      </c>
      <c r="EH874" s="0" t="inlineStr">
        <is>
          <t>49行 8列，源：None 备：</t>
        </is>
      </c>
      <c r="ES874" s="0" t="inlineStr">
        <is>
          <t>49行 8列，源：None 备：</t>
        </is>
      </c>
    </row>
    <row r="875">
      <c r="B875" s="0" t="inlineStr">
        <is>
          <t>NULL</t>
        </is>
      </c>
      <c r="C875" s="0" t="inlineStr">
        <is>
          <t>NULL</t>
        </is>
      </c>
      <c r="D875" s="0" t="inlineStr">
        <is>
          <t>NULL</t>
        </is>
      </c>
      <c r="E875" s="0" t="inlineStr">
        <is>
          <t>NULL</t>
        </is>
      </c>
      <c r="F875" s="0" t="inlineStr">
        <is>
          <t>NULL</t>
        </is>
      </c>
      <c r="G875" s="0" t="inlineStr">
        <is>
          <t>NULL</t>
        </is>
      </c>
      <c r="H875" s="0" t="inlineStr">
        <is>
          <t>NULL</t>
        </is>
      </c>
      <c r="I875" s="0" t="inlineStr">
        <is>
          <t>NULL</t>
        </is>
      </c>
      <c r="J875" s="0" t="inlineStr">
        <is>
          <t>NULL</t>
        </is>
      </c>
      <c r="K875" s="0" t="inlineStr">
        <is>
          <t xml:space="preserve"> NO!  	 c_tiemstamp列源备映射错误，源端为timestamp None位	期望更改为text	实际备端为timestamp None位</t>
        </is>
      </c>
      <c r="EH875" s="0" t="inlineStr">
        <is>
          <t>49行 9列，源：None 备：</t>
        </is>
      </c>
      <c r="ES875" s="0" t="inlineStr">
        <is>
          <t>49行 9列，源：None 备：</t>
        </is>
      </c>
    </row>
    <row r="876">
      <c r="A876" s="0" t="inlineStr">
        <is>
          <t>info_char_dml_single_pk_urp</t>
        </is>
      </c>
      <c r="K876" s="0" t="inlineStr">
        <is>
          <t>[0;34m info_char_dml_single_pk_urp [0m源备字段数相同，源端字段：4 	备端字段4</t>
        </is>
      </c>
      <c r="W876" s="2">
        <f>HYPERLINK("#2026041905hbase4!DE2","NO 源备存在差异，共11个")</f>
        <v/>
      </c>
      <c r="X876" s="0">
        <f>A876</f>
        <v/>
      </c>
      <c r="EH876" s="0" t="inlineStr">
        <is>
          <t>49行 10列，源：None 备：</t>
        </is>
      </c>
      <c r="ES876" s="0" t="inlineStr">
        <is>
          <t>49行 10列，源：None 备：</t>
        </is>
      </c>
    </row>
    <row r="877">
      <c r="B877" s="0" t="inlineStr">
        <is>
          <t>YES</t>
        </is>
      </c>
      <c r="C877" s="0" t="inlineStr">
        <is>
          <t>NULL</t>
        </is>
      </c>
      <c r="D877" s="0" t="inlineStr">
        <is>
          <t>NULL</t>
        </is>
      </c>
      <c r="E877" s="0" t="inlineStr">
        <is>
          <t>NULL</t>
        </is>
      </c>
      <c r="F877" s="0" t="inlineStr">
        <is>
          <t>NULL</t>
        </is>
      </c>
      <c r="G877" s="0" t="inlineStr">
        <is>
          <t>NULL</t>
        </is>
      </c>
      <c r="H877" s="0" t="inlineStr">
        <is>
          <t>NULL</t>
        </is>
      </c>
      <c r="I877" s="0" t="inlineStr">
        <is>
          <t>YES!PK__info_cha__3213E83FE8B4749D</t>
        </is>
      </c>
      <c r="J877" s="0" t="inlineStr">
        <is>
          <t>YES! 主键相关索引</t>
        </is>
      </c>
      <c r="K877" s="0" t="inlineStr">
        <is>
          <t xml:space="preserve"> NO!  	 id列源备映射错误，源端为int None位	期望更改为text	实际备端为int None位</t>
        </is>
      </c>
      <c r="EH877" s="0" t="inlineStr">
        <is>
          <t>49行 11列，源：None 备：</t>
        </is>
      </c>
      <c r="ES877" s="0" t="inlineStr">
        <is>
          <t>49行 11列，源：None 备：</t>
        </is>
      </c>
    </row>
    <row r="878">
      <c r="B878" s="0" t="inlineStr">
        <is>
          <t>NULL</t>
        </is>
      </c>
      <c r="C878" s="0" t="inlineStr">
        <is>
          <t>NULL</t>
        </is>
      </c>
      <c r="D878" s="0" t="inlineStr">
        <is>
          <t>NULL</t>
        </is>
      </c>
      <c r="E878" s="0" t="inlineStr">
        <is>
          <t>NULL</t>
        </is>
      </c>
      <c r="F878" s="0" t="inlineStr">
        <is>
          <t>NULL</t>
        </is>
      </c>
      <c r="G878" s="0" t="inlineStr">
        <is>
          <t>NULL</t>
        </is>
      </c>
      <c r="H878" s="0" t="inlineStr">
        <is>
          <t>NULL</t>
        </is>
      </c>
      <c r="I878" s="0" t="inlineStr">
        <is>
          <t>NULL</t>
        </is>
      </c>
      <c r="J878" s="0" t="inlineStr">
        <is>
          <t>NULL</t>
        </is>
      </c>
      <c r="K878" s="0" t="inlineStr">
        <is>
          <t xml:space="preserve"> NO!  	 c_char列源备映射错误，源端为char 1位	期望更改为text	实际备端为char 1位</t>
        </is>
      </c>
      <c r="EH878" s="0" t="inlineStr">
        <is>
          <t>49行 12列，源：None 备：</t>
        </is>
      </c>
      <c r="ES878" s="0" t="inlineStr">
        <is>
          <t>49行 12列，源：None 备：</t>
        </is>
      </c>
    </row>
    <row r="879">
      <c r="B879" s="0" t="inlineStr">
        <is>
          <t>NULL</t>
        </is>
      </c>
      <c r="C879" s="0" t="inlineStr">
        <is>
          <t>NULL</t>
        </is>
      </c>
      <c r="D879" s="0" t="inlineStr">
        <is>
          <t>NULL</t>
        </is>
      </c>
      <c r="E879" s="0" t="inlineStr">
        <is>
          <t>NULL</t>
        </is>
      </c>
      <c r="F879" s="0" t="inlineStr">
        <is>
          <t>NULL</t>
        </is>
      </c>
      <c r="G879" s="0" t="inlineStr">
        <is>
          <t>NULL</t>
        </is>
      </c>
      <c r="H879" s="0" t="inlineStr">
        <is>
          <t>NULL</t>
        </is>
      </c>
      <c r="I879" s="0" t="inlineStr">
        <is>
          <t>NULL</t>
        </is>
      </c>
      <c r="J879" s="0" t="inlineStr">
        <is>
          <t>NULL</t>
        </is>
      </c>
      <c r="K879" s="0" t="inlineStr">
        <is>
          <t xml:space="preserve"> NO!  	 c_char20列源备映射错误，源端为char 20位	期望更改为text	实际备端为char 20位</t>
        </is>
      </c>
      <c r="EH879" s="0" t="inlineStr">
        <is>
          <t>49行 13列，源：None 备：</t>
        </is>
      </c>
      <c r="ES879" s="0" t="inlineStr">
        <is>
          <t>49行 13列，源：None 备：</t>
        </is>
      </c>
    </row>
    <row r="880">
      <c r="B880" s="0" t="inlineStr">
        <is>
          <t>NULL</t>
        </is>
      </c>
      <c r="C880" s="0" t="inlineStr">
        <is>
          <t>NULL</t>
        </is>
      </c>
      <c r="D880" s="0" t="inlineStr">
        <is>
          <t>NULL</t>
        </is>
      </c>
      <c r="E880" s="0" t="inlineStr">
        <is>
          <t>NULL</t>
        </is>
      </c>
      <c r="F880" s="0" t="inlineStr">
        <is>
          <t>NULL</t>
        </is>
      </c>
      <c r="G880" s="0" t="inlineStr">
        <is>
          <t>NULL</t>
        </is>
      </c>
      <c r="H880" s="0" t="inlineStr">
        <is>
          <t>NULL</t>
        </is>
      </c>
      <c r="I880" s="0" t="inlineStr">
        <is>
          <t>NULL</t>
        </is>
      </c>
      <c r="J880" s="0" t="inlineStr">
        <is>
          <t>NULL</t>
        </is>
      </c>
      <c r="K880" s="0" t="inlineStr">
        <is>
          <t xml:space="preserve"> NO!  	 c_char7000列源备映射错误，源端为char 7000位	期望更改为text	实际备端为char 7000位</t>
        </is>
      </c>
      <c r="EH880" s="0" t="inlineStr">
        <is>
          <t>49行 14列，源：None 备：</t>
        </is>
      </c>
      <c r="ES880" s="0" t="inlineStr">
        <is>
          <t>49行 14列，源：None 备：</t>
        </is>
      </c>
    </row>
    <row r="881">
      <c r="A881" s="0" t="inlineStr">
        <is>
          <t>info_date_dml_batch1_pk_drp1</t>
        </is>
      </c>
      <c r="K881" s="0" t="inlineStr">
        <is>
          <t>[0;34m info_date_dml_batch1_pk_drp1 [0m源备字段数相同，源端字段：2 	备端字段2</t>
        </is>
      </c>
      <c r="W881" s="0" t="inlineStr">
        <is>
          <t>YES 源备无差异</t>
        </is>
      </c>
      <c r="X881" s="0">
        <f>A881</f>
        <v/>
      </c>
      <c r="EH881" s="0" t="inlineStr">
        <is>
          <t>49行 15列，源：nan 备：0.0000000000000</t>
        </is>
      </c>
      <c r="ES881" s="0" t="inlineStr">
        <is>
          <t>49行 15列，源：nan 备：-123456789000000002003480098325095514112.0000000000000</t>
        </is>
      </c>
    </row>
    <row r="882">
      <c r="B882" s="0" t="inlineStr">
        <is>
          <t>YES</t>
        </is>
      </c>
      <c r="C882" s="0" t="inlineStr">
        <is>
          <t>NULL</t>
        </is>
      </c>
      <c r="D882" s="0" t="inlineStr">
        <is>
          <t>NULL</t>
        </is>
      </c>
      <c r="E882" s="0" t="inlineStr">
        <is>
          <t>NULL</t>
        </is>
      </c>
      <c r="F882" s="0" t="inlineStr">
        <is>
          <t>NULL</t>
        </is>
      </c>
      <c r="G882" s="0" t="inlineStr">
        <is>
          <t>NULL</t>
        </is>
      </c>
      <c r="H882" s="0" t="inlineStr">
        <is>
          <t>NULL</t>
        </is>
      </c>
      <c r="I882" s="0" t="inlineStr">
        <is>
          <t>YES!PK__info_dat__3213E83F4FA618A2</t>
        </is>
      </c>
      <c r="J882" s="0" t="inlineStr">
        <is>
          <t>YES! 主键相关索引</t>
        </is>
      </c>
      <c r="K882" s="0" t="inlineStr">
        <is>
          <t xml:space="preserve"> NO!  	 id列源备映射错误，源端为int None位	期望更改为text	实际备端为int None位</t>
        </is>
      </c>
      <c r="EH882" s="0" t="inlineStr">
        <is>
          <t>49行 16列，源：nan 备：0.000000</t>
        </is>
      </c>
      <c r="ES882" s="0" t="inlineStr">
        <is>
          <t>49行 16列，源：nan 备：-340282306073709652508363335590014353408.000000</t>
        </is>
      </c>
    </row>
    <row r="883">
      <c r="B883" s="0" t="inlineStr">
        <is>
          <t>NULL</t>
        </is>
      </c>
      <c r="C883" s="0" t="inlineStr">
        <is>
          <t>NULL</t>
        </is>
      </c>
      <c r="D883" s="0" t="inlineStr">
        <is>
          <t>NULL</t>
        </is>
      </c>
      <c r="E883" s="0" t="inlineStr">
        <is>
          <t>NULL</t>
        </is>
      </c>
      <c r="F883" s="0" t="inlineStr">
        <is>
          <t>NULL</t>
        </is>
      </c>
      <c r="G883" s="0" t="inlineStr">
        <is>
          <t>NULL</t>
        </is>
      </c>
      <c r="H883" s="0" t="inlineStr">
        <is>
          <t>NULL</t>
        </is>
      </c>
      <c r="I883" s="0" t="inlineStr">
        <is>
          <t>NULL</t>
        </is>
      </c>
      <c r="J883" s="0" t="inlineStr">
        <is>
          <t>NULL</t>
        </is>
      </c>
      <c r="K883" s="0" t="inlineStr">
        <is>
          <t xml:space="preserve"> NO!  	 c_date列源备映射错误，源端为date None位	期望更改为text	实际备端为date None位</t>
        </is>
      </c>
      <c r="EH883" s="0" t="inlineStr">
        <is>
          <t>49行 17列，源：None 备：0.0001</t>
        </is>
      </c>
      <c r="ES883" s="0" t="inlineStr">
        <is>
          <t>49行 17列，源：None 备：-123456.7890</t>
        </is>
      </c>
    </row>
    <row r="884">
      <c r="K884" s="0" t="inlineStr">
        <is>
          <t>~ 空表</t>
        </is>
      </c>
      <c r="EH884" s="0" t="inlineStr">
        <is>
          <t>49行 18列，源：None 备：0.0001</t>
        </is>
      </c>
      <c r="ES884" s="0" t="inlineStr">
        <is>
          <t>49行 18列，源：None 备：-1234.5678</t>
        </is>
      </c>
    </row>
    <row r="885">
      <c r="A885" s="0" t="inlineStr">
        <is>
          <t>info_char_dml_single_pk_drp</t>
        </is>
      </c>
      <c r="K885" s="0" t="inlineStr">
        <is>
          <t>[0;34m info_char_dml_single_pk_drp [0m源备字段数相同，源端字段：4 	备端字段4</t>
        </is>
      </c>
      <c r="W885" s="0" t="inlineStr">
        <is>
          <t>YES 源备无差异</t>
        </is>
      </c>
      <c r="X885" s="0">
        <f>A885</f>
        <v/>
      </c>
      <c r="EH885" s="0" t="inlineStr">
        <is>
          <t>49行 19列，源：None 备：1</t>
        </is>
      </c>
      <c r="ES885" s="0" t="inlineStr">
        <is>
          <t>49行 19列，源：None 备：0</t>
        </is>
      </c>
    </row>
    <row r="886">
      <c r="B886" s="0" t="inlineStr">
        <is>
          <t>YES</t>
        </is>
      </c>
      <c r="C886" s="0" t="inlineStr">
        <is>
          <t>NULL</t>
        </is>
      </c>
      <c r="D886" s="0" t="inlineStr">
        <is>
          <t>NULL</t>
        </is>
      </c>
      <c r="E886" s="0" t="inlineStr">
        <is>
          <t>NULL</t>
        </is>
      </c>
      <c r="F886" s="0" t="inlineStr">
        <is>
          <t>NULL</t>
        </is>
      </c>
      <c r="G886" s="0" t="inlineStr">
        <is>
          <t>NULL</t>
        </is>
      </c>
      <c r="H886" s="0" t="inlineStr">
        <is>
          <t>NULL</t>
        </is>
      </c>
      <c r="I886" s="0" t="inlineStr">
        <is>
          <t>YES!PK__info_cha__3213E83FE8A47775</t>
        </is>
      </c>
      <c r="J886" s="0" t="inlineStr">
        <is>
          <t>YES! 主键相关索引</t>
        </is>
      </c>
      <c r="K886" s="0" t="inlineStr">
        <is>
          <t xml:space="preserve"> NO!  	 id列源备映射错误，源端为int None位	期望更改为text	实际备端为int None位</t>
        </is>
      </c>
      <c r="EH886" s="0" t="inlineStr">
        <is>
          <t>50行 0列，源：111 备：19</t>
        </is>
      </c>
      <c r="ES886" s="0" t="inlineStr">
        <is>
          <t>50行 0列，源：111 备：218</t>
        </is>
      </c>
    </row>
    <row r="887">
      <c r="B887" s="0" t="inlineStr">
        <is>
          <t>NULL</t>
        </is>
      </c>
      <c r="C887" s="0" t="inlineStr">
        <is>
          <t>NULL</t>
        </is>
      </c>
      <c r="D887" s="0" t="inlineStr">
        <is>
          <t>NULL</t>
        </is>
      </c>
      <c r="E887" s="0" t="inlineStr">
        <is>
          <t>NULL</t>
        </is>
      </c>
      <c r="F887" s="0" t="inlineStr">
        <is>
          <t>NULL</t>
        </is>
      </c>
      <c r="G887" s="0" t="inlineStr">
        <is>
          <t>NULL</t>
        </is>
      </c>
      <c r="H887" s="0" t="inlineStr">
        <is>
          <t>NULL</t>
        </is>
      </c>
      <c r="I887" s="0" t="inlineStr">
        <is>
          <t>NULL</t>
        </is>
      </c>
      <c r="J887" s="0" t="inlineStr">
        <is>
          <t>NULL</t>
        </is>
      </c>
      <c r="K887" s="0" t="inlineStr">
        <is>
          <t xml:space="preserve"> NO!  	 c_char列源备映射错误，源端为char 1位	期望更改为text	实际备端为char 1位</t>
        </is>
      </c>
      <c r="EH887" s="0" t="inlineStr">
        <is>
          <t>50行 1列，源：nan 备：</t>
        </is>
      </c>
      <c r="ES887" s="0" t="inlineStr">
        <is>
          <t>50行 1列，源：nan 备：</t>
        </is>
      </c>
    </row>
    <row r="888">
      <c r="B888" s="0" t="inlineStr">
        <is>
          <t>NULL</t>
        </is>
      </c>
      <c r="C888" s="0" t="inlineStr">
        <is>
          <t>NULL</t>
        </is>
      </c>
      <c r="D888" s="0" t="inlineStr">
        <is>
          <t>NULL</t>
        </is>
      </c>
      <c r="E888" s="0" t="inlineStr">
        <is>
          <t>NULL</t>
        </is>
      </c>
      <c r="F888" s="0" t="inlineStr">
        <is>
          <t>NULL</t>
        </is>
      </c>
      <c r="G888" s="0" t="inlineStr">
        <is>
          <t>NULL</t>
        </is>
      </c>
      <c r="H888" s="0" t="inlineStr">
        <is>
          <t>NULL</t>
        </is>
      </c>
      <c r="I888" s="0" t="inlineStr">
        <is>
          <t>NULL</t>
        </is>
      </c>
      <c r="J888" s="0" t="inlineStr">
        <is>
          <t>NULL</t>
        </is>
      </c>
      <c r="K888" s="0" t="inlineStr">
        <is>
          <t xml:space="preserve"> NO!  	 c_char20列源备映射错误，源端为char 20位	期望更改为text	实际备端为char 20位</t>
        </is>
      </c>
      <c r="EH888" s="0" t="inlineStr">
        <is>
          <t>50行 2列，源：nan 备：</t>
        </is>
      </c>
      <c r="ES888" s="0" t="inlineStr">
        <is>
          <t>50行 2列，源：nan 备：</t>
        </is>
      </c>
    </row>
    <row r="889">
      <c r="B889" s="0" t="inlineStr">
        <is>
          <t>NULL</t>
        </is>
      </c>
      <c r="C889" s="0" t="inlineStr">
        <is>
          <t>NULL</t>
        </is>
      </c>
      <c r="D889" s="0" t="inlineStr">
        <is>
          <t>NULL</t>
        </is>
      </c>
      <c r="E889" s="0" t="inlineStr">
        <is>
          <t>NULL</t>
        </is>
      </c>
      <c r="F889" s="0" t="inlineStr">
        <is>
          <t>NULL</t>
        </is>
      </c>
      <c r="G889" s="0" t="inlineStr">
        <is>
          <t>NULL</t>
        </is>
      </c>
      <c r="H889" s="0" t="inlineStr">
        <is>
          <t>NULL</t>
        </is>
      </c>
      <c r="I889" s="0" t="inlineStr">
        <is>
          <t>NULL</t>
        </is>
      </c>
      <c r="J889" s="0" t="inlineStr">
        <is>
          <t>NULL</t>
        </is>
      </c>
      <c r="K889" s="0" t="inlineStr">
        <is>
          <t xml:space="preserve"> NO!  	 c_char7000列源备映射错误，源端为char 7000位	期望更改为text	实际备端为char 7000位</t>
        </is>
      </c>
      <c r="EH889" s="0" t="inlineStr">
        <is>
          <t>50行 3列，源：nan 备：</t>
        </is>
      </c>
      <c r="ES889" s="0" t="inlineStr">
        <is>
          <t>50行 3列，源：nan 备：</t>
        </is>
      </c>
    </row>
    <row r="890">
      <c r="A890" s="0" t="inlineStr">
        <is>
          <t>info_varcharmax_dml_batch1_pk_drp2</t>
        </is>
      </c>
      <c r="K890" s="0" t="inlineStr">
        <is>
          <t>[0;34m info_varcharmax_dml_batch1_pk_drp2 [0m源备字段数相同，源端字段：3 	备端字段3</t>
        </is>
      </c>
      <c r="W890" s="0" t="inlineStr">
        <is>
          <t>YES 源备无差异</t>
        </is>
      </c>
      <c r="X890" s="0">
        <f>A890</f>
        <v/>
      </c>
      <c r="EH890" s="0" t="inlineStr">
        <is>
          <t>50行 4列，源：nan 备：</t>
        </is>
      </c>
      <c r="ES890" s="0" t="inlineStr">
        <is>
          <t>50行 4列，源：nan 备：</t>
        </is>
      </c>
    </row>
    <row r="891">
      <c r="B891" s="0" t="inlineStr">
        <is>
          <t>YES</t>
        </is>
      </c>
      <c r="C891" s="0" t="inlineStr">
        <is>
          <t>NULL</t>
        </is>
      </c>
      <c r="D891" s="0" t="inlineStr">
        <is>
          <t>NULL</t>
        </is>
      </c>
      <c r="E891" s="0" t="inlineStr">
        <is>
          <t>NULL</t>
        </is>
      </c>
      <c r="F891" s="0" t="inlineStr">
        <is>
          <t>NULL</t>
        </is>
      </c>
      <c r="G891" s="0" t="inlineStr">
        <is>
          <t>NULL</t>
        </is>
      </c>
      <c r="H891" s="0" t="inlineStr">
        <is>
          <t>NULL</t>
        </is>
      </c>
      <c r="I891" s="0" t="inlineStr">
        <is>
          <t>YES!PK__info_var__3213E83FE60B3A59</t>
        </is>
      </c>
      <c r="J891" s="0" t="inlineStr">
        <is>
          <t>YES! 主键相关索引</t>
        </is>
      </c>
      <c r="K891" s="0" t="inlineStr">
        <is>
          <t xml:space="preserve"> NO!  	 id列源备映射错误，源端为int None位	期望更改为text	实际备端为int None位</t>
        </is>
      </c>
      <c r="EH891" s="0" t="inlineStr">
        <is>
          <t>50行 5列，源：None 备：</t>
        </is>
      </c>
      <c r="ES891" s="0" t="inlineStr">
        <is>
          <t>50行 5列，源：None 备：</t>
        </is>
      </c>
    </row>
    <row r="892">
      <c r="B892" s="0" t="inlineStr">
        <is>
          <t>NULL</t>
        </is>
      </c>
      <c r="C892" s="0" t="inlineStr">
        <is>
          <t>NULL</t>
        </is>
      </c>
      <c r="D892" s="0" t="inlineStr">
        <is>
          <t>NULL</t>
        </is>
      </c>
      <c r="E892" s="0" t="inlineStr">
        <is>
          <t>NULL</t>
        </is>
      </c>
      <c r="F892" s="0" t="inlineStr">
        <is>
          <t>NULL</t>
        </is>
      </c>
      <c r="G892" s="0" t="inlineStr">
        <is>
          <t>NULL</t>
        </is>
      </c>
      <c r="H892" s="0" t="inlineStr">
        <is>
          <t>NULL</t>
        </is>
      </c>
      <c r="I892" s="0" t="inlineStr">
        <is>
          <t>NULL</t>
        </is>
      </c>
      <c r="J892" s="0" t="inlineStr">
        <is>
          <t>NULL</t>
        </is>
      </c>
      <c r="K892" s="0" t="inlineStr">
        <is>
          <t xml:space="preserve"> NO!  	 c_varchar_max列源备映射错误，源端为varchar -1位	期望更改为text	实际备端为varchar -1位</t>
        </is>
      </c>
      <c r="EH892" s="0" t="inlineStr">
        <is>
          <t>50行 6列，源：None 备：</t>
        </is>
      </c>
      <c r="ES892" s="0" t="inlineStr">
        <is>
          <t>50行 6列，源：None 备：</t>
        </is>
      </c>
    </row>
    <row r="893">
      <c r="B893" s="0" t="inlineStr">
        <is>
          <t>NULL</t>
        </is>
      </c>
      <c r="C893" s="0" t="inlineStr">
        <is>
          <t>NULL</t>
        </is>
      </c>
      <c r="D893" s="0" t="inlineStr">
        <is>
          <t>NULL</t>
        </is>
      </c>
      <c r="E893" s="0" t="inlineStr">
        <is>
          <t>NULL</t>
        </is>
      </c>
      <c r="F893" s="0" t="inlineStr">
        <is>
          <t>NULL</t>
        </is>
      </c>
      <c r="G893" s="0" t="inlineStr">
        <is>
          <t>NULL</t>
        </is>
      </c>
      <c r="H893" s="0" t="inlineStr">
        <is>
          <t>NULL</t>
        </is>
      </c>
      <c r="I893" s="0" t="inlineStr">
        <is>
          <t>NULL</t>
        </is>
      </c>
      <c r="J893" s="0" t="inlineStr">
        <is>
          <t>NULL</t>
        </is>
      </c>
      <c r="K893" s="0" t="inlineStr">
        <is>
          <t xml:space="preserve"> NO!  	 c_nvarchar_max列源备映射错误，源端为nvarchar -1位	期望更改为text	实际备端为nvarchar -1位</t>
        </is>
      </c>
      <c r="EH893" s="0" t="inlineStr">
        <is>
          <t>50行 7列，源：None 备：</t>
        </is>
      </c>
      <c r="ES893" s="0" t="inlineStr">
        <is>
          <t>50行 7列，源：None 备：</t>
        </is>
      </c>
    </row>
    <row r="894">
      <c r="K894" s="0" t="inlineStr">
        <is>
          <t>~ 空表</t>
        </is>
      </c>
      <c r="EH894" s="0" t="inlineStr">
        <is>
          <t>50行 8列，源：None 备：</t>
        </is>
      </c>
      <c r="ES894" s="0" t="inlineStr">
        <is>
          <t>50行 8列，源：None 备：</t>
        </is>
      </c>
    </row>
    <row r="895">
      <c r="A895" s="0" t="inlineStr">
        <is>
          <t>info_varchar_dml_batch1_pk_irp1</t>
        </is>
      </c>
      <c r="K895" s="0" t="inlineStr">
        <is>
          <t>[0;34m info_varchar_dml_batch1_pk_irp1 [0m源备字段数相同，源端字段：4 	备端字段4</t>
        </is>
      </c>
      <c r="W895" s="0" t="inlineStr">
        <is>
          <t>YES 源备无差异</t>
        </is>
      </c>
      <c r="X895" s="0">
        <f>A895</f>
        <v/>
      </c>
      <c r="EH895" s="0" t="inlineStr">
        <is>
          <t>50行 9列，源：None 备：</t>
        </is>
      </c>
      <c r="ES895" s="0" t="inlineStr">
        <is>
          <t>50行 9列，源：None 备：</t>
        </is>
      </c>
    </row>
    <row r="896">
      <c r="B896" s="0" t="inlineStr">
        <is>
          <t>YES</t>
        </is>
      </c>
      <c r="C896" s="0" t="inlineStr">
        <is>
          <t>NULL</t>
        </is>
      </c>
      <c r="D896" s="0" t="inlineStr">
        <is>
          <t>NULL</t>
        </is>
      </c>
      <c r="E896" s="0" t="inlineStr">
        <is>
          <t>NULL</t>
        </is>
      </c>
      <c r="F896" s="0" t="inlineStr">
        <is>
          <t>NULL</t>
        </is>
      </c>
      <c r="G896" s="0" t="inlineStr">
        <is>
          <t>NULL</t>
        </is>
      </c>
      <c r="H896" s="0" t="inlineStr">
        <is>
          <t>NULL</t>
        </is>
      </c>
      <c r="I896" s="0" t="inlineStr">
        <is>
          <t>YES!PK__info_var__3213E83F6394AEC0</t>
        </is>
      </c>
      <c r="J896" s="0" t="inlineStr">
        <is>
          <t>YES! 主键相关索引</t>
        </is>
      </c>
      <c r="K896" s="0" t="inlineStr">
        <is>
          <t xml:space="preserve"> NO!  	 id列源备映射错误，源端为int None位	期望更改为text	实际备端为int None位</t>
        </is>
      </c>
      <c r="EH896" s="0" t="inlineStr">
        <is>
          <t>50行 10列，源：None 备：</t>
        </is>
      </c>
      <c r="ES896" s="0" t="inlineStr">
        <is>
          <t>50行 10列，源：None 备：</t>
        </is>
      </c>
    </row>
    <row r="897">
      <c r="B897" s="0" t="inlineStr">
        <is>
          <t>NULL</t>
        </is>
      </c>
      <c r="C897" s="0" t="inlineStr">
        <is>
          <t>NULL</t>
        </is>
      </c>
      <c r="D897" s="0" t="inlineStr">
        <is>
          <t>NULL</t>
        </is>
      </c>
      <c r="E897" s="0" t="inlineStr">
        <is>
          <t>NULL</t>
        </is>
      </c>
      <c r="F897" s="0" t="inlineStr">
        <is>
          <t>NULL</t>
        </is>
      </c>
      <c r="G897" s="0" t="inlineStr">
        <is>
          <t>NULL</t>
        </is>
      </c>
      <c r="H897" s="0" t="inlineStr">
        <is>
          <t>NULL</t>
        </is>
      </c>
      <c r="I897" s="0" t="inlineStr">
        <is>
          <t>NULL</t>
        </is>
      </c>
      <c r="J897" s="0" t="inlineStr">
        <is>
          <t>NULL</t>
        </is>
      </c>
      <c r="K897" s="0" t="inlineStr">
        <is>
          <t xml:space="preserve"> NO!  	 c_varchar列源备映射错误，源端为varchar 1位	期望更改为text	实际备端为varchar 1位</t>
        </is>
      </c>
      <c r="EH897" s="0" t="inlineStr">
        <is>
          <t>50行 11列，源：None 备：</t>
        </is>
      </c>
      <c r="ES897" s="0" t="inlineStr">
        <is>
          <t>50行 11列，源：None 备：</t>
        </is>
      </c>
    </row>
    <row r="898">
      <c r="B898" s="0" t="inlineStr">
        <is>
          <t>NULL</t>
        </is>
      </c>
      <c r="C898" s="0" t="inlineStr">
        <is>
          <t>NULL</t>
        </is>
      </c>
      <c r="D898" s="0" t="inlineStr">
        <is>
          <t>NULL</t>
        </is>
      </c>
      <c r="E898" s="0" t="inlineStr">
        <is>
          <t>NULL</t>
        </is>
      </c>
      <c r="F898" s="0" t="inlineStr">
        <is>
          <t>NULL</t>
        </is>
      </c>
      <c r="G898" s="0" t="inlineStr">
        <is>
          <t>NULL</t>
        </is>
      </c>
      <c r="H898" s="0" t="inlineStr">
        <is>
          <t>NULL</t>
        </is>
      </c>
      <c r="I898" s="0" t="inlineStr">
        <is>
          <t>NULL</t>
        </is>
      </c>
      <c r="J898" s="0" t="inlineStr">
        <is>
          <t>NULL</t>
        </is>
      </c>
      <c r="K898" s="0" t="inlineStr">
        <is>
          <t xml:space="preserve"> NO!  	 c_varchar20列源备映射错误，源端为varchar 20位	期望更改为text	实际备端为varchar 20位</t>
        </is>
      </c>
      <c r="EH898" s="0" t="inlineStr">
        <is>
          <t>50行 12列，源：None 备：</t>
        </is>
      </c>
      <c r="ES898" s="0" t="inlineStr">
        <is>
          <t>50行 12列，源：None 备：</t>
        </is>
      </c>
    </row>
    <row r="899">
      <c r="B899" s="0" t="inlineStr">
        <is>
          <t>NULL</t>
        </is>
      </c>
      <c r="C899" s="0" t="inlineStr">
        <is>
          <t>NULL</t>
        </is>
      </c>
      <c r="D899" s="0" t="inlineStr">
        <is>
          <t>NULL</t>
        </is>
      </c>
      <c r="E899" s="0" t="inlineStr">
        <is>
          <t>NULL</t>
        </is>
      </c>
      <c r="F899" s="0" t="inlineStr">
        <is>
          <t>NULL</t>
        </is>
      </c>
      <c r="G899" s="0" t="inlineStr">
        <is>
          <t>NULL</t>
        </is>
      </c>
      <c r="H899" s="0" t="inlineStr">
        <is>
          <t>NULL</t>
        </is>
      </c>
      <c r="I899" s="0" t="inlineStr">
        <is>
          <t>NULL</t>
        </is>
      </c>
      <c r="J899" s="0" t="inlineStr">
        <is>
          <t>NULL</t>
        </is>
      </c>
      <c r="K899" s="0" t="inlineStr">
        <is>
          <t xml:space="preserve"> NO!  	 c_varchar200列源备映射错误，源端为varchar 200位	期望更改为text	实际备端为varchar 200位</t>
        </is>
      </c>
      <c r="EH899" s="0" t="inlineStr">
        <is>
          <t>50行 13列，源：None 备：</t>
        </is>
      </c>
      <c r="ES899" s="0" t="inlineStr">
        <is>
          <t>50行 13列，源：None 备：</t>
        </is>
      </c>
    </row>
    <row r="900">
      <c r="K900" s="0" t="inlineStr">
        <is>
          <t>~ 空表</t>
        </is>
      </c>
      <c r="EH900" s="0" t="inlineStr">
        <is>
          <t>50行 14列，源：None 备：</t>
        </is>
      </c>
      <c r="ES900" s="0" t="inlineStr">
        <is>
          <t>50行 14列，源：None 备：</t>
        </is>
      </c>
    </row>
    <row r="901">
      <c r="A901" s="0" t="inlineStr">
        <is>
          <t>info_datetime_dml_single_pk_urp</t>
        </is>
      </c>
      <c r="K901" s="0" t="inlineStr">
        <is>
          <t>[0;34m info_datetime_dml_single_pk_urp [0m源备字段数相同，源端字段：2 	备端字段2</t>
        </is>
      </c>
      <c r="W901" s="0" t="inlineStr">
        <is>
          <t>YES 源备无差异</t>
        </is>
      </c>
      <c r="X901" s="0">
        <f>A901</f>
        <v/>
      </c>
      <c r="EH901" s="0" t="inlineStr">
        <is>
          <t>50行 15列，源：nan 备：340282346600000016151267322115014000640.0000000000000</t>
        </is>
      </c>
      <c r="ES901" s="0" t="inlineStr">
        <is>
          <t>50行 15列，源：nan 备：0.0000000000000</t>
        </is>
      </c>
    </row>
    <row r="902">
      <c r="B902" s="0" t="inlineStr">
        <is>
          <t>YES</t>
        </is>
      </c>
      <c r="C902" s="0" t="inlineStr">
        <is>
          <t>NULL</t>
        </is>
      </c>
      <c r="D902" s="0" t="inlineStr">
        <is>
          <t>NULL</t>
        </is>
      </c>
      <c r="E902" s="0" t="inlineStr">
        <is>
          <t>NULL</t>
        </is>
      </c>
      <c r="F902" s="0" t="inlineStr">
        <is>
          <t>NULL</t>
        </is>
      </c>
      <c r="G902" s="0" t="inlineStr">
        <is>
          <t>NULL</t>
        </is>
      </c>
      <c r="H902" s="0" t="inlineStr">
        <is>
          <t>NULL</t>
        </is>
      </c>
      <c r="I902" s="0" t="inlineStr">
        <is>
          <t>YES!PK__info_dat__3213E83F86AA400F</t>
        </is>
      </c>
      <c r="J902" s="0" t="inlineStr">
        <is>
          <t>YES! 主键相关索引</t>
        </is>
      </c>
      <c r="K902" s="0" t="inlineStr">
        <is>
          <t xml:space="preserve"> NO!  	 id列源备映射错误，源端为int None位	期望更改为text	实际备端为int None位</t>
        </is>
      </c>
      <c r="EH902" s="0" t="inlineStr">
        <is>
          <t>50行 16列，源：nan 备：340282306073709652508363335590014353408.000000</t>
        </is>
      </c>
      <c r="ES902" s="0" t="inlineStr">
        <is>
          <t>50行 16列，源：nan 备：0.000000</t>
        </is>
      </c>
    </row>
    <row r="903">
      <c r="B903" s="0" t="inlineStr">
        <is>
          <t>NULL</t>
        </is>
      </c>
      <c r="C903" s="0" t="inlineStr">
        <is>
          <t>NULL</t>
        </is>
      </c>
      <c r="D903" s="0" t="inlineStr">
        <is>
          <t>NULL</t>
        </is>
      </c>
      <c r="E903" s="0" t="inlineStr">
        <is>
          <t>NULL</t>
        </is>
      </c>
      <c r="F903" s="0" t="inlineStr">
        <is>
          <t>NULL</t>
        </is>
      </c>
      <c r="G903" s="0" t="inlineStr">
        <is>
          <t>NULL</t>
        </is>
      </c>
      <c r="H903" s="0" t="inlineStr">
        <is>
          <t>NULL</t>
        </is>
      </c>
      <c r="I903" s="0" t="inlineStr">
        <is>
          <t>NULL</t>
        </is>
      </c>
      <c r="J903" s="0" t="inlineStr">
        <is>
          <t>NULL</t>
        </is>
      </c>
      <c r="K903" s="0" t="inlineStr">
        <is>
          <t xml:space="preserve"> NO!  	 c_datetime列源备映射错误，源端为datetime None位	期望更改为text	实际备端为datetime None位</t>
        </is>
      </c>
      <c r="EH903" s="0" t="inlineStr">
        <is>
          <t>50行 17列，源：None 备：922337203685477.5807</t>
        </is>
      </c>
      <c r="ES903" s="0" t="inlineStr">
        <is>
          <t>50行 17列，源：None 备：0.0001</t>
        </is>
      </c>
    </row>
    <row r="904">
      <c r="A904" s="0" t="inlineStr">
        <is>
          <t>info_nchar_dml_batch1_pk</t>
        </is>
      </c>
      <c r="K904" s="0" t="inlineStr">
        <is>
          <t>[0;34m info_nchar_dml_batch1_pk [0m源备字段数相同，源端字段：4 	备端字段4</t>
        </is>
      </c>
      <c r="W904" s="0" t="inlineStr">
        <is>
          <t>YES 源备无差异</t>
        </is>
      </c>
      <c r="X904" s="0">
        <f>A904</f>
        <v/>
      </c>
      <c r="EH904" s="0" t="inlineStr">
        <is>
          <t>50行 18列，源：None 备：214748.3647</t>
        </is>
      </c>
      <c r="ES904" s="0" t="inlineStr">
        <is>
          <t>50行 18列，源：None 备：0.0001</t>
        </is>
      </c>
    </row>
    <row r="905">
      <c r="B905" s="0" t="inlineStr">
        <is>
          <t>YES</t>
        </is>
      </c>
      <c r="C905" s="0" t="inlineStr">
        <is>
          <t>NULL</t>
        </is>
      </c>
      <c r="D905" s="0" t="inlineStr">
        <is>
          <t>NULL</t>
        </is>
      </c>
      <c r="E905" s="0" t="inlineStr">
        <is>
          <t>NULL</t>
        </is>
      </c>
      <c r="F905" s="0" t="inlineStr">
        <is>
          <t>NULL</t>
        </is>
      </c>
      <c r="G905" s="0" t="inlineStr">
        <is>
          <t>NULL</t>
        </is>
      </c>
      <c r="H905" s="0" t="inlineStr">
        <is>
          <t>NULL</t>
        </is>
      </c>
      <c r="I905" s="0" t="inlineStr">
        <is>
          <t>YES!PK__info_nch__3213E83F08E12E83</t>
        </is>
      </c>
      <c r="J905" s="0" t="inlineStr">
        <is>
          <t>YES! 主键相关索引</t>
        </is>
      </c>
      <c r="K905" s="0" t="inlineStr">
        <is>
          <t xml:space="preserve"> NO!  	 id列源备映射错误，源端为int None位	期望更改为text	实际备端为int None位</t>
        </is>
      </c>
      <c r="EH905" s="0" t="inlineStr">
        <is>
          <t>50行 19列，源：None 备：1</t>
        </is>
      </c>
      <c r="ES905" s="0" t="inlineStr">
        <is>
          <t>50行 19列，源：None 备：1</t>
        </is>
      </c>
    </row>
    <row r="906">
      <c r="B906" s="0" t="inlineStr">
        <is>
          <t>NULL</t>
        </is>
      </c>
      <c r="C906" s="0" t="inlineStr">
        <is>
          <t>NULL</t>
        </is>
      </c>
      <c r="D906" s="0" t="inlineStr">
        <is>
          <t>NULL</t>
        </is>
      </c>
      <c r="E906" s="0" t="inlineStr">
        <is>
          <t>NULL</t>
        </is>
      </c>
      <c r="F906" s="0" t="inlineStr">
        <is>
          <t>NULL</t>
        </is>
      </c>
      <c r="G906" s="0" t="inlineStr">
        <is>
          <t>NULL</t>
        </is>
      </c>
      <c r="H906" s="0" t="inlineStr">
        <is>
          <t>NULL</t>
        </is>
      </c>
      <c r="I906" s="0" t="inlineStr">
        <is>
          <t>NULL</t>
        </is>
      </c>
      <c r="J906" s="0" t="inlineStr">
        <is>
          <t>NULL</t>
        </is>
      </c>
      <c r="K906" s="0" t="inlineStr">
        <is>
          <t xml:space="preserve"> NO!  	 c_nchar列源备映射错误，源端为nchar 2位	期望更改为text	实际备端为nchar 2位</t>
        </is>
      </c>
      <c r="EH906" s="0" t="inlineStr">
        <is>
          <t>51行 0列，源：112 备：2</t>
        </is>
      </c>
      <c r="ES906" s="0" t="inlineStr">
        <is>
          <t>51行 0列，源：112 备：219</t>
        </is>
      </c>
    </row>
    <row r="907">
      <c r="B907" s="0" t="inlineStr">
        <is>
          <t>NULL</t>
        </is>
      </c>
      <c r="C907" s="0" t="inlineStr">
        <is>
          <t>NULL</t>
        </is>
      </c>
      <c r="D907" s="0" t="inlineStr">
        <is>
          <t>NULL</t>
        </is>
      </c>
      <c r="E907" s="0" t="inlineStr">
        <is>
          <t>NULL</t>
        </is>
      </c>
      <c r="F907" s="0" t="inlineStr">
        <is>
          <t>NULL</t>
        </is>
      </c>
      <c r="G907" s="0" t="inlineStr">
        <is>
          <t>NULL</t>
        </is>
      </c>
      <c r="H907" s="0" t="inlineStr">
        <is>
          <t>NULL</t>
        </is>
      </c>
      <c r="I907" s="0" t="inlineStr">
        <is>
          <t>NULL</t>
        </is>
      </c>
      <c r="J907" s="0" t="inlineStr">
        <is>
          <t>NULL</t>
        </is>
      </c>
      <c r="K907" s="0" t="inlineStr">
        <is>
          <t xml:space="preserve"> NO!  	 c_nchar20列源备映射错误，源端为nchar 40位	期望更改为text	实际备端为nchar 40位</t>
        </is>
      </c>
      <c r="EH907" s="0" t="inlineStr">
        <is>
          <t>51行 1列，源：nan 备：255</t>
        </is>
      </c>
      <c r="ES907" s="0" t="inlineStr">
        <is>
          <t>51行 1列，源：nan 备：</t>
        </is>
      </c>
    </row>
    <row r="908">
      <c r="B908" s="0" t="inlineStr">
        <is>
          <t>NULL</t>
        </is>
      </c>
      <c r="C908" s="0" t="inlineStr">
        <is>
          <t>NULL</t>
        </is>
      </c>
      <c r="D908" s="0" t="inlineStr">
        <is>
          <t>NULL</t>
        </is>
      </c>
      <c r="E908" s="0" t="inlineStr">
        <is>
          <t>NULL</t>
        </is>
      </c>
      <c r="F908" s="0" t="inlineStr">
        <is>
          <t>NULL</t>
        </is>
      </c>
      <c r="G908" s="0" t="inlineStr">
        <is>
          <t>NULL</t>
        </is>
      </c>
      <c r="H908" s="0" t="inlineStr">
        <is>
          <t>NULL</t>
        </is>
      </c>
      <c r="I908" s="0" t="inlineStr">
        <is>
          <t>NULL</t>
        </is>
      </c>
      <c r="J908" s="0" t="inlineStr">
        <is>
          <t>NULL</t>
        </is>
      </c>
      <c r="K908" s="0" t="inlineStr">
        <is>
          <t xml:space="preserve"> NO!  	 c_nchar3500列源备映射错误，源端为nchar 7000位	期望更改为text	实际备端为nchar 7000位</t>
        </is>
      </c>
      <c r="EH908" s="0" t="inlineStr">
        <is>
          <t>51行 2列，源：nan 备：32767</t>
        </is>
      </c>
      <c r="ES908" s="0" t="inlineStr">
        <is>
          <t>51行 2列，源：nan 备：</t>
        </is>
      </c>
    </row>
    <row r="909">
      <c r="A909" s="0" t="inlineStr">
        <is>
          <t>info_varcharmax_dml_single_pk</t>
        </is>
      </c>
      <c r="K909" s="0" t="inlineStr">
        <is>
          <t>[0;34m info_varcharmax_dml_single_pk [0m源备字段数相同，源端字段：3 	备端字段3</t>
        </is>
      </c>
      <c r="W909" s="0" t="inlineStr">
        <is>
          <t>YES 源备无差异</t>
        </is>
      </c>
      <c r="X909" s="0">
        <f>A909</f>
        <v/>
      </c>
      <c r="EH909" s="0" t="inlineStr">
        <is>
          <t>51行 3列，源：nan 备：2147483647</t>
        </is>
      </c>
      <c r="ES909" s="0" t="inlineStr">
        <is>
          <t>51行 3列，源：nan 备：</t>
        </is>
      </c>
    </row>
    <row r="910">
      <c r="B910" s="0" t="inlineStr">
        <is>
          <t>YES</t>
        </is>
      </c>
      <c r="C910" s="0" t="inlineStr">
        <is>
          <t>NULL</t>
        </is>
      </c>
      <c r="D910" s="0" t="inlineStr">
        <is>
          <t>NULL</t>
        </is>
      </c>
      <c r="E910" s="0" t="inlineStr">
        <is>
          <t>NULL</t>
        </is>
      </c>
      <c r="F910" s="0" t="inlineStr">
        <is>
          <t>NULL</t>
        </is>
      </c>
      <c r="G910" s="0" t="inlineStr">
        <is>
          <t>NULL</t>
        </is>
      </c>
      <c r="H910" s="0" t="inlineStr">
        <is>
          <t>NULL</t>
        </is>
      </c>
      <c r="I910" s="0" t="inlineStr">
        <is>
          <t>YES!PK__info_var__3213E83F09BA74A2</t>
        </is>
      </c>
      <c r="J910" s="0" t="inlineStr">
        <is>
          <t>YES! 主键相关索引</t>
        </is>
      </c>
      <c r="K910" s="0" t="inlineStr">
        <is>
          <t xml:space="preserve"> NO!  	 id列源备映射错误，源端为int None位	期望更改为text	实际备端为int None位</t>
        </is>
      </c>
      <c r="EH910" s="0" t="inlineStr">
        <is>
          <t>51行 4列，源：nan 备：9223372036854775807</t>
        </is>
      </c>
      <c r="ES910" s="0" t="inlineStr">
        <is>
          <t>51行 4列，源：nan 备：</t>
        </is>
      </c>
    </row>
    <row r="911">
      <c r="B911" s="0" t="inlineStr">
        <is>
          <t>NULL</t>
        </is>
      </c>
      <c r="C911" s="0" t="inlineStr">
        <is>
          <t>NULL</t>
        </is>
      </c>
      <c r="D911" s="0" t="inlineStr">
        <is>
          <t>NULL</t>
        </is>
      </c>
      <c r="E911" s="0" t="inlineStr">
        <is>
          <t>NULL</t>
        </is>
      </c>
      <c r="F911" s="0" t="inlineStr">
        <is>
          <t>NULL</t>
        </is>
      </c>
      <c r="G911" s="0" t="inlineStr">
        <is>
          <t>NULL</t>
        </is>
      </c>
      <c r="H911" s="0" t="inlineStr">
        <is>
          <t>NULL</t>
        </is>
      </c>
      <c r="I911" s="0" t="inlineStr">
        <is>
          <t>NULL</t>
        </is>
      </c>
      <c r="J911" s="0" t="inlineStr">
        <is>
          <t>NULL</t>
        </is>
      </c>
      <c r="K911" s="0" t="inlineStr">
        <is>
          <t xml:space="preserve"> NO!  	 c_varchar_max列源备映射错误，源端为varchar -1位	期望更改为text	实际备端为varchar -1位</t>
        </is>
      </c>
      <c r="EH911" s="0" t="inlineStr">
        <is>
          <t>51行 15列，源：nan 备：1.7900000000000e+308</t>
        </is>
      </c>
      <c r="ES911" s="0" t="inlineStr">
        <is>
          <t>51行 15列，源：nan 备：340282346600000016151267322115014000640.0000000000000</t>
        </is>
      </c>
    </row>
    <row r="912">
      <c r="B912" s="0" t="inlineStr">
        <is>
          <t>NULL</t>
        </is>
      </c>
      <c r="C912" s="0" t="inlineStr">
        <is>
          <t>NULL</t>
        </is>
      </c>
      <c r="D912" s="0" t="inlineStr">
        <is>
          <t>NULL</t>
        </is>
      </c>
      <c r="E912" s="0" t="inlineStr">
        <is>
          <t>NULL</t>
        </is>
      </c>
      <c r="F912" s="0" t="inlineStr">
        <is>
          <t>NULL</t>
        </is>
      </c>
      <c r="G912" s="0" t="inlineStr">
        <is>
          <t>NULL</t>
        </is>
      </c>
      <c r="H912" s="0" t="inlineStr">
        <is>
          <t>NULL</t>
        </is>
      </c>
      <c r="I912" s="0" t="inlineStr">
        <is>
          <t>NULL</t>
        </is>
      </c>
      <c r="J912" s="0" t="inlineStr">
        <is>
          <t>NULL</t>
        </is>
      </c>
      <c r="K912" s="0" t="inlineStr">
        <is>
          <t xml:space="preserve"> NO!  	 c_nvarchar_max列源备映射错误，源端为nvarchar -1位	期望更改为text	实际备端为nvarchar -1位</t>
        </is>
      </c>
      <c r="EH912" s="0" t="inlineStr">
        <is>
          <t>51行 16列，源：nan 备：339999995214436424907732413799364296704.000000</t>
        </is>
      </c>
      <c r="ES912" s="0" t="inlineStr">
        <is>
          <t>51行 16列，源：nan 备：340282306073709652508363335590014353408.000000</t>
        </is>
      </c>
    </row>
    <row r="913">
      <c r="A913" s="0" t="inlineStr">
        <is>
          <t>info_date_dml_batch1_pk</t>
        </is>
      </c>
      <c r="K913" s="0" t="inlineStr">
        <is>
          <t>[0;34m info_date_dml_batch1_pk [0m源备字段数相同，源端字段：2 	备端字段2</t>
        </is>
      </c>
      <c r="W913" s="2">
        <f>HYPERLINK("#2026041905hbase4!DF2","NO 源备存在差异，共7个")</f>
        <v/>
      </c>
      <c r="X913" s="0">
        <f>A913</f>
        <v/>
      </c>
      <c r="EH913" s="0" t="inlineStr">
        <is>
          <t>51行 17列，源：None 备：922337203685477.5807</t>
        </is>
      </c>
      <c r="ES913" s="0" t="inlineStr">
        <is>
          <t>51行 17列，源：None 备：922337203685477.5807</t>
        </is>
      </c>
    </row>
    <row r="914">
      <c r="B914" s="0" t="inlineStr">
        <is>
          <t>YES</t>
        </is>
      </c>
      <c r="C914" s="0" t="inlineStr">
        <is>
          <t>NULL</t>
        </is>
      </c>
      <c r="D914" s="0" t="inlineStr">
        <is>
          <t>NULL</t>
        </is>
      </c>
      <c r="E914" s="0" t="inlineStr">
        <is>
          <t>NULL</t>
        </is>
      </c>
      <c r="F914" s="0" t="inlineStr">
        <is>
          <t>NULL</t>
        </is>
      </c>
      <c r="G914" s="0" t="inlineStr">
        <is>
          <t>NULL</t>
        </is>
      </c>
      <c r="H914" s="0" t="inlineStr">
        <is>
          <t>NULL</t>
        </is>
      </c>
      <c r="I914" s="0" t="inlineStr">
        <is>
          <t>YES!PK__info_dat__3213E83FCBFF6AA9</t>
        </is>
      </c>
      <c r="J914" s="0" t="inlineStr">
        <is>
          <t>YES! 主键相关索引</t>
        </is>
      </c>
      <c r="K914" s="0" t="inlineStr">
        <is>
          <t xml:space="preserve"> NO!  	 id列源备映射错误，源端为int None位	期望更改为text	实际备端为int None位</t>
        </is>
      </c>
      <c r="EH914" s="0" t="inlineStr">
        <is>
          <t>51行 18列，源：None 备：214748.3647</t>
        </is>
      </c>
      <c r="ES914" s="0" t="inlineStr">
        <is>
          <t>51行 18列，源：None 备：214748.3647</t>
        </is>
      </c>
    </row>
    <row r="915">
      <c r="B915" s="0" t="inlineStr">
        <is>
          <t>NULL</t>
        </is>
      </c>
      <c r="C915" s="0" t="inlineStr">
        <is>
          <t>NULL</t>
        </is>
      </c>
      <c r="D915" s="0" t="inlineStr">
        <is>
          <t>NULL</t>
        </is>
      </c>
      <c r="E915" s="0" t="inlineStr">
        <is>
          <t>NULL</t>
        </is>
      </c>
      <c r="F915" s="0" t="inlineStr">
        <is>
          <t>NULL</t>
        </is>
      </c>
      <c r="G915" s="0" t="inlineStr">
        <is>
          <t>NULL</t>
        </is>
      </c>
      <c r="H915" s="0" t="inlineStr">
        <is>
          <t>NULL</t>
        </is>
      </c>
      <c r="I915" s="0" t="inlineStr">
        <is>
          <t>NULL</t>
        </is>
      </c>
      <c r="J915" s="0" t="inlineStr">
        <is>
          <t>NULL</t>
        </is>
      </c>
      <c r="K915" s="0" t="inlineStr">
        <is>
          <t xml:space="preserve"> NO!  	 c_date列源备映射错误，源端为date None位	期望更改为text	实际备端为date None位</t>
        </is>
      </c>
      <c r="EH915" s="0" t="inlineStr">
        <is>
          <t>51行 19列，源：None 备：1</t>
        </is>
      </c>
      <c r="ES915" s="0" t="inlineStr">
        <is>
          <t>51行 19列，源：None 备：1</t>
        </is>
      </c>
    </row>
    <row r="916">
      <c r="A916" s="0" t="inlineStr">
        <is>
          <t>info_datetime_dml_single_pk_drp</t>
        </is>
      </c>
      <c r="K916" s="0" t="inlineStr">
        <is>
          <t>[0;34m info_datetime_dml_single_pk_drp [0m源备字段数相同，源端字段：2 	备端字段2</t>
        </is>
      </c>
      <c r="W916" s="2">
        <f>HYPERLINK("#2026041905hbase4!DG2","NO 源备存在差异，共30个")</f>
        <v/>
      </c>
      <c r="X916" s="0">
        <f>A916</f>
        <v/>
      </c>
      <c r="EH916" s="0" t="inlineStr">
        <is>
          <t>52行 0列，源：113 备：20</t>
        </is>
      </c>
      <c r="ES916" s="0" t="inlineStr">
        <is>
          <t>52行 0列，源：113 备：220</t>
        </is>
      </c>
    </row>
    <row r="917">
      <c r="B917" s="0" t="inlineStr">
        <is>
          <t>YES</t>
        </is>
      </c>
      <c r="C917" s="0" t="inlineStr">
        <is>
          <t>NULL</t>
        </is>
      </c>
      <c r="D917" s="0" t="inlineStr">
        <is>
          <t>NULL</t>
        </is>
      </c>
      <c r="E917" s="0" t="inlineStr">
        <is>
          <t>NULL</t>
        </is>
      </c>
      <c r="F917" s="0" t="inlineStr">
        <is>
          <t>NULL</t>
        </is>
      </c>
      <c r="G917" s="0" t="inlineStr">
        <is>
          <t>NULL</t>
        </is>
      </c>
      <c r="H917" s="0" t="inlineStr">
        <is>
          <t>NULL</t>
        </is>
      </c>
      <c r="I917" s="0" t="inlineStr">
        <is>
          <t>YES!PK__info_dat__3213E83FAB5833EE</t>
        </is>
      </c>
      <c r="J917" s="0" t="inlineStr">
        <is>
          <t>YES! 主键相关索引</t>
        </is>
      </c>
      <c r="K917" s="0" t="inlineStr">
        <is>
          <t xml:space="preserve"> NO!  	 id列源备映射错误，源端为int None位	期望更改为text	实际备端为int None位</t>
        </is>
      </c>
      <c r="EH917" s="0" t="inlineStr">
        <is>
          <t>52行 1列，源：nan 备：</t>
        </is>
      </c>
      <c r="ES917" s="0" t="inlineStr">
        <is>
          <t>52行 1列，源：nan 备：</t>
        </is>
      </c>
    </row>
    <row r="918">
      <c r="B918" s="0" t="inlineStr">
        <is>
          <t>NULL</t>
        </is>
      </c>
      <c r="C918" s="0" t="inlineStr">
        <is>
          <t>NULL</t>
        </is>
      </c>
      <c r="D918" s="0" t="inlineStr">
        <is>
          <t>NULL</t>
        </is>
      </c>
      <c r="E918" s="0" t="inlineStr">
        <is>
          <t>NULL</t>
        </is>
      </c>
      <c r="F918" s="0" t="inlineStr">
        <is>
          <t>NULL</t>
        </is>
      </c>
      <c r="G918" s="0" t="inlineStr">
        <is>
          <t>NULL</t>
        </is>
      </c>
      <c r="H918" s="0" t="inlineStr">
        <is>
          <t>NULL</t>
        </is>
      </c>
      <c r="I918" s="0" t="inlineStr">
        <is>
          <t>NULL</t>
        </is>
      </c>
      <c r="J918" s="0" t="inlineStr">
        <is>
          <t>NULL</t>
        </is>
      </c>
      <c r="K918" s="0" t="inlineStr">
        <is>
          <t xml:space="preserve"> NO!  	 c_datetime列源备映射错误，源端为datetime None位	期望更改为text	实际备端为datetime None位</t>
        </is>
      </c>
      <c r="EH918" s="0" t="inlineStr">
        <is>
          <t>52行 2列，源：nan 备：</t>
        </is>
      </c>
      <c r="ES918" s="0" t="inlineStr">
        <is>
          <t>52行 2列，源：nan 备：</t>
        </is>
      </c>
    </row>
    <row r="919">
      <c r="A919" s="0" t="inlineStr">
        <is>
          <t>info_date_dml_batch1_pk_drp2</t>
        </is>
      </c>
      <c r="K919" s="0" t="inlineStr">
        <is>
          <t>[0;34m info_date_dml_batch1_pk_drp2 [0m源备字段数相同，源端字段：2 	备端字段2</t>
        </is>
      </c>
      <c r="W919" s="0" t="inlineStr">
        <is>
          <t>YES 源备无差异</t>
        </is>
      </c>
      <c r="X919" s="0">
        <f>A919</f>
        <v/>
      </c>
      <c r="EH919" s="0" t="inlineStr">
        <is>
          <t>52行 3列，源：nan 备：</t>
        </is>
      </c>
      <c r="ES919" s="0" t="inlineStr">
        <is>
          <t>52行 3列，源：nan 备：</t>
        </is>
      </c>
    </row>
    <row r="920">
      <c r="B920" s="0" t="inlineStr">
        <is>
          <t>YES</t>
        </is>
      </c>
      <c r="C920" s="0" t="inlineStr">
        <is>
          <t>NULL</t>
        </is>
      </c>
      <c r="D920" s="0" t="inlineStr">
        <is>
          <t>NULL</t>
        </is>
      </c>
      <c r="E920" s="0" t="inlineStr">
        <is>
          <t>NULL</t>
        </is>
      </c>
      <c r="F920" s="0" t="inlineStr">
        <is>
          <t>NULL</t>
        </is>
      </c>
      <c r="G920" s="0" t="inlineStr">
        <is>
          <t>NULL</t>
        </is>
      </c>
      <c r="H920" s="0" t="inlineStr">
        <is>
          <t>NULL</t>
        </is>
      </c>
      <c r="I920" s="0" t="inlineStr">
        <is>
          <t>YES!PK__info_dat__3213E83F10E42500</t>
        </is>
      </c>
      <c r="J920" s="0" t="inlineStr">
        <is>
          <t>YES! 主键相关索引</t>
        </is>
      </c>
      <c r="K920" s="0" t="inlineStr">
        <is>
          <t xml:space="preserve"> NO!  	 id列源备映射错误，源端为int None位	期望更改为text	实际备端为int None位</t>
        </is>
      </c>
      <c r="EH920" s="0" t="inlineStr">
        <is>
          <t>52行 4列，源：nan 备：</t>
        </is>
      </c>
      <c r="ES920" s="0" t="inlineStr">
        <is>
          <t>52行 4列，源：nan 备：</t>
        </is>
      </c>
    </row>
    <row r="921">
      <c r="B921" s="0" t="inlineStr">
        <is>
          <t>NULL</t>
        </is>
      </c>
      <c r="C921" s="0" t="inlineStr">
        <is>
          <t>NULL</t>
        </is>
      </c>
      <c r="D921" s="0" t="inlineStr">
        <is>
          <t>NULL</t>
        </is>
      </c>
      <c r="E921" s="0" t="inlineStr">
        <is>
          <t>NULL</t>
        </is>
      </c>
      <c r="F921" s="0" t="inlineStr">
        <is>
          <t>NULL</t>
        </is>
      </c>
      <c r="G921" s="0" t="inlineStr">
        <is>
          <t>NULL</t>
        </is>
      </c>
      <c r="H921" s="0" t="inlineStr">
        <is>
          <t>NULL</t>
        </is>
      </c>
      <c r="I921" s="0" t="inlineStr">
        <is>
          <t>NULL</t>
        </is>
      </c>
      <c r="J921" s="0" t="inlineStr">
        <is>
          <t>NULL</t>
        </is>
      </c>
      <c r="K921" s="0" t="inlineStr">
        <is>
          <t xml:space="preserve"> NO!  	 c_date列源备映射错误，源端为date None位	期望更改为text	实际备端为date None位</t>
        </is>
      </c>
      <c r="EH921" s="0" t="inlineStr">
        <is>
          <t>52行 15列，源：nan 备：-340282346600000016151267322115014000640.0000000000000</t>
        </is>
      </c>
      <c r="ES921" s="0" t="inlineStr">
        <is>
          <t>52行 15列，源：nan 备：-340282346600000016151267322115014000640.0000000000000</t>
        </is>
      </c>
    </row>
    <row r="922">
      <c r="A922" s="0" t="inlineStr">
        <is>
          <t>info_nvarchar_dml_batch1_pk_irp1</t>
        </is>
      </c>
      <c r="K922" s="0" t="inlineStr">
        <is>
          <t>[0;34m info_nvarchar_dml_batch1_pk_irp1 [0m源备字段数相同，源端字段：4 	备端字段4</t>
        </is>
      </c>
      <c r="W922" s="2">
        <f>HYPERLINK("#2026041905hbase4!DH2","NO 源备存在差异，共108个")</f>
        <v/>
      </c>
      <c r="X922" s="0">
        <f>A922</f>
        <v/>
      </c>
      <c r="EH922" s="0" t="inlineStr">
        <is>
          <t>52行 16列，源：nan 备：-340282306073709652508363335590014353408.000000</t>
        </is>
      </c>
      <c r="ES922" s="0" t="inlineStr">
        <is>
          <t>52行 16列，源：nan 备：-340282306073709652508363335590014353408.000000</t>
        </is>
      </c>
    </row>
    <row r="923">
      <c r="B923" s="0" t="inlineStr">
        <is>
          <t>YES</t>
        </is>
      </c>
      <c r="C923" s="0" t="inlineStr">
        <is>
          <t>NULL</t>
        </is>
      </c>
      <c r="D923" s="0" t="inlineStr">
        <is>
          <t>NULL</t>
        </is>
      </c>
      <c r="E923" s="0" t="inlineStr">
        <is>
          <t>NULL</t>
        </is>
      </c>
      <c r="F923" s="0" t="inlineStr">
        <is>
          <t>NULL</t>
        </is>
      </c>
      <c r="G923" s="0" t="inlineStr">
        <is>
          <t>NULL</t>
        </is>
      </c>
      <c r="H923" s="0" t="inlineStr">
        <is>
          <t>NULL</t>
        </is>
      </c>
      <c r="I923" s="0" t="inlineStr">
        <is>
          <t>YES!PK__info_nva__3213E83F6DFE74F4</t>
        </is>
      </c>
      <c r="J923" s="0" t="inlineStr">
        <is>
          <t>YES! 主键相关索引</t>
        </is>
      </c>
      <c r="K923" s="0" t="inlineStr">
        <is>
          <t xml:space="preserve"> NO!  	 id列源备映射错误，源端为int None位	期望更改为text	实际备端为int None位</t>
        </is>
      </c>
      <c r="EH923" s="0" t="inlineStr">
        <is>
          <t>52行 17列，源：None 备：-922337203685477.5808</t>
        </is>
      </c>
      <c r="ES923" s="0" t="inlineStr">
        <is>
          <t>52行 17列，源：None 备：-922337203685477.5808</t>
        </is>
      </c>
    </row>
    <row r="924">
      <c r="B924" s="0" t="inlineStr">
        <is>
          <t>NULL</t>
        </is>
      </c>
      <c r="C924" s="0" t="inlineStr">
        <is>
          <t>NULL</t>
        </is>
      </c>
      <c r="D924" s="0" t="inlineStr">
        <is>
          <t>NULL</t>
        </is>
      </c>
      <c r="E924" s="0" t="inlineStr">
        <is>
          <t>NULL</t>
        </is>
      </c>
      <c r="F924" s="0" t="inlineStr">
        <is>
          <t>NULL</t>
        </is>
      </c>
      <c r="G924" s="0" t="inlineStr">
        <is>
          <t>NULL</t>
        </is>
      </c>
      <c r="H924" s="0" t="inlineStr">
        <is>
          <t>NULL</t>
        </is>
      </c>
      <c r="I924" s="0" t="inlineStr">
        <is>
          <t>NULL</t>
        </is>
      </c>
      <c r="J924" s="0" t="inlineStr">
        <is>
          <t>NULL</t>
        </is>
      </c>
      <c r="K924" s="0" t="inlineStr">
        <is>
          <t xml:space="preserve"> NO!  	 c_nvarchar列源备映射错误，源端为nvarchar 2位	期望更改为text	实际备端为nvarchar 2位</t>
        </is>
      </c>
      <c r="EH924" s="0" t="inlineStr">
        <is>
          <t>52行 18列，源：None 备：-214748.3648</t>
        </is>
      </c>
      <c r="ES924" s="0" t="inlineStr">
        <is>
          <t>52行 18列，源：None 备：-214748.3648</t>
        </is>
      </c>
    </row>
    <row r="925">
      <c r="B925" s="0" t="inlineStr">
        <is>
          <t>NULL</t>
        </is>
      </c>
      <c r="C925" s="0" t="inlineStr">
        <is>
          <t>NULL</t>
        </is>
      </c>
      <c r="D925" s="0" t="inlineStr">
        <is>
          <t>NULL</t>
        </is>
      </c>
      <c r="E925" s="0" t="inlineStr">
        <is>
          <t>NULL</t>
        </is>
      </c>
      <c r="F925" s="0" t="inlineStr">
        <is>
          <t>NULL</t>
        </is>
      </c>
      <c r="G925" s="0" t="inlineStr">
        <is>
          <t>NULL</t>
        </is>
      </c>
      <c r="H925" s="0" t="inlineStr">
        <is>
          <t>NULL</t>
        </is>
      </c>
      <c r="I925" s="0" t="inlineStr">
        <is>
          <t>NULL</t>
        </is>
      </c>
      <c r="J925" s="0" t="inlineStr">
        <is>
          <t>NULL</t>
        </is>
      </c>
      <c r="K925" s="0" t="inlineStr">
        <is>
          <t xml:space="preserve"> NO!  	 c_nvarchar20列源备映射错误，源端为nvarchar 40位	期望更改为text	实际备端为nvarchar 40位</t>
        </is>
      </c>
      <c r="EH925" s="0" t="inlineStr">
        <is>
          <t>52行 19列，源：None 备：0</t>
        </is>
      </c>
      <c r="ES925" s="0" t="inlineStr">
        <is>
          <t>52行 19列，源：None 备：0</t>
        </is>
      </c>
    </row>
    <row r="926">
      <c r="B926" s="0" t="inlineStr">
        <is>
          <t>NULL</t>
        </is>
      </c>
      <c r="C926" s="0" t="inlineStr">
        <is>
          <t>NULL</t>
        </is>
      </c>
      <c r="D926" s="0" t="inlineStr">
        <is>
          <t>NULL</t>
        </is>
      </c>
      <c r="E926" s="0" t="inlineStr">
        <is>
          <t>NULL</t>
        </is>
      </c>
      <c r="F926" s="0" t="inlineStr">
        <is>
          <t>NULL</t>
        </is>
      </c>
      <c r="G926" s="0" t="inlineStr">
        <is>
          <t>NULL</t>
        </is>
      </c>
      <c r="H926" s="0" t="inlineStr">
        <is>
          <t>NULL</t>
        </is>
      </c>
      <c r="I926" s="0" t="inlineStr">
        <is>
          <t>NULL</t>
        </is>
      </c>
      <c r="J926" s="0" t="inlineStr">
        <is>
          <t>NULL</t>
        </is>
      </c>
      <c r="K926" s="0" t="inlineStr">
        <is>
          <t xml:space="preserve"> NO!  	 c_nvarchar4000列源备映射错误，源端为nvarchar 8000位	期望更改为text	实际备端为nvarchar 8000位</t>
        </is>
      </c>
      <c r="EH926" s="0" t="inlineStr">
        <is>
          <t>53行 0列，源：114 备：201</t>
        </is>
      </c>
      <c r="ES926" s="0" t="inlineStr">
        <is>
          <t>53行 0列，源：114 备：3</t>
        </is>
      </c>
    </row>
    <row r="927">
      <c r="A927" s="0" t="inlineStr">
        <is>
          <t>info_timestamp_dml_single_pk_drp</t>
        </is>
      </c>
      <c r="K927" s="0" t="inlineStr">
        <is>
          <t>[0;34m info_timestamp_dml_single_pk_drp [0m源备字段数相同，源端字段：2 	备端字段2</t>
        </is>
      </c>
      <c r="W927" s="2">
        <f>HYPERLINK("#2026041905hbase4!DI2","NO 源备存在差异，共2个")</f>
        <v/>
      </c>
      <c r="X927" s="0">
        <f>A927</f>
        <v/>
      </c>
      <c r="EH927" s="0" t="inlineStr">
        <is>
          <t>53行 1列，源：nan 备：</t>
        </is>
      </c>
      <c r="ES927" s="0" t="inlineStr">
        <is>
          <t>53行 1列，源：nan 备：</t>
        </is>
      </c>
    </row>
    <row r="928">
      <c r="B928" s="0" t="inlineStr">
        <is>
          <t>YES</t>
        </is>
      </c>
      <c r="C928" s="0" t="inlineStr">
        <is>
          <t>NULL</t>
        </is>
      </c>
      <c r="D928" s="0" t="inlineStr">
        <is>
          <t>NULL</t>
        </is>
      </c>
      <c r="E928" s="0" t="inlineStr">
        <is>
          <t>NULL</t>
        </is>
      </c>
      <c r="F928" s="0" t="inlineStr">
        <is>
          <t>NULL</t>
        </is>
      </c>
      <c r="G928" s="0" t="inlineStr">
        <is>
          <t>NULL</t>
        </is>
      </c>
      <c r="H928" s="0" t="inlineStr">
        <is>
          <t>NULL</t>
        </is>
      </c>
      <c r="I928" s="0" t="inlineStr">
        <is>
          <t>YES!PK__info_tim__3213E83FEA4DC13B</t>
        </is>
      </c>
      <c r="J928" s="0" t="inlineStr">
        <is>
          <t>YES! 主键相关索引</t>
        </is>
      </c>
      <c r="K928" s="0" t="inlineStr">
        <is>
          <t xml:space="preserve"> NO!  	 id列源备映射错误，源端为int None位	期望更改为text	实际备端为int None位</t>
        </is>
      </c>
      <c r="EH928" s="0" t="inlineStr">
        <is>
          <t>53行 2列，源：nan 备：</t>
        </is>
      </c>
      <c r="ES928" s="0" t="inlineStr">
        <is>
          <t>53行 2列，源：nan 备：</t>
        </is>
      </c>
    </row>
    <row r="929">
      <c r="B929" s="0" t="inlineStr">
        <is>
          <t>NULL</t>
        </is>
      </c>
      <c r="C929" s="0" t="inlineStr">
        <is>
          <t>NULL</t>
        </is>
      </c>
      <c r="D929" s="0" t="inlineStr">
        <is>
          <t>NULL</t>
        </is>
      </c>
      <c r="E929" s="0" t="inlineStr">
        <is>
          <t>NULL</t>
        </is>
      </c>
      <c r="F929" s="0" t="inlineStr">
        <is>
          <t>NULL</t>
        </is>
      </c>
      <c r="G929" s="0" t="inlineStr">
        <is>
          <t>NULL</t>
        </is>
      </c>
      <c r="H929" s="0" t="inlineStr">
        <is>
          <t>NULL</t>
        </is>
      </c>
      <c r="I929" s="0" t="inlineStr">
        <is>
          <t>NULL</t>
        </is>
      </c>
      <c r="J929" s="0" t="inlineStr">
        <is>
          <t>NULL</t>
        </is>
      </c>
      <c r="K929" s="0" t="inlineStr">
        <is>
          <t xml:space="preserve"> NO!  	 c_tiemstamp列源备映射错误，源端为timestamp None位	期望更改为text	实际备端为timestamp None位</t>
        </is>
      </c>
      <c r="EH929" s="0" t="inlineStr">
        <is>
          <t>53行 3列，源：nan 备：</t>
        </is>
      </c>
      <c r="ES929" s="0" t="inlineStr">
        <is>
          <t>53行 3列，源：nan 备：</t>
        </is>
      </c>
    </row>
    <row r="930">
      <c r="A930" s="0" t="inlineStr">
        <is>
          <t>info_time_dml_batch1_pk_irp1</t>
        </is>
      </c>
      <c r="K930" s="0" t="inlineStr">
        <is>
          <t>[0;34m info_time_dml_batch1_pk_irp1 [0m源备字段数相同，源端字段：9 	备端字段9</t>
        </is>
      </c>
      <c r="W930" s="2">
        <f>HYPERLINK("#2026041905hbase4!DJ2","NO 源备存在差异，共135个")</f>
        <v/>
      </c>
      <c r="X930" s="0">
        <f>A930</f>
        <v/>
      </c>
      <c r="EH930" s="0" t="inlineStr">
        <is>
          <t>53行 4列，源：nan 备：</t>
        </is>
      </c>
      <c r="ES930" s="0" t="inlineStr">
        <is>
          <t>53行 4列，源：nan 备：</t>
        </is>
      </c>
    </row>
    <row r="931">
      <c r="B931" s="0" t="inlineStr">
        <is>
          <t>YES</t>
        </is>
      </c>
      <c r="C931" s="0" t="inlineStr">
        <is>
          <t>NULL</t>
        </is>
      </c>
      <c r="D931" s="0" t="inlineStr">
        <is>
          <t>NULL</t>
        </is>
      </c>
      <c r="E931" s="0" t="inlineStr">
        <is>
          <t>NULL</t>
        </is>
      </c>
      <c r="F931" s="0" t="inlineStr">
        <is>
          <t>NULL</t>
        </is>
      </c>
      <c r="G931" s="0" t="inlineStr">
        <is>
          <t>NULL</t>
        </is>
      </c>
      <c r="H931" s="0" t="inlineStr">
        <is>
          <t>NULL</t>
        </is>
      </c>
      <c r="I931" s="0" t="inlineStr">
        <is>
          <t>YES!PK__info_tim__3213E83F74D9B523</t>
        </is>
      </c>
      <c r="J931" s="0" t="inlineStr">
        <is>
          <t>YES! 主键相关索引</t>
        </is>
      </c>
      <c r="K931" s="0" t="inlineStr">
        <is>
          <t xml:space="preserve"> NO!  	 id列源备映射错误，源端为int None位	期望更改为text	实际备端为int None位</t>
        </is>
      </c>
      <c r="EH931" s="0" t="inlineStr">
        <is>
          <t>53行 15列，源：nan 备：-1.7900000000000e+308</t>
        </is>
      </c>
      <c r="ES931" s="0" t="inlineStr">
        <is>
          <t>53行 15列，源：nan 备：</t>
        </is>
      </c>
    </row>
    <row r="932">
      <c r="B932" s="0" t="inlineStr">
        <is>
          <t>NULL</t>
        </is>
      </c>
      <c r="C932" s="0" t="inlineStr">
        <is>
          <t>NULL</t>
        </is>
      </c>
      <c r="D932" s="0" t="inlineStr">
        <is>
          <t>NULL</t>
        </is>
      </c>
      <c r="E932" s="0" t="inlineStr">
        <is>
          <t>NULL</t>
        </is>
      </c>
      <c r="F932" s="0" t="inlineStr">
        <is>
          <t>NULL</t>
        </is>
      </c>
      <c r="G932" s="0" t="inlineStr">
        <is>
          <t>NULL</t>
        </is>
      </c>
      <c r="H932" s="0" t="inlineStr">
        <is>
          <t>NULL</t>
        </is>
      </c>
      <c r="I932" s="0" t="inlineStr">
        <is>
          <t>NULL</t>
        </is>
      </c>
      <c r="J932" s="0" t="inlineStr">
        <is>
          <t>NULL</t>
        </is>
      </c>
      <c r="K932" s="0" t="inlineStr">
        <is>
          <t xml:space="preserve"> NO!  	 c_time0列源备映射错误，源端为time None位	期望更改为text	实际备端为time None位</t>
        </is>
      </c>
      <c r="EH932" s="0" t="inlineStr">
        <is>
          <t>53行 16列，源：nan 备：-339999995214436424907732413799364296704.000000</t>
        </is>
      </c>
      <c r="ES932" s="0" t="inlineStr">
        <is>
          <t>53行 16列，源：nan 备：</t>
        </is>
      </c>
    </row>
    <row r="933">
      <c r="B933" s="0" t="inlineStr">
        <is>
          <t>NULL</t>
        </is>
      </c>
      <c r="C933" s="0" t="inlineStr">
        <is>
          <t>NULL</t>
        </is>
      </c>
      <c r="D933" s="0" t="inlineStr">
        <is>
          <t>NULL</t>
        </is>
      </c>
      <c r="E933" s="0" t="inlineStr">
        <is>
          <t>NULL</t>
        </is>
      </c>
      <c r="F933" s="0" t="inlineStr">
        <is>
          <t>NULL</t>
        </is>
      </c>
      <c r="G933" s="0" t="inlineStr">
        <is>
          <t>NULL</t>
        </is>
      </c>
      <c r="H933" s="0" t="inlineStr">
        <is>
          <t>NULL</t>
        </is>
      </c>
      <c r="I933" s="0" t="inlineStr">
        <is>
          <t>NULL</t>
        </is>
      </c>
      <c r="J933" s="0" t="inlineStr">
        <is>
          <t>NULL</t>
        </is>
      </c>
      <c r="K933" s="0" t="inlineStr">
        <is>
          <t xml:space="preserve"> NO!  	 c_time1列源备映射错误，源端为time None位	期望更改为text	实际备端为time None位</t>
        </is>
      </c>
      <c r="EH933" s="0" t="inlineStr">
        <is>
          <t>53行 17列，源：None 备：-922337203685477.5808</t>
        </is>
      </c>
      <c r="ES933" s="0" t="inlineStr">
        <is>
          <t>53行 17列，源：None 备：</t>
        </is>
      </c>
    </row>
    <row r="934">
      <c r="B934" s="0" t="inlineStr">
        <is>
          <t>NULL</t>
        </is>
      </c>
      <c r="C934" s="0" t="inlineStr">
        <is>
          <t>NULL</t>
        </is>
      </c>
      <c r="D934" s="0" t="inlineStr">
        <is>
          <t>NULL</t>
        </is>
      </c>
      <c r="E934" s="0" t="inlineStr">
        <is>
          <t>NULL</t>
        </is>
      </c>
      <c r="F934" s="0" t="inlineStr">
        <is>
          <t>NULL</t>
        </is>
      </c>
      <c r="G934" s="0" t="inlineStr">
        <is>
          <t>NULL</t>
        </is>
      </c>
      <c r="H934" s="0" t="inlineStr">
        <is>
          <t>NULL</t>
        </is>
      </c>
      <c r="I934" s="0" t="inlineStr">
        <is>
          <t>NULL</t>
        </is>
      </c>
      <c r="J934" s="0" t="inlineStr">
        <is>
          <t>NULL</t>
        </is>
      </c>
      <c r="K934" s="0" t="inlineStr">
        <is>
          <t xml:space="preserve"> NO!  	 c_time2列源备映射错误，源端为time None位	期望更改为text	实际备端为time None位</t>
        </is>
      </c>
      <c r="EH934" s="0" t="inlineStr">
        <is>
          <t>53行 18列，源：None 备：-214748.3648</t>
        </is>
      </c>
      <c r="ES934" s="0" t="inlineStr">
        <is>
          <t>53行 18列，源：None 备：</t>
        </is>
      </c>
    </row>
    <row r="935">
      <c r="B935" s="0" t="inlineStr">
        <is>
          <t>NULL</t>
        </is>
      </c>
      <c r="C935" s="0" t="inlineStr">
        <is>
          <t>NULL</t>
        </is>
      </c>
      <c r="D935" s="0" t="inlineStr">
        <is>
          <t>NULL</t>
        </is>
      </c>
      <c r="E935" s="0" t="inlineStr">
        <is>
          <t>NULL</t>
        </is>
      </c>
      <c r="F935" s="0" t="inlineStr">
        <is>
          <t>NULL</t>
        </is>
      </c>
      <c r="G935" s="0" t="inlineStr">
        <is>
          <t>NULL</t>
        </is>
      </c>
      <c r="H935" s="0" t="inlineStr">
        <is>
          <t>NULL</t>
        </is>
      </c>
      <c r="I935" s="0" t="inlineStr">
        <is>
          <t>NULL</t>
        </is>
      </c>
      <c r="J935" s="0" t="inlineStr">
        <is>
          <t>NULL</t>
        </is>
      </c>
      <c r="K935" s="0" t="inlineStr">
        <is>
          <t xml:space="preserve"> NO!  	 c_time3列源备映射错误，源端为time None位	期望更改为text	实际备端为time None位</t>
        </is>
      </c>
      <c r="EH935" s="0" t="inlineStr">
        <is>
          <t>53行 19列，源：None 备：0</t>
        </is>
      </c>
      <c r="ES935" s="0" t="inlineStr">
        <is>
          <t>53行 19列，源：None 备：</t>
        </is>
      </c>
    </row>
    <row r="936">
      <c r="B936" s="0" t="inlineStr">
        <is>
          <t>NULL</t>
        </is>
      </c>
      <c r="C936" s="0" t="inlineStr">
        <is>
          <t>NULL</t>
        </is>
      </c>
      <c r="D936" s="0" t="inlineStr">
        <is>
          <t>NULL</t>
        </is>
      </c>
      <c r="E936" s="0" t="inlineStr">
        <is>
          <t>NULL</t>
        </is>
      </c>
      <c r="F936" s="0" t="inlineStr">
        <is>
          <t>NULL</t>
        </is>
      </c>
      <c r="G936" s="0" t="inlineStr">
        <is>
          <t>NULL</t>
        </is>
      </c>
      <c r="H936" s="0" t="inlineStr">
        <is>
          <t>NULL</t>
        </is>
      </c>
      <c r="I936" s="0" t="inlineStr">
        <is>
          <t>NULL</t>
        </is>
      </c>
      <c r="J936" s="0" t="inlineStr">
        <is>
          <t>NULL</t>
        </is>
      </c>
      <c r="K936" s="0" t="inlineStr">
        <is>
          <t xml:space="preserve"> NO!  	 c_time4列源备映射错误，源端为time None位	期望更改为text	实际备端为time None位</t>
        </is>
      </c>
      <c r="EH936" s="0" t="inlineStr">
        <is>
          <t>54行 0列，源：115 备：202</t>
        </is>
      </c>
      <c r="ES936" s="0" t="inlineStr">
        <is>
          <t>54行 0列，源：115 备：4</t>
        </is>
      </c>
    </row>
    <row r="937">
      <c r="B937" s="0" t="inlineStr">
        <is>
          <t>NULL</t>
        </is>
      </c>
      <c r="C937" s="0" t="inlineStr">
        <is>
          <t>NULL</t>
        </is>
      </c>
      <c r="D937" s="0" t="inlineStr">
        <is>
          <t>NULL</t>
        </is>
      </c>
      <c r="E937" s="0" t="inlineStr">
        <is>
          <t>NULL</t>
        </is>
      </c>
      <c r="F937" s="0" t="inlineStr">
        <is>
          <t>NULL</t>
        </is>
      </c>
      <c r="G937" s="0" t="inlineStr">
        <is>
          <t>NULL</t>
        </is>
      </c>
      <c r="H937" s="0" t="inlineStr">
        <is>
          <t>NULL</t>
        </is>
      </c>
      <c r="I937" s="0" t="inlineStr">
        <is>
          <t>NULL</t>
        </is>
      </c>
      <c r="J937" s="0" t="inlineStr">
        <is>
          <t>NULL</t>
        </is>
      </c>
      <c r="K937" s="0" t="inlineStr">
        <is>
          <t xml:space="preserve"> NO!  	 c_time5列源备映射错误，源端为time None位	期望更改为text	实际备端为time None位</t>
        </is>
      </c>
      <c r="EH937" s="0" t="inlineStr">
        <is>
          <t>54行 1列，源：nan 备：</t>
        </is>
      </c>
      <c r="ES937" s="0" t="inlineStr">
        <is>
          <t>54行 1列，源：nan 备：123</t>
        </is>
      </c>
    </row>
    <row r="938">
      <c r="B938" s="0" t="inlineStr">
        <is>
          <t>NULL</t>
        </is>
      </c>
      <c r="C938" s="0" t="inlineStr">
        <is>
          <t>NULL</t>
        </is>
      </c>
      <c r="D938" s="0" t="inlineStr">
        <is>
          <t>NULL</t>
        </is>
      </c>
      <c r="E938" s="0" t="inlineStr">
        <is>
          <t>NULL</t>
        </is>
      </c>
      <c r="F938" s="0" t="inlineStr">
        <is>
          <t>NULL</t>
        </is>
      </c>
      <c r="G938" s="0" t="inlineStr">
        <is>
          <t>NULL</t>
        </is>
      </c>
      <c r="H938" s="0" t="inlineStr">
        <is>
          <t>NULL</t>
        </is>
      </c>
      <c r="I938" s="0" t="inlineStr">
        <is>
          <t>NULL</t>
        </is>
      </c>
      <c r="J938" s="0" t="inlineStr">
        <is>
          <t>NULL</t>
        </is>
      </c>
      <c r="K938" s="0" t="inlineStr">
        <is>
          <t xml:space="preserve"> NO!  	 c_time6列源备映射错误，源端为time None位	期望更改为text	实际备端为time None位</t>
        </is>
      </c>
      <c r="EH938" s="0" t="inlineStr">
        <is>
          <t>54行 2列，源：nan 备：</t>
        </is>
      </c>
      <c r="ES938" s="0" t="inlineStr">
        <is>
          <t>54行 2列，源：nan 备：12345</t>
        </is>
      </c>
    </row>
    <row r="939">
      <c r="B939" s="0" t="inlineStr">
        <is>
          <t>NULL</t>
        </is>
      </c>
      <c r="C939" s="0" t="inlineStr">
        <is>
          <t>NULL</t>
        </is>
      </c>
      <c r="D939" s="0" t="inlineStr">
        <is>
          <t>NULL</t>
        </is>
      </c>
      <c r="E939" s="0" t="inlineStr">
        <is>
          <t>NULL</t>
        </is>
      </c>
      <c r="F939" s="0" t="inlineStr">
        <is>
          <t>NULL</t>
        </is>
      </c>
      <c r="G939" s="0" t="inlineStr">
        <is>
          <t>NULL</t>
        </is>
      </c>
      <c r="H939" s="0" t="inlineStr">
        <is>
          <t>NULL</t>
        </is>
      </c>
      <c r="I939" s="0" t="inlineStr">
        <is>
          <t>NULL</t>
        </is>
      </c>
      <c r="J939" s="0" t="inlineStr">
        <is>
          <t>NULL</t>
        </is>
      </c>
      <c r="K939" s="0" t="inlineStr">
        <is>
          <t xml:space="preserve"> NO!  	 c_time列源备映射错误，源端为time None位	期望更改为text	实际备端为time None位</t>
        </is>
      </c>
      <c r="EH939" s="0" t="inlineStr">
        <is>
          <t>54行 3列，源：nan 备：</t>
        </is>
      </c>
      <c r="ES939" s="0" t="inlineStr">
        <is>
          <t>54行 3列，源：nan 备：1234567890</t>
        </is>
      </c>
    </row>
    <row r="940">
      <c r="A940" s="0" t="inlineStr">
        <is>
          <t>info_binary_dml_batch1_pk</t>
        </is>
      </c>
      <c r="K940" s="0" t="inlineStr">
        <is>
          <t>[0;34m info_binary_dml_batch1_pk [0m源备字段数相同，源端字段：4 	备端字段4</t>
        </is>
      </c>
      <c r="W940" s="2">
        <f>HYPERLINK("#2026041905hbase4!DK2","NO 源备存在差异，共9个")</f>
        <v/>
      </c>
      <c r="X940" s="0">
        <f>A940</f>
        <v/>
      </c>
      <c r="EH940" s="0" t="inlineStr">
        <is>
          <t>54行 4列，源：nan 备：</t>
        </is>
      </c>
      <c r="ES940" s="0" t="inlineStr">
        <is>
          <t>54行 4列，源：nan 备：1234567890123456</t>
        </is>
      </c>
    </row>
    <row r="941">
      <c r="B941" s="0" t="inlineStr">
        <is>
          <t>YES</t>
        </is>
      </c>
      <c r="C941" s="0" t="inlineStr">
        <is>
          <t>NULL</t>
        </is>
      </c>
      <c r="D941" s="0" t="inlineStr">
        <is>
          <t>NULL</t>
        </is>
      </c>
      <c r="E941" s="0" t="inlineStr">
        <is>
          <t>NULL</t>
        </is>
      </c>
      <c r="F941" s="0" t="inlineStr">
        <is>
          <t>NULL</t>
        </is>
      </c>
      <c r="G941" s="0" t="inlineStr">
        <is>
          <t>NULL</t>
        </is>
      </c>
      <c r="H941" s="0" t="inlineStr">
        <is>
          <t>NULL</t>
        </is>
      </c>
      <c r="I941" s="0" t="inlineStr">
        <is>
          <t>YES!PK__info_bin__3213E83F6B76E9E8</t>
        </is>
      </c>
      <c r="J941" s="0" t="inlineStr">
        <is>
          <t>YES! 主键相关索引</t>
        </is>
      </c>
      <c r="K941" s="0" t="inlineStr">
        <is>
          <t xml:space="preserve"> NO!  	 id列源备映射错误，源端为int None位	期望更改为text	实际备端为int None位</t>
        </is>
      </c>
      <c r="EH941" s="0" t="inlineStr">
        <is>
          <t>54行 15列，源：nan 备：1.7900000000000e+308</t>
        </is>
      </c>
      <c r="ES941" s="0" t="inlineStr">
        <is>
          <t>54行 15列，源：nan 备：0.0000000000000</t>
        </is>
      </c>
    </row>
    <row r="942">
      <c r="B942" s="0" t="inlineStr">
        <is>
          <t>NULL</t>
        </is>
      </c>
      <c r="C942" s="0" t="inlineStr">
        <is>
          <t>NULL</t>
        </is>
      </c>
      <c r="D942" s="0" t="inlineStr">
        <is>
          <t>NULL</t>
        </is>
      </c>
      <c r="E942" s="0" t="inlineStr">
        <is>
          <t>NULL</t>
        </is>
      </c>
      <c r="F942" s="0" t="inlineStr">
        <is>
          <t>NULL</t>
        </is>
      </c>
      <c r="G942" s="0" t="inlineStr">
        <is>
          <t>NULL</t>
        </is>
      </c>
      <c r="H942" s="0" t="inlineStr">
        <is>
          <t>NULL</t>
        </is>
      </c>
      <c r="I942" s="0" t="inlineStr">
        <is>
          <t>NULL</t>
        </is>
      </c>
      <c r="J942" s="0" t="inlineStr">
        <is>
          <t>NULL</t>
        </is>
      </c>
      <c r="K942" s="0" t="inlineStr">
        <is>
          <t xml:space="preserve"> NO!  	 c_binary列源备映射错误，源端为binary 1位	期望更改为text	实际备端为binary 1位</t>
        </is>
      </c>
      <c r="EH942" s="0" t="inlineStr">
        <is>
          <t>54行 16列，源：nan 备：339999995214436424907732413799364296704.000000</t>
        </is>
      </c>
      <c r="ES942" s="0" t="inlineStr">
        <is>
          <t>54行 16列，源：nan 备：299792448.000000</t>
        </is>
      </c>
    </row>
    <row r="943">
      <c r="B943" s="0" t="inlineStr">
        <is>
          <t>NULL</t>
        </is>
      </c>
      <c r="C943" s="0" t="inlineStr">
        <is>
          <t>NULL</t>
        </is>
      </c>
      <c r="D943" s="0" t="inlineStr">
        <is>
          <t>NULL</t>
        </is>
      </c>
      <c r="E943" s="0" t="inlineStr">
        <is>
          <t>NULL</t>
        </is>
      </c>
      <c r="F943" s="0" t="inlineStr">
        <is>
          <t>NULL</t>
        </is>
      </c>
      <c r="G943" s="0" t="inlineStr">
        <is>
          <t>NULL</t>
        </is>
      </c>
      <c r="H943" s="0" t="inlineStr">
        <is>
          <t>NULL</t>
        </is>
      </c>
      <c r="I943" s="0" t="inlineStr">
        <is>
          <t>NULL</t>
        </is>
      </c>
      <c r="J943" s="0" t="inlineStr">
        <is>
          <t>NULL</t>
        </is>
      </c>
      <c r="K943" s="0" t="inlineStr">
        <is>
          <t xml:space="preserve"> NO!  	 c_binary_20列源备映射错误，源端为binary 20位	期望更改为text	实际备端为binary 20位</t>
        </is>
      </c>
      <c r="EH943" s="0" t="inlineStr">
        <is>
          <t>54行 17列，源：None 备：922337203685477.5807</t>
        </is>
      </c>
      <c r="ES943" s="0" t="inlineStr">
        <is>
          <t>54行 17列，源：None 备：-500000.0000</t>
        </is>
      </c>
    </row>
    <row r="944">
      <c r="B944" s="0" t="inlineStr">
        <is>
          <t>NULL</t>
        </is>
      </c>
      <c r="C944" s="0" t="inlineStr">
        <is>
          <t>NULL</t>
        </is>
      </c>
      <c r="D944" s="0" t="inlineStr">
        <is>
          <t>NULL</t>
        </is>
      </c>
      <c r="E944" s="0" t="inlineStr">
        <is>
          <t>NULL</t>
        </is>
      </c>
      <c r="F944" s="0" t="inlineStr">
        <is>
          <t>NULL</t>
        </is>
      </c>
      <c r="G944" s="0" t="inlineStr">
        <is>
          <t>NULL</t>
        </is>
      </c>
      <c r="H944" s="0" t="inlineStr">
        <is>
          <t>NULL</t>
        </is>
      </c>
      <c r="I944" s="0" t="inlineStr">
        <is>
          <t>NULL</t>
        </is>
      </c>
      <c r="J944" s="0" t="inlineStr">
        <is>
          <t>NULL</t>
        </is>
      </c>
      <c r="K944" s="0" t="inlineStr">
        <is>
          <t xml:space="preserve"> NO!  	 c_binary_200列源备映射错误，源端为binary 200位	期望更改为text	实际备端为binary 200位</t>
        </is>
      </c>
      <c r="EH944" s="0" t="inlineStr">
        <is>
          <t>54行 18列，源：None 备：214748.3647</t>
        </is>
      </c>
      <c r="ES944" s="0" t="inlineStr">
        <is>
          <t>54行 18列，源：None 备：1234.5678</t>
        </is>
      </c>
    </row>
    <row r="945">
      <c r="A945" s="0" t="inlineStr">
        <is>
          <t>info_time_dml_batch1_pk_irp2</t>
        </is>
      </c>
      <c r="K945" s="0" t="inlineStr">
        <is>
          <t>[0;34m info_time_dml_batch1_pk_irp2 [0m源备字段数相同，源端字段：9 	备端字段9</t>
        </is>
      </c>
      <c r="W945" s="2">
        <f>HYPERLINK("#2026041905hbase4!DL2","NO 源备存在差异，共300个")</f>
        <v/>
      </c>
      <c r="X945" s="0">
        <f>A945</f>
        <v/>
      </c>
      <c r="EH945" s="0" t="inlineStr">
        <is>
          <t>54行 19列，源：None 备：1</t>
        </is>
      </c>
      <c r="ES945" s="0" t="inlineStr">
        <is>
          <t>54行 19列，源：None 备：1</t>
        </is>
      </c>
    </row>
    <row r="946">
      <c r="B946" s="0" t="inlineStr">
        <is>
          <t>YES</t>
        </is>
      </c>
      <c r="C946" s="0" t="inlineStr">
        <is>
          <t>NULL</t>
        </is>
      </c>
      <c r="D946" s="0" t="inlineStr">
        <is>
          <t>NULL</t>
        </is>
      </c>
      <c r="E946" s="0" t="inlineStr">
        <is>
          <t>NULL</t>
        </is>
      </c>
      <c r="F946" s="0" t="inlineStr">
        <is>
          <t>NULL</t>
        </is>
      </c>
      <c r="G946" s="0" t="inlineStr">
        <is>
          <t>NULL</t>
        </is>
      </c>
      <c r="H946" s="0" t="inlineStr">
        <is>
          <t>NULL</t>
        </is>
      </c>
      <c r="I946" s="0" t="inlineStr">
        <is>
          <t>YES!PK__info_tim__3213E83F775F4E06</t>
        </is>
      </c>
      <c r="J946" s="0" t="inlineStr">
        <is>
          <t>YES! 主键相关索引</t>
        </is>
      </c>
      <c r="K946" s="0" t="inlineStr">
        <is>
          <t xml:space="preserve"> NO!  	 id列源备映射错误，源端为int None位	期望更改为text	实际备端为int None位</t>
        </is>
      </c>
      <c r="EH946" s="0" t="inlineStr">
        <is>
          <t>55行 0列，源：116 备：203</t>
        </is>
      </c>
      <c r="ES946" s="0" t="inlineStr">
        <is>
          <t>55行 0列，源：116 备：404</t>
        </is>
      </c>
    </row>
    <row r="947">
      <c r="B947" s="0" t="inlineStr">
        <is>
          <t>NULL</t>
        </is>
      </c>
      <c r="C947" s="0" t="inlineStr">
        <is>
          <t>NULL</t>
        </is>
      </c>
      <c r="D947" s="0" t="inlineStr">
        <is>
          <t>NULL</t>
        </is>
      </c>
      <c r="E947" s="0" t="inlineStr">
        <is>
          <t>NULL</t>
        </is>
      </c>
      <c r="F947" s="0" t="inlineStr">
        <is>
          <t>NULL</t>
        </is>
      </c>
      <c r="G947" s="0" t="inlineStr">
        <is>
          <t>NULL</t>
        </is>
      </c>
      <c r="H947" s="0" t="inlineStr">
        <is>
          <t>NULL</t>
        </is>
      </c>
      <c r="I947" s="0" t="inlineStr">
        <is>
          <t>NULL</t>
        </is>
      </c>
      <c r="J947" s="0" t="inlineStr">
        <is>
          <t>NULL</t>
        </is>
      </c>
      <c r="K947" s="0" t="inlineStr">
        <is>
          <t xml:space="preserve"> NO!  	 c_time0列源备映射错误，源端为time None位	期望更改为text	实际备端为time None位</t>
        </is>
      </c>
      <c r="EH947" s="0" t="inlineStr">
        <is>
          <t>55行 1列，源：nan 备：</t>
        </is>
      </c>
      <c r="ES947" s="0" t="inlineStr">
        <is>
          <t>55行 1列，源：nan 备：123</t>
        </is>
      </c>
    </row>
    <row r="948">
      <c r="B948" s="0" t="inlineStr">
        <is>
          <t>NULL</t>
        </is>
      </c>
      <c r="C948" s="0" t="inlineStr">
        <is>
          <t>NULL</t>
        </is>
      </c>
      <c r="D948" s="0" t="inlineStr">
        <is>
          <t>NULL</t>
        </is>
      </c>
      <c r="E948" s="0" t="inlineStr">
        <is>
          <t>NULL</t>
        </is>
      </c>
      <c r="F948" s="0" t="inlineStr">
        <is>
          <t>NULL</t>
        </is>
      </c>
      <c r="G948" s="0" t="inlineStr">
        <is>
          <t>NULL</t>
        </is>
      </c>
      <c r="H948" s="0" t="inlineStr">
        <is>
          <t>NULL</t>
        </is>
      </c>
      <c r="I948" s="0" t="inlineStr">
        <is>
          <t>NULL</t>
        </is>
      </c>
      <c r="J948" s="0" t="inlineStr">
        <is>
          <t>NULL</t>
        </is>
      </c>
      <c r="K948" s="0" t="inlineStr">
        <is>
          <t xml:space="preserve"> NO!  	 c_time1列源备映射错误，源端为time None位	期望更改为text	实际备端为time None位</t>
        </is>
      </c>
      <c r="EH948" s="0" t="inlineStr">
        <is>
          <t>55行 2列，源：nan 备：</t>
        </is>
      </c>
      <c r="ES948" s="0" t="inlineStr">
        <is>
          <t>55行 2列，源：nan 备：12345</t>
        </is>
      </c>
    </row>
    <row r="949">
      <c r="B949" s="0" t="inlineStr">
        <is>
          <t>NULL</t>
        </is>
      </c>
      <c r="C949" s="0" t="inlineStr">
        <is>
          <t>NULL</t>
        </is>
      </c>
      <c r="D949" s="0" t="inlineStr">
        <is>
          <t>NULL</t>
        </is>
      </c>
      <c r="E949" s="0" t="inlineStr">
        <is>
          <t>NULL</t>
        </is>
      </c>
      <c r="F949" s="0" t="inlineStr">
        <is>
          <t>NULL</t>
        </is>
      </c>
      <c r="G949" s="0" t="inlineStr">
        <is>
          <t>NULL</t>
        </is>
      </c>
      <c r="H949" s="0" t="inlineStr">
        <is>
          <t>NULL</t>
        </is>
      </c>
      <c r="I949" s="0" t="inlineStr">
        <is>
          <t>NULL</t>
        </is>
      </c>
      <c r="J949" s="0" t="inlineStr">
        <is>
          <t>NULL</t>
        </is>
      </c>
      <c r="K949" s="0" t="inlineStr">
        <is>
          <t xml:space="preserve"> NO!  	 c_time2列源备映射错误，源端为time None位	期望更改为text	实际备端为time None位</t>
        </is>
      </c>
      <c r="EH949" s="0" t="inlineStr">
        <is>
          <t>55行 3列，源：nan 备：</t>
        </is>
      </c>
      <c r="ES949" s="0" t="inlineStr">
        <is>
          <t>55行 3列，源：nan 备：1234567890</t>
        </is>
      </c>
    </row>
    <row r="950">
      <c r="B950" s="0" t="inlineStr">
        <is>
          <t>NULL</t>
        </is>
      </c>
      <c r="C950" s="0" t="inlineStr">
        <is>
          <t>NULL</t>
        </is>
      </c>
      <c r="D950" s="0" t="inlineStr">
        <is>
          <t>NULL</t>
        </is>
      </c>
      <c r="E950" s="0" t="inlineStr">
        <is>
          <t>NULL</t>
        </is>
      </c>
      <c r="F950" s="0" t="inlineStr">
        <is>
          <t>NULL</t>
        </is>
      </c>
      <c r="G950" s="0" t="inlineStr">
        <is>
          <t>NULL</t>
        </is>
      </c>
      <c r="H950" s="0" t="inlineStr">
        <is>
          <t>NULL</t>
        </is>
      </c>
      <c r="I950" s="0" t="inlineStr">
        <is>
          <t>NULL</t>
        </is>
      </c>
      <c r="J950" s="0" t="inlineStr">
        <is>
          <t>NULL</t>
        </is>
      </c>
      <c r="K950" s="0" t="inlineStr">
        <is>
          <t xml:space="preserve"> NO!  	 c_time3列源备映射错误，源端为time None位	期望更改为text	实际备端为time None位</t>
        </is>
      </c>
      <c r="EH950" s="0" t="inlineStr">
        <is>
          <t>55行 4列，源：nan 备：</t>
        </is>
      </c>
      <c r="ES950" s="0" t="inlineStr">
        <is>
          <t>55行 4列，源：nan 备：1234567890123456</t>
        </is>
      </c>
    </row>
    <row r="951">
      <c r="B951" s="0" t="inlineStr">
        <is>
          <t>NULL</t>
        </is>
      </c>
      <c r="C951" s="0" t="inlineStr">
        <is>
          <t>NULL</t>
        </is>
      </c>
      <c r="D951" s="0" t="inlineStr">
        <is>
          <t>NULL</t>
        </is>
      </c>
      <c r="E951" s="0" t="inlineStr">
        <is>
          <t>NULL</t>
        </is>
      </c>
      <c r="F951" s="0" t="inlineStr">
        <is>
          <t>NULL</t>
        </is>
      </c>
      <c r="G951" s="0" t="inlineStr">
        <is>
          <t>NULL</t>
        </is>
      </c>
      <c r="H951" s="0" t="inlineStr">
        <is>
          <t>NULL</t>
        </is>
      </c>
      <c r="I951" s="0" t="inlineStr">
        <is>
          <t>NULL</t>
        </is>
      </c>
      <c r="J951" s="0" t="inlineStr">
        <is>
          <t>NULL</t>
        </is>
      </c>
      <c r="K951" s="0" t="inlineStr">
        <is>
          <t xml:space="preserve"> NO!  	 c_time4列源备映射错误，源端为time None位	期望更改为text	实际备端为time None位</t>
        </is>
      </c>
      <c r="EH951" s="0" t="inlineStr">
        <is>
          <t>55行 5列，源：None 备：</t>
        </is>
      </c>
      <c r="ES951" s="0" t="inlineStr">
        <is>
          <t>55行 5列，源：None 备：</t>
        </is>
      </c>
    </row>
    <row r="952">
      <c r="B952" s="0" t="inlineStr">
        <is>
          <t>NULL</t>
        </is>
      </c>
      <c r="C952" s="0" t="inlineStr">
        <is>
          <t>NULL</t>
        </is>
      </c>
      <c r="D952" s="0" t="inlineStr">
        <is>
          <t>NULL</t>
        </is>
      </c>
      <c r="E952" s="0" t="inlineStr">
        <is>
          <t>NULL</t>
        </is>
      </c>
      <c r="F952" s="0" t="inlineStr">
        <is>
          <t>NULL</t>
        </is>
      </c>
      <c r="G952" s="0" t="inlineStr">
        <is>
          <t>NULL</t>
        </is>
      </c>
      <c r="H952" s="0" t="inlineStr">
        <is>
          <t>NULL</t>
        </is>
      </c>
      <c r="I952" s="0" t="inlineStr">
        <is>
          <t>NULL</t>
        </is>
      </c>
      <c r="J952" s="0" t="inlineStr">
        <is>
          <t>NULL</t>
        </is>
      </c>
      <c r="K952" s="0" t="inlineStr">
        <is>
          <t xml:space="preserve"> NO!  	 c_time5列源备映射错误，源端为time None位	期望更改为text	实际备端为time None位</t>
        </is>
      </c>
      <c r="EH952" s="0" t="inlineStr">
        <is>
          <t>55行 6列，源：None 备：</t>
        </is>
      </c>
      <c r="ES952" s="0" t="inlineStr">
        <is>
          <t>55行 6列，源：None 备：</t>
        </is>
      </c>
    </row>
    <row r="953">
      <c r="B953" s="0" t="inlineStr">
        <is>
          <t>NULL</t>
        </is>
      </c>
      <c r="C953" s="0" t="inlineStr">
        <is>
          <t>NULL</t>
        </is>
      </c>
      <c r="D953" s="0" t="inlineStr">
        <is>
          <t>NULL</t>
        </is>
      </c>
      <c r="E953" s="0" t="inlineStr">
        <is>
          <t>NULL</t>
        </is>
      </c>
      <c r="F953" s="0" t="inlineStr">
        <is>
          <t>NULL</t>
        </is>
      </c>
      <c r="G953" s="0" t="inlineStr">
        <is>
          <t>NULL</t>
        </is>
      </c>
      <c r="H953" s="0" t="inlineStr">
        <is>
          <t>NULL</t>
        </is>
      </c>
      <c r="I953" s="0" t="inlineStr">
        <is>
          <t>NULL</t>
        </is>
      </c>
      <c r="J953" s="0" t="inlineStr">
        <is>
          <t>NULL</t>
        </is>
      </c>
      <c r="K953" s="0" t="inlineStr">
        <is>
          <t xml:space="preserve"> NO!  	 c_time6列源备映射错误，源端为time None位	期望更改为text	实际备端为time None位</t>
        </is>
      </c>
      <c r="EH953" s="0" t="inlineStr">
        <is>
          <t>55行 7列，源：None 备：</t>
        </is>
      </c>
      <c r="ES953" s="0" t="inlineStr">
        <is>
          <t>55行 7列，源：None 备：</t>
        </is>
      </c>
    </row>
    <row r="954">
      <c r="B954" s="0" t="inlineStr">
        <is>
          <t>NULL</t>
        </is>
      </c>
      <c r="C954" s="0" t="inlineStr">
        <is>
          <t>NULL</t>
        </is>
      </c>
      <c r="D954" s="0" t="inlineStr">
        <is>
          <t>NULL</t>
        </is>
      </c>
      <c r="E954" s="0" t="inlineStr">
        <is>
          <t>NULL</t>
        </is>
      </c>
      <c r="F954" s="0" t="inlineStr">
        <is>
          <t>NULL</t>
        </is>
      </c>
      <c r="G954" s="0" t="inlineStr">
        <is>
          <t>NULL</t>
        </is>
      </c>
      <c r="H954" s="0" t="inlineStr">
        <is>
          <t>NULL</t>
        </is>
      </c>
      <c r="I954" s="0" t="inlineStr">
        <is>
          <t>NULL</t>
        </is>
      </c>
      <c r="J954" s="0" t="inlineStr">
        <is>
          <t>NULL</t>
        </is>
      </c>
      <c r="K954" s="0" t="inlineStr">
        <is>
          <t xml:space="preserve"> NO!  	 c_time列源备映射错误，源端为time None位	期望更改为text	实际备端为time None位</t>
        </is>
      </c>
      <c r="EH954" s="0" t="inlineStr">
        <is>
          <t>55行 8列，源：None 备：</t>
        </is>
      </c>
      <c r="ES954" s="0" t="inlineStr">
        <is>
          <t>55行 8列，源：None 备：</t>
        </is>
      </c>
    </row>
    <row r="955">
      <c r="A955" s="0" t="inlineStr">
        <is>
          <t>info_varchar_dml_batch1_pk_irp2</t>
        </is>
      </c>
      <c r="K955" s="0" t="inlineStr">
        <is>
          <t>[0;34m info_varchar_dml_batch1_pk_irp2 [0m源备字段数相同，源端字段：4 	备端字段4</t>
        </is>
      </c>
      <c r="W955" s="0" t="inlineStr">
        <is>
          <t>YES 源备无差异</t>
        </is>
      </c>
      <c r="X955" s="0">
        <f>A955</f>
        <v/>
      </c>
      <c r="EH955" s="0" t="inlineStr">
        <is>
          <t>55行 9列，源：None 备：</t>
        </is>
      </c>
      <c r="ES955" s="0" t="inlineStr">
        <is>
          <t>55行 9列，源：None 备：</t>
        </is>
      </c>
    </row>
    <row r="956">
      <c r="B956" s="0" t="inlineStr">
        <is>
          <t>YES</t>
        </is>
      </c>
      <c r="C956" s="0" t="inlineStr">
        <is>
          <t>NULL</t>
        </is>
      </c>
      <c r="D956" s="0" t="inlineStr">
        <is>
          <t>NULL</t>
        </is>
      </c>
      <c r="E956" s="0" t="inlineStr">
        <is>
          <t>NULL</t>
        </is>
      </c>
      <c r="F956" s="0" t="inlineStr">
        <is>
          <t>NULL</t>
        </is>
      </c>
      <c r="G956" s="0" t="inlineStr">
        <is>
          <t>NULL</t>
        </is>
      </c>
      <c r="H956" s="0" t="inlineStr">
        <is>
          <t>NULL</t>
        </is>
      </c>
      <c r="I956" s="0" t="inlineStr">
        <is>
          <t>YES!PK__info_var__3213E83F8DEAE457</t>
        </is>
      </c>
      <c r="J956" s="0" t="inlineStr">
        <is>
          <t>YES! 主键相关索引</t>
        </is>
      </c>
      <c r="K956" s="0" t="inlineStr">
        <is>
          <t xml:space="preserve"> NO!  	 id列源备映射错误，源端为int None位	期望更改为text	实际备端为int None位</t>
        </is>
      </c>
      <c r="EH956" s="0" t="inlineStr">
        <is>
          <t>55行 10列，源：None 备：</t>
        </is>
      </c>
      <c r="ES956" s="0" t="inlineStr">
        <is>
          <t>55行 10列，源：None 备：</t>
        </is>
      </c>
    </row>
    <row r="957">
      <c r="B957" s="0" t="inlineStr">
        <is>
          <t>NULL</t>
        </is>
      </c>
      <c r="C957" s="0" t="inlineStr">
        <is>
          <t>NULL</t>
        </is>
      </c>
      <c r="D957" s="0" t="inlineStr">
        <is>
          <t>NULL</t>
        </is>
      </c>
      <c r="E957" s="0" t="inlineStr">
        <is>
          <t>NULL</t>
        </is>
      </c>
      <c r="F957" s="0" t="inlineStr">
        <is>
          <t>NULL</t>
        </is>
      </c>
      <c r="G957" s="0" t="inlineStr">
        <is>
          <t>NULL</t>
        </is>
      </c>
      <c r="H957" s="0" t="inlineStr">
        <is>
          <t>NULL</t>
        </is>
      </c>
      <c r="I957" s="0" t="inlineStr">
        <is>
          <t>NULL</t>
        </is>
      </c>
      <c r="J957" s="0" t="inlineStr">
        <is>
          <t>NULL</t>
        </is>
      </c>
      <c r="K957" s="0" t="inlineStr">
        <is>
          <t xml:space="preserve"> NO!  	 c_varchar列源备映射错误，源端为varchar 1位	期望更改为text	实际备端为varchar 1位</t>
        </is>
      </c>
      <c r="EH957" s="0" t="inlineStr">
        <is>
          <t>55行 11列，源：None 备：</t>
        </is>
      </c>
      <c r="ES957" s="0" t="inlineStr">
        <is>
          <t>55行 11列，源：None 备：</t>
        </is>
      </c>
    </row>
    <row r="958">
      <c r="B958" s="0" t="inlineStr">
        <is>
          <t>NULL</t>
        </is>
      </c>
      <c r="C958" s="0" t="inlineStr">
        <is>
          <t>NULL</t>
        </is>
      </c>
      <c r="D958" s="0" t="inlineStr">
        <is>
          <t>NULL</t>
        </is>
      </c>
      <c r="E958" s="0" t="inlineStr">
        <is>
          <t>NULL</t>
        </is>
      </c>
      <c r="F958" s="0" t="inlineStr">
        <is>
          <t>NULL</t>
        </is>
      </c>
      <c r="G958" s="0" t="inlineStr">
        <is>
          <t>NULL</t>
        </is>
      </c>
      <c r="H958" s="0" t="inlineStr">
        <is>
          <t>NULL</t>
        </is>
      </c>
      <c r="I958" s="0" t="inlineStr">
        <is>
          <t>NULL</t>
        </is>
      </c>
      <c r="J958" s="0" t="inlineStr">
        <is>
          <t>NULL</t>
        </is>
      </c>
      <c r="K958" s="0" t="inlineStr">
        <is>
          <t xml:space="preserve"> NO!  	 c_varchar20列源备映射错误，源端为varchar 20位	期望更改为text	实际备端为varchar 20位</t>
        </is>
      </c>
      <c r="EH958" s="0" t="inlineStr">
        <is>
          <t>55行 12列，源：None 备：</t>
        </is>
      </c>
      <c r="ES958" s="0" t="inlineStr">
        <is>
          <t>55行 12列，源：None 备：</t>
        </is>
      </c>
    </row>
    <row r="959">
      <c r="B959" s="0" t="inlineStr">
        <is>
          <t>NULL</t>
        </is>
      </c>
      <c r="C959" s="0" t="inlineStr">
        <is>
          <t>NULL</t>
        </is>
      </c>
      <c r="D959" s="0" t="inlineStr">
        <is>
          <t>NULL</t>
        </is>
      </c>
      <c r="E959" s="0" t="inlineStr">
        <is>
          <t>NULL</t>
        </is>
      </c>
      <c r="F959" s="0" t="inlineStr">
        <is>
          <t>NULL</t>
        </is>
      </c>
      <c r="G959" s="0" t="inlineStr">
        <is>
          <t>NULL</t>
        </is>
      </c>
      <c r="H959" s="0" t="inlineStr">
        <is>
          <t>NULL</t>
        </is>
      </c>
      <c r="I959" s="0" t="inlineStr">
        <is>
          <t>NULL</t>
        </is>
      </c>
      <c r="J959" s="0" t="inlineStr">
        <is>
          <t>NULL</t>
        </is>
      </c>
      <c r="K959" s="0" t="inlineStr">
        <is>
          <t xml:space="preserve"> NO!  	 c_varchar200列源备映射错误，源端为varchar 200位	期望更改为text	实际备端为varchar 200位</t>
        </is>
      </c>
      <c r="EH959" s="0" t="inlineStr">
        <is>
          <t>55行 13列，源：None 备：</t>
        </is>
      </c>
      <c r="ES959" s="0" t="inlineStr">
        <is>
          <t>55行 13列，源：None 备：</t>
        </is>
      </c>
    </row>
    <row r="960">
      <c r="K960" s="0" t="inlineStr">
        <is>
          <t>~ 空表</t>
        </is>
      </c>
      <c r="EH960" s="0" t="inlineStr">
        <is>
          <t>55行 14列，源：None 备：</t>
        </is>
      </c>
      <c r="ES960" s="0" t="inlineStr">
        <is>
          <t>55行 14列，源：None 备：</t>
        </is>
      </c>
    </row>
    <row r="961">
      <c r="A961" s="0" t="inlineStr">
        <is>
          <t>info_sql_variant_dml_single_pk_irp</t>
        </is>
      </c>
      <c r="K961" s="0" t="inlineStr">
        <is>
          <t>[0;34m info_sql_variant_dml_single_pk_irp [0m源备字段数相同，源端字段：25 	备端字段25</t>
        </is>
      </c>
      <c r="W961" s="2">
        <f>HYPERLINK("#2026041905hbase4!DM2","NO 源备存在差异，共30个")</f>
        <v/>
      </c>
      <c r="X961" s="0">
        <f>A961</f>
        <v/>
      </c>
      <c r="EH961" s="0" t="inlineStr">
        <is>
          <t>55行 15列，源：nan 备：</t>
        </is>
      </c>
      <c r="ES961" s="0" t="inlineStr">
        <is>
          <t>55行 15列，源：nan 备：</t>
        </is>
      </c>
    </row>
    <row r="962">
      <c r="B962" s="0" t="inlineStr">
        <is>
          <t>YES</t>
        </is>
      </c>
      <c r="C962" s="0" t="inlineStr">
        <is>
          <t>NULL</t>
        </is>
      </c>
      <c r="D962" s="0" t="inlineStr">
        <is>
          <t>NULL</t>
        </is>
      </c>
      <c r="E962" s="0" t="inlineStr">
        <is>
          <t>NULL</t>
        </is>
      </c>
      <c r="F962" s="0" t="inlineStr">
        <is>
          <t>NULL</t>
        </is>
      </c>
      <c r="G962" s="0" t="inlineStr">
        <is>
          <t>NULL</t>
        </is>
      </c>
      <c r="H962" s="0" t="inlineStr">
        <is>
          <t>NULL</t>
        </is>
      </c>
      <c r="I962" s="0" t="inlineStr">
        <is>
          <t>YES!PK__info_sql__3213E83F3E87AF60</t>
        </is>
      </c>
      <c r="J962" s="0" t="inlineStr">
        <is>
          <t>YES! 主键相关索引</t>
        </is>
      </c>
      <c r="K962" s="0" t="inlineStr">
        <is>
          <t xml:space="preserve"> NO!  	 id列源备映射错误，源端为int None位	期望更改为text	实际备端为int None位</t>
        </is>
      </c>
      <c r="EH962" s="0" t="inlineStr">
        <is>
          <t>55行 16列，源：nan 备：</t>
        </is>
      </c>
      <c r="ES962" s="0" t="inlineStr">
        <is>
          <t>55行 16列，源：nan 备：</t>
        </is>
      </c>
    </row>
    <row r="963">
      <c r="B963" s="0" t="inlineStr">
        <is>
          <t>NULL</t>
        </is>
      </c>
      <c r="C963" s="0" t="inlineStr">
        <is>
          <t>NULL</t>
        </is>
      </c>
      <c r="D963" s="0" t="inlineStr">
        <is>
          <t>NULL</t>
        </is>
      </c>
      <c r="E963" s="0" t="inlineStr">
        <is>
          <t>NULL</t>
        </is>
      </c>
      <c r="F963" s="0" t="inlineStr">
        <is>
          <t>NULL</t>
        </is>
      </c>
      <c r="G963" s="0" t="inlineStr">
        <is>
          <t>NULL</t>
        </is>
      </c>
      <c r="H963" s="0" t="inlineStr">
        <is>
          <t>NULL</t>
        </is>
      </c>
      <c r="I963" s="0" t="inlineStr">
        <is>
          <t>NULL</t>
        </is>
      </c>
      <c r="J963" s="0" t="inlineStr">
        <is>
          <t>NULL</t>
        </is>
      </c>
      <c r="K963" s="0" t="inlineStr">
        <is>
          <t xml:space="preserve"> NO!  	 c_date列源备映射错误，源端为sql_variant 0位	期望更改为text	实际备端为sql_variant 0位</t>
        </is>
      </c>
      <c r="EH963" s="0" t="inlineStr">
        <is>
          <t>55行 17列，源：None 备：</t>
        </is>
      </c>
      <c r="ES963" s="0" t="inlineStr">
        <is>
          <t>55行 17列，源：None 备：</t>
        </is>
      </c>
    </row>
    <row r="964">
      <c r="B964" s="0" t="inlineStr">
        <is>
          <t>NULL</t>
        </is>
      </c>
      <c r="C964" s="0" t="inlineStr">
        <is>
          <t>NULL</t>
        </is>
      </c>
      <c r="D964" s="0" t="inlineStr">
        <is>
          <t>NULL</t>
        </is>
      </c>
      <c r="E964" s="0" t="inlineStr">
        <is>
          <t>NULL</t>
        </is>
      </c>
      <c r="F964" s="0" t="inlineStr">
        <is>
          <t>NULL</t>
        </is>
      </c>
      <c r="G964" s="0" t="inlineStr">
        <is>
          <t>NULL</t>
        </is>
      </c>
      <c r="H964" s="0" t="inlineStr">
        <is>
          <t>NULL</t>
        </is>
      </c>
      <c r="I964" s="0" t="inlineStr">
        <is>
          <t>NULL</t>
        </is>
      </c>
      <c r="J964" s="0" t="inlineStr">
        <is>
          <t>NULL</t>
        </is>
      </c>
      <c r="K964" s="0" t="inlineStr">
        <is>
          <t xml:space="preserve"> NO!  	 c_time列源备映射错误，源端为sql_variant 0位	期望更改为text	实际备端为sql_variant 0位</t>
        </is>
      </c>
      <c r="EH964" s="0" t="inlineStr">
        <is>
          <t>55行 18列，源：None 备：</t>
        </is>
      </c>
      <c r="ES964" s="0" t="inlineStr">
        <is>
          <t>55行 18列，源：None 备：</t>
        </is>
      </c>
    </row>
    <row r="965">
      <c r="B965" s="0" t="inlineStr">
        <is>
          <t>NULL</t>
        </is>
      </c>
      <c r="C965" s="0" t="inlineStr">
        <is>
          <t>NULL</t>
        </is>
      </c>
      <c r="D965" s="0" t="inlineStr">
        <is>
          <t>NULL</t>
        </is>
      </c>
      <c r="E965" s="0" t="inlineStr">
        <is>
          <t>NULL</t>
        </is>
      </c>
      <c r="F965" s="0" t="inlineStr">
        <is>
          <t>NULL</t>
        </is>
      </c>
      <c r="G965" s="0" t="inlineStr">
        <is>
          <t>NULL</t>
        </is>
      </c>
      <c r="H965" s="0" t="inlineStr">
        <is>
          <t>NULL</t>
        </is>
      </c>
      <c r="I965" s="0" t="inlineStr">
        <is>
          <t>NULL</t>
        </is>
      </c>
      <c r="J965" s="0" t="inlineStr">
        <is>
          <t>NULL</t>
        </is>
      </c>
      <c r="K965" s="0" t="inlineStr">
        <is>
          <t xml:space="preserve"> NO!  	 c_datetime2列源备映射错误，源端为sql_variant 0位	期望更改为text	实际备端为sql_variant 0位</t>
        </is>
      </c>
      <c r="EH965" s="0" t="inlineStr">
        <is>
          <t>55行 19列，源：None 备：</t>
        </is>
      </c>
      <c r="ES965" s="0" t="inlineStr">
        <is>
          <t>55行 19列，源：None 备：</t>
        </is>
      </c>
    </row>
    <row r="966">
      <c r="B966" s="0" t="inlineStr">
        <is>
          <t>NULL</t>
        </is>
      </c>
      <c r="C966" s="0" t="inlineStr">
        <is>
          <t>NULL</t>
        </is>
      </c>
      <c r="D966" s="0" t="inlineStr">
        <is>
          <t>NULL</t>
        </is>
      </c>
      <c r="E966" s="0" t="inlineStr">
        <is>
          <t>NULL</t>
        </is>
      </c>
      <c r="F966" s="0" t="inlineStr">
        <is>
          <t>NULL</t>
        </is>
      </c>
      <c r="G966" s="0" t="inlineStr">
        <is>
          <t>NULL</t>
        </is>
      </c>
      <c r="H966" s="0" t="inlineStr">
        <is>
          <t>NULL</t>
        </is>
      </c>
      <c r="I966" s="0" t="inlineStr">
        <is>
          <t>NULL</t>
        </is>
      </c>
      <c r="J966" s="0" t="inlineStr">
        <is>
          <t>NULL</t>
        </is>
      </c>
      <c r="K966" s="0" t="inlineStr">
        <is>
          <t xml:space="preserve"> NO!  	 c_datetimeoffset列源备映射错误，源端为sql_variant 0位	期望更改为text	实际备端为sql_variant 0位</t>
        </is>
      </c>
      <c r="EH966" s="0" t="inlineStr">
        <is>
          <t>56行 0列，源：117 备：204</t>
        </is>
      </c>
      <c r="ES966" s="0" t="inlineStr">
        <is>
          <t>56行 0列，源：117 备：406</t>
        </is>
      </c>
    </row>
    <row r="967">
      <c r="B967" s="0" t="inlineStr">
        <is>
          <t>NULL</t>
        </is>
      </c>
      <c r="C967" s="0" t="inlineStr">
        <is>
          <t>NULL</t>
        </is>
      </c>
      <c r="D967" s="0" t="inlineStr">
        <is>
          <t>NULL</t>
        </is>
      </c>
      <c r="E967" s="0" t="inlineStr">
        <is>
          <t>NULL</t>
        </is>
      </c>
      <c r="F967" s="0" t="inlineStr">
        <is>
          <t>NULL</t>
        </is>
      </c>
      <c r="G967" s="0" t="inlineStr">
        <is>
          <t>NULL</t>
        </is>
      </c>
      <c r="H967" s="0" t="inlineStr">
        <is>
          <t>NULL</t>
        </is>
      </c>
      <c r="I967" s="0" t="inlineStr">
        <is>
          <t>NULL</t>
        </is>
      </c>
      <c r="J967" s="0" t="inlineStr">
        <is>
          <t>NULL</t>
        </is>
      </c>
      <c r="K967" s="0" t="inlineStr">
        <is>
          <t xml:space="preserve"> NO!  	 c_tinyint列源备映射错误，源端为sql_variant 0位	期望更改为text	实际备端为sql_variant 0位</t>
        </is>
      </c>
      <c r="EH967" s="0" t="inlineStr">
        <is>
          <t>56行 1列，源：nan 备：</t>
        </is>
      </c>
      <c r="ES967" s="0" t="inlineStr">
        <is>
          <t>56行 1列，源：nan 备：127</t>
        </is>
      </c>
    </row>
    <row r="968">
      <c r="B968" s="0" t="inlineStr">
        <is>
          <t>NULL</t>
        </is>
      </c>
      <c r="C968" s="0" t="inlineStr">
        <is>
          <t>NULL</t>
        </is>
      </c>
      <c r="D968" s="0" t="inlineStr">
        <is>
          <t>NULL</t>
        </is>
      </c>
      <c r="E968" s="0" t="inlineStr">
        <is>
          <t>NULL</t>
        </is>
      </c>
      <c r="F968" s="0" t="inlineStr">
        <is>
          <t>NULL</t>
        </is>
      </c>
      <c r="G968" s="0" t="inlineStr">
        <is>
          <t>NULL</t>
        </is>
      </c>
      <c r="H968" s="0" t="inlineStr">
        <is>
          <t>NULL</t>
        </is>
      </c>
      <c r="I968" s="0" t="inlineStr">
        <is>
          <t>NULL</t>
        </is>
      </c>
      <c r="J968" s="0" t="inlineStr">
        <is>
          <t>NULL</t>
        </is>
      </c>
      <c r="K968" s="0" t="inlineStr">
        <is>
          <t xml:space="preserve"> NO!  	 c_smallint列源备映射错误，源端为sql_variant 0位	期望更改为text	实际备端为sql_variant 0位</t>
        </is>
      </c>
      <c r="EH968" s="0" t="inlineStr">
        <is>
          <t>56行 2列，源：nan 备：</t>
        </is>
      </c>
      <c r="ES968" s="0" t="inlineStr">
        <is>
          <t>56行 2列，源：nan 备：255</t>
        </is>
      </c>
    </row>
    <row r="969">
      <c r="B969" s="0" t="inlineStr">
        <is>
          <t>NULL</t>
        </is>
      </c>
      <c r="C969" s="0" t="inlineStr">
        <is>
          <t>NULL</t>
        </is>
      </c>
      <c r="D969" s="0" t="inlineStr">
        <is>
          <t>NULL</t>
        </is>
      </c>
      <c r="E969" s="0" t="inlineStr">
        <is>
          <t>NULL</t>
        </is>
      </c>
      <c r="F969" s="0" t="inlineStr">
        <is>
          <t>NULL</t>
        </is>
      </c>
      <c r="G969" s="0" t="inlineStr">
        <is>
          <t>NULL</t>
        </is>
      </c>
      <c r="H969" s="0" t="inlineStr">
        <is>
          <t>NULL</t>
        </is>
      </c>
      <c r="I969" s="0" t="inlineStr">
        <is>
          <t>NULL</t>
        </is>
      </c>
      <c r="J969" s="0" t="inlineStr">
        <is>
          <t>NULL</t>
        </is>
      </c>
      <c r="K969" s="0" t="inlineStr">
        <is>
          <t xml:space="preserve"> NO!  	 c_int列源备映射错误，源端为sql_variant 0位	期望更改为text	实际备端为sql_variant 0位</t>
        </is>
      </c>
      <c r="EH969" s="0" t="inlineStr">
        <is>
          <t>56行 3列，源：nan 备：</t>
        </is>
      </c>
      <c r="ES969" s="0" t="inlineStr">
        <is>
          <t>56行 3列，源：nan 备：65535</t>
        </is>
      </c>
    </row>
    <row r="970">
      <c r="B970" s="0" t="inlineStr">
        <is>
          <t>NULL</t>
        </is>
      </c>
      <c r="C970" s="0" t="inlineStr">
        <is>
          <t>NULL</t>
        </is>
      </c>
      <c r="D970" s="0" t="inlineStr">
        <is>
          <t>NULL</t>
        </is>
      </c>
      <c r="E970" s="0" t="inlineStr">
        <is>
          <t>NULL</t>
        </is>
      </c>
      <c r="F970" s="0" t="inlineStr">
        <is>
          <t>NULL</t>
        </is>
      </c>
      <c r="G970" s="0" t="inlineStr">
        <is>
          <t>NULL</t>
        </is>
      </c>
      <c r="H970" s="0" t="inlineStr">
        <is>
          <t>NULL</t>
        </is>
      </c>
      <c r="I970" s="0" t="inlineStr">
        <is>
          <t>NULL</t>
        </is>
      </c>
      <c r="J970" s="0" t="inlineStr">
        <is>
          <t>NULL</t>
        </is>
      </c>
      <c r="K970" s="0" t="inlineStr">
        <is>
          <t xml:space="preserve"> NO!  	 c_sdt列源备映射错误，源端为sql_variant 0位	期望更改为text	实际备端为sql_variant 0位</t>
        </is>
      </c>
      <c r="EH970" s="0" t="inlineStr">
        <is>
          <t>56行 4列，源：nan 备：</t>
        </is>
      </c>
      <c r="ES970" s="0" t="inlineStr">
        <is>
          <t>56行 4列，源：nan 备：4294967295</t>
        </is>
      </c>
    </row>
    <row r="971">
      <c r="B971" s="0" t="inlineStr">
        <is>
          <t>NULL</t>
        </is>
      </c>
      <c r="C971" s="0" t="inlineStr">
        <is>
          <t>NULL</t>
        </is>
      </c>
      <c r="D971" s="0" t="inlineStr">
        <is>
          <t>NULL</t>
        </is>
      </c>
      <c r="E971" s="0" t="inlineStr">
        <is>
          <t>NULL</t>
        </is>
      </c>
      <c r="F971" s="0" t="inlineStr">
        <is>
          <t>NULL</t>
        </is>
      </c>
      <c r="G971" s="0" t="inlineStr">
        <is>
          <t>NULL</t>
        </is>
      </c>
      <c r="H971" s="0" t="inlineStr">
        <is>
          <t>NULL</t>
        </is>
      </c>
      <c r="I971" s="0" t="inlineStr">
        <is>
          <t>NULL</t>
        </is>
      </c>
      <c r="J971" s="0" t="inlineStr">
        <is>
          <t>NULL</t>
        </is>
      </c>
      <c r="K971" s="0" t="inlineStr">
        <is>
          <t xml:space="preserve"> NO!  	 c_real列源备映射错误，源端为sql_variant 0位	期望更改为text	实际备端为sql_variant 0位</t>
        </is>
      </c>
      <c r="EH971" s="0" t="inlineStr">
        <is>
          <t>56行 5列，源：None 备：</t>
        </is>
      </c>
      <c r="ES971" s="0" t="inlineStr">
        <is>
          <t>56行 5列，源：None 备：</t>
        </is>
      </c>
    </row>
    <row r="972">
      <c r="B972" s="0" t="inlineStr">
        <is>
          <t>NULL</t>
        </is>
      </c>
      <c r="C972" s="0" t="inlineStr">
        <is>
          <t>NULL</t>
        </is>
      </c>
      <c r="D972" s="0" t="inlineStr">
        <is>
          <t>NULL</t>
        </is>
      </c>
      <c r="E972" s="0" t="inlineStr">
        <is>
          <t>NULL</t>
        </is>
      </c>
      <c r="F972" s="0" t="inlineStr">
        <is>
          <t>NULL</t>
        </is>
      </c>
      <c r="G972" s="0" t="inlineStr">
        <is>
          <t>NULL</t>
        </is>
      </c>
      <c r="H972" s="0" t="inlineStr">
        <is>
          <t>NULL</t>
        </is>
      </c>
      <c r="I972" s="0" t="inlineStr">
        <is>
          <t>NULL</t>
        </is>
      </c>
      <c r="J972" s="0" t="inlineStr">
        <is>
          <t>NULL</t>
        </is>
      </c>
      <c r="K972" s="0" t="inlineStr">
        <is>
          <t xml:space="preserve"> NO!  	 c_money列源备映射错误，源端为sql_variant 0位	期望更改为text	实际备端为sql_variant 0位</t>
        </is>
      </c>
      <c r="EH972" s="0" t="inlineStr">
        <is>
          <t>56行 6列，源：None 备：</t>
        </is>
      </c>
      <c r="ES972" s="0" t="inlineStr">
        <is>
          <t>56行 6列，源：None 备：</t>
        </is>
      </c>
    </row>
    <row r="973">
      <c r="B973" s="0" t="inlineStr">
        <is>
          <t>NULL</t>
        </is>
      </c>
      <c r="C973" s="0" t="inlineStr">
        <is>
          <t>NULL</t>
        </is>
      </c>
      <c r="D973" s="0" t="inlineStr">
        <is>
          <t>NULL</t>
        </is>
      </c>
      <c r="E973" s="0" t="inlineStr">
        <is>
          <t>NULL</t>
        </is>
      </c>
      <c r="F973" s="0" t="inlineStr">
        <is>
          <t>NULL</t>
        </is>
      </c>
      <c r="G973" s="0" t="inlineStr">
        <is>
          <t>NULL</t>
        </is>
      </c>
      <c r="H973" s="0" t="inlineStr">
        <is>
          <t>NULL</t>
        </is>
      </c>
      <c r="I973" s="0" t="inlineStr">
        <is>
          <t>NULL</t>
        </is>
      </c>
      <c r="J973" s="0" t="inlineStr">
        <is>
          <t>NULL</t>
        </is>
      </c>
      <c r="K973" s="0" t="inlineStr">
        <is>
          <t xml:space="preserve"> NO!  	 c_datetime列源备映射错误，源端为sql_variant 0位	期望更改为text	实际备端为sql_variant 0位</t>
        </is>
      </c>
      <c r="EH973" s="0" t="inlineStr">
        <is>
          <t>56行 7列，源：None 备：</t>
        </is>
      </c>
      <c r="ES973" s="0" t="inlineStr">
        <is>
          <t>56行 7列，源：None 备：</t>
        </is>
      </c>
    </row>
    <row r="974">
      <c r="B974" s="0" t="inlineStr">
        <is>
          <t>NULL</t>
        </is>
      </c>
      <c r="C974" s="0" t="inlineStr">
        <is>
          <t>NULL</t>
        </is>
      </c>
      <c r="D974" s="0" t="inlineStr">
        <is>
          <t>NULL</t>
        </is>
      </c>
      <c r="E974" s="0" t="inlineStr">
        <is>
          <t>NULL</t>
        </is>
      </c>
      <c r="F974" s="0" t="inlineStr">
        <is>
          <t>NULL</t>
        </is>
      </c>
      <c r="G974" s="0" t="inlineStr">
        <is>
          <t>NULL</t>
        </is>
      </c>
      <c r="H974" s="0" t="inlineStr">
        <is>
          <t>NULL</t>
        </is>
      </c>
      <c r="I974" s="0" t="inlineStr">
        <is>
          <t>NULL</t>
        </is>
      </c>
      <c r="J974" s="0" t="inlineStr">
        <is>
          <t>NULL</t>
        </is>
      </c>
      <c r="K974" s="0" t="inlineStr">
        <is>
          <t xml:space="preserve"> NO!  	 c_float列源备映射错误，源端为sql_variant 0位	期望更改为text	实际备端为sql_variant 0位</t>
        </is>
      </c>
      <c r="EH974" s="0" t="inlineStr">
        <is>
          <t>56行 8列，源：None 备：</t>
        </is>
      </c>
      <c r="ES974" s="0" t="inlineStr">
        <is>
          <t>56行 8列，源：None 备：</t>
        </is>
      </c>
    </row>
    <row r="975">
      <c r="B975" s="0" t="inlineStr">
        <is>
          <t>NULL</t>
        </is>
      </c>
      <c r="C975" s="0" t="inlineStr">
        <is>
          <t>NULL</t>
        </is>
      </c>
      <c r="D975" s="0" t="inlineStr">
        <is>
          <t>NULL</t>
        </is>
      </c>
      <c r="E975" s="0" t="inlineStr">
        <is>
          <t>NULL</t>
        </is>
      </c>
      <c r="F975" s="0" t="inlineStr">
        <is>
          <t>NULL</t>
        </is>
      </c>
      <c r="G975" s="0" t="inlineStr">
        <is>
          <t>NULL</t>
        </is>
      </c>
      <c r="H975" s="0" t="inlineStr">
        <is>
          <t>NULL</t>
        </is>
      </c>
      <c r="I975" s="0" t="inlineStr">
        <is>
          <t>NULL</t>
        </is>
      </c>
      <c r="J975" s="0" t="inlineStr">
        <is>
          <t>NULL</t>
        </is>
      </c>
      <c r="K975" s="0" t="inlineStr">
        <is>
          <t xml:space="preserve"> NO!  	 c_bit列源备映射错误，源端为sql_variant 0位	期望更改为text	实际备端为sql_variant 0位</t>
        </is>
      </c>
      <c r="EH975" s="0" t="inlineStr">
        <is>
          <t>56行 9列，源：None 备：</t>
        </is>
      </c>
      <c r="ES975" s="0" t="inlineStr">
        <is>
          <t>56行 9列，源：None 备：</t>
        </is>
      </c>
    </row>
    <row r="976">
      <c r="B976" s="0" t="inlineStr">
        <is>
          <t>NULL</t>
        </is>
      </c>
      <c r="C976" s="0" t="inlineStr">
        <is>
          <t>NULL</t>
        </is>
      </c>
      <c r="D976" s="0" t="inlineStr">
        <is>
          <t>NULL</t>
        </is>
      </c>
      <c r="E976" s="0" t="inlineStr">
        <is>
          <t>NULL</t>
        </is>
      </c>
      <c r="F976" s="0" t="inlineStr">
        <is>
          <t>NULL</t>
        </is>
      </c>
      <c r="G976" s="0" t="inlineStr">
        <is>
          <t>NULL</t>
        </is>
      </c>
      <c r="H976" s="0" t="inlineStr">
        <is>
          <t>NULL</t>
        </is>
      </c>
      <c r="I976" s="0" t="inlineStr">
        <is>
          <t>NULL</t>
        </is>
      </c>
      <c r="J976" s="0" t="inlineStr">
        <is>
          <t>NULL</t>
        </is>
      </c>
      <c r="K976" s="0" t="inlineStr">
        <is>
          <t xml:space="preserve"> NO!  	 c_decimal列源备映射错误，源端为sql_variant 0位	期望更改为text	实际备端为sql_variant 0位</t>
        </is>
      </c>
      <c r="EH976" s="0" t="inlineStr">
        <is>
          <t>56行 10列，源：None 备：</t>
        </is>
      </c>
      <c r="ES976" s="0" t="inlineStr">
        <is>
          <t>56行 10列，源：None 备：</t>
        </is>
      </c>
    </row>
    <row r="977">
      <c r="B977" s="0" t="inlineStr">
        <is>
          <t>NULL</t>
        </is>
      </c>
      <c r="C977" s="0" t="inlineStr">
        <is>
          <t>NULL</t>
        </is>
      </c>
      <c r="D977" s="0" t="inlineStr">
        <is>
          <t>NULL</t>
        </is>
      </c>
      <c r="E977" s="0" t="inlineStr">
        <is>
          <t>NULL</t>
        </is>
      </c>
      <c r="F977" s="0" t="inlineStr">
        <is>
          <t>NULL</t>
        </is>
      </c>
      <c r="G977" s="0" t="inlineStr">
        <is>
          <t>NULL</t>
        </is>
      </c>
      <c r="H977" s="0" t="inlineStr">
        <is>
          <t>NULL</t>
        </is>
      </c>
      <c r="I977" s="0" t="inlineStr">
        <is>
          <t>NULL</t>
        </is>
      </c>
      <c r="J977" s="0" t="inlineStr">
        <is>
          <t>NULL</t>
        </is>
      </c>
      <c r="K977" s="0" t="inlineStr">
        <is>
          <t xml:space="preserve"> NO!  	 c_uniqueidentifier列源备映射错误，源端为sql_variant 0位	期望更改为text	实际备端为sql_variant 0位</t>
        </is>
      </c>
      <c r="EH977" s="0" t="inlineStr">
        <is>
          <t>56行 11列，源：None 备：</t>
        </is>
      </c>
      <c r="ES977" s="0" t="inlineStr">
        <is>
          <t>56行 11列，源：None 备：</t>
        </is>
      </c>
    </row>
    <row r="978">
      <c r="B978" s="0" t="inlineStr">
        <is>
          <t>NULL</t>
        </is>
      </c>
      <c r="C978" s="0" t="inlineStr">
        <is>
          <t>NULL</t>
        </is>
      </c>
      <c r="D978" s="0" t="inlineStr">
        <is>
          <t>NULL</t>
        </is>
      </c>
      <c r="E978" s="0" t="inlineStr">
        <is>
          <t>NULL</t>
        </is>
      </c>
      <c r="F978" s="0" t="inlineStr">
        <is>
          <t>NULL</t>
        </is>
      </c>
      <c r="G978" s="0" t="inlineStr">
        <is>
          <t>NULL</t>
        </is>
      </c>
      <c r="H978" s="0" t="inlineStr">
        <is>
          <t>NULL</t>
        </is>
      </c>
      <c r="I978" s="0" t="inlineStr">
        <is>
          <t>NULL</t>
        </is>
      </c>
      <c r="J978" s="0" t="inlineStr">
        <is>
          <t>NULL</t>
        </is>
      </c>
      <c r="K978" s="0" t="inlineStr">
        <is>
          <t xml:space="preserve"> NO!  	 c_smallmoney列源备映射错误，源端为sql_variant 0位	期望更改为text	实际备端为sql_variant 0位</t>
        </is>
      </c>
      <c r="EH978" s="0" t="inlineStr">
        <is>
          <t>56行 12列，源：None 备：</t>
        </is>
      </c>
      <c r="ES978" s="0" t="inlineStr">
        <is>
          <t>56行 12列，源：None 备：</t>
        </is>
      </c>
    </row>
    <row r="979">
      <c r="B979" s="0" t="inlineStr">
        <is>
          <t>NULL</t>
        </is>
      </c>
      <c r="C979" s="0" t="inlineStr">
        <is>
          <t>NULL</t>
        </is>
      </c>
      <c r="D979" s="0" t="inlineStr">
        <is>
          <t>NULL</t>
        </is>
      </c>
      <c r="E979" s="0" t="inlineStr">
        <is>
          <t>NULL</t>
        </is>
      </c>
      <c r="F979" s="0" t="inlineStr">
        <is>
          <t>NULL</t>
        </is>
      </c>
      <c r="G979" s="0" t="inlineStr">
        <is>
          <t>NULL</t>
        </is>
      </c>
      <c r="H979" s="0" t="inlineStr">
        <is>
          <t>NULL</t>
        </is>
      </c>
      <c r="I979" s="0" t="inlineStr">
        <is>
          <t>NULL</t>
        </is>
      </c>
      <c r="J979" s="0" t="inlineStr">
        <is>
          <t>NULL</t>
        </is>
      </c>
      <c r="K979" s="0" t="inlineStr">
        <is>
          <t xml:space="preserve"> NO!  	 c_bigint列源备映射错误，源端为sql_variant 0位	期望更改为text	实际备端为sql_variant 0位</t>
        </is>
      </c>
      <c r="EH979" s="0" t="inlineStr">
        <is>
          <t>56行 13列，源：None 备：</t>
        </is>
      </c>
      <c r="ES979" s="0" t="inlineStr">
        <is>
          <t>56行 13列，源：None 备：</t>
        </is>
      </c>
    </row>
    <row r="980">
      <c r="B980" s="0" t="inlineStr">
        <is>
          <t>NULL</t>
        </is>
      </c>
      <c r="C980" s="0" t="inlineStr">
        <is>
          <t>NULL</t>
        </is>
      </c>
      <c r="D980" s="0" t="inlineStr">
        <is>
          <t>NULL</t>
        </is>
      </c>
      <c r="E980" s="0" t="inlineStr">
        <is>
          <t>NULL</t>
        </is>
      </c>
      <c r="F980" s="0" t="inlineStr">
        <is>
          <t>NULL</t>
        </is>
      </c>
      <c r="G980" s="0" t="inlineStr">
        <is>
          <t>NULL</t>
        </is>
      </c>
      <c r="H980" s="0" t="inlineStr">
        <is>
          <t>NULL</t>
        </is>
      </c>
      <c r="I980" s="0" t="inlineStr">
        <is>
          <t>NULL</t>
        </is>
      </c>
      <c r="J980" s="0" t="inlineStr">
        <is>
          <t>NULL</t>
        </is>
      </c>
      <c r="K980" s="0" t="inlineStr">
        <is>
          <t xml:space="preserve"> NO!  	 c_varbinary_20列源备映射错误，源端为sql_variant 0位	期望更改为text	实际备端为sql_variant 0位</t>
        </is>
      </c>
      <c r="EH980" s="0" t="inlineStr">
        <is>
          <t>56行 14列，源：None 备：</t>
        </is>
      </c>
      <c r="ES980" s="0" t="inlineStr">
        <is>
          <t>56行 14列，源：None 备：</t>
        </is>
      </c>
    </row>
    <row r="981">
      <c r="B981" s="0" t="inlineStr">
        <is>
          <t>NULL</t>
        </is>
      </c>
      <c r="C981" s="0" t="inlineStr">
        <is>
          <t>NULL</t>
        </is>
      </c>
      <c r="D981" s="0" t="inlineStr">
        <is>
          <t>NULL</t>
        </is>
      </c>
      <c r="E981" s="0" t="inlineStr">
        <is>
          <t>NULL</t>
        </is>
      </c>
      <c r="F981" s="0" t="inlineStr">
        <is>
          <t>NULL</t>
        </is>
      </c>
      <c r="G981" s="0" t="inlineStr">
        <is>
          <t>NULL</t>
        </is>
      </c>
      <c r="H981" s="0" t="inlineStr">
        <is>
          <t>NULL</t>
        </is>
      </c>
      <c r="I981" s="0" t="inlineStr">
        <is>
          <t>NULL</t>
        </is>
      </c>
      <c r="J981" s="0" t="inlineStr">
        <is>
          <t>NULL</t>
        </is>
      </c>
      <c r="K981" s="0" t="inlineStr">
        <is>
          <t xml:space="preserve"> NO!  	 c_varchar_20列源备映射错误，源端为sql_variant 0位	期望更改为text	实际备端为sql_variant 0位</t>
        </is>
      </c>
      <c r="EH981" s="0" t="inlineStr">
        <is>
          <t>56行 15列，源：nan 备：0.0000000000000</t>
        </is>
      </c>
      <c r="ES981" s="0" t="inlineStr">
        <is>
          <t>56行 15列，源：nan 备：</t>
        </is>
      </c>
    </row>
    <row r="982">
      <c r="B982" s="0" t="inlineStr">
        <is>
          <t>NULL</t>
        </is>
      </c>
      <c r="C982" s="0" t="inlineStr">
        <is>
          <t>NULL</t>
        </is>
      </c>
      <c r="D982" s="0" t="inlineStr">
        <is>
          <t>NULL</t>
        </is>
      </c>
      <c r="E982" s="0" t="inlineStr">
        <is>
          <t>NULL</t>
        </is>
      </c>
      <c r="F982" s="0" t="inlineStr">
        <is>
          <t>NULL</t>
        </is>
      </c>
      <c r="G982" s="0" t="inlineStr">
        <is>
          <t>NULL</t>
        </is>
      </c>
      <c r="H982" s="0" t="inlineStr">
        <is>
          <t>NULL</t>
        </is>
      </c>
      <c r="I982" s="0" t="inlineStr">
        <is>
          <t>NULL</t>
        </is>
      </c>
      <c r="J982" s="0" t="inlineStr">
        <is>
          <t>NULL</t>
        </is>
      </c>
      <c r="K982" s="0" t="inlineStr">
        <is>
          <t xml:space="preserve"> NO!  	 c_binary_20列源备映射错误，源端为sql_variant 0位	期望更改为text	实际备端为sql_variant 0位</t>
        </is>
      </c>
      <c r="EH982" s="0" t="inlineStr">
        <is>
          <t>56行 16列，源：nan 备：299792448.000000</t>
        </is>
      </c>
      <c r="ES982" s="0" t="inlineStr">
        <is>
          <t>56行 16列，源：nan 备：</t>
        </is>
      </c>
    </row>
    <row r="983">
      <c r="B983" s="0" t="inlineStr">
        <is>
          <t>NULL</t>
        </is>
      </c>
      <c r="C983" s="0" t="inlineStr">
        <is>
          <t>NULL</t>
        </is>
      </c>
      <c r="D983" s="0" t="inlineStr">
        <is>
          <t>NULL</t>
        </is>
      </c>
      <c r="E983" s="0" t="inlineStr">
        <is>
          <t>NULL</t>
        </is>
      </c>
      <c r="F983" s="0" t="inlineStr">
        <is>
          <t>NULL</t>
        </is>
      </c>
      <c r="G983" s="0" t="inlineStr">
        <is>
          <t>NULL</t>
        </is>
      </c>
      <c r="H983" s="0" t="inlineStr">
        <is>
          <t>NULL</t>
        </is>
      </c>
      <c r="I983" s="0" t="inlineStr">
        <is>
          <t>NULL</t>
        </is>
      </c>
      <c r="J983" s="0" t="inlineStr">
        <is>
          <t>NULL</t>
        </is>
      </c>
      <c r="K983" s="0" t="inlineStr">
        <is>
          <t xml:space="preserve"> NO!  	 c_char_20列源备映射错误，源端为sql_variant 0位	期望更改为text	实际备端为sql_variant 0位</t>
        </is>
      </c>
      <c r="EH983" s="0" t="inlineStr">
        <is>
          <t>56行 17列，源：None 备：-500000.0000</t>
        </is>
      </c>
      <c r="ES983" s="0" t="inlineStr">
        <is>
          <t>56行 17列，源：None 备：</t>
        </is>
      </c>
    </row>
    <row r="984">
      <c r="B984" s="0" t="inlineStr">
        <is>
          <t>NULL</t>
        </is>
      </c>
      <c r="C984" s="0" t="inlineStr">
        <is>
          <t>NULL</t>
        </is>
      </c>
      <c r="D984" s="0" t="inlineStr">
        <is>
          <t>NULL</t>
        </is>
      </c>
      <c r="E984" s="0" t="inlineStr">
        <is>
          <t>NULL</t>
        </is>
      </c>
      <c r="F984" s="0" t="inlineStr">
        <is>
          <t>NULL</t>
        </is>
      </c>
      <c r="G984" s="0" t="inlineStr">
        <is>
          <t>NULL</t>
        </is>
      </c>
      <c r="H984" s="0" t="inlineStr">
        <is>
          <t>NULL</t>
        </is>
      </c>
      <c r="I984" s="0" t="inlineStr">
        <is>
          <t>NULL</t>
        </is>
      </c>
      <c r="J984" s="0" t="inlineStr">
        <is>
          <t>NULL</t>
        </is>
      </c>
      <c r="K984" s="0" t="inlineStr">
        <is>
          <t xml:space="preserve"> NO!  	 c_nvarchar_20列源备映射错误，源端为sql_variant 0位	期望更改为text	实际备端为sql_variant 0位</t>
        </is>
      </c>
      <c r="EH984" s="0" t="inlineStr">
        <is>
          <t>56行 18列，源：None 备：1234.5678</t>
        </is>
      </c>
      <c r="ES984" s="0" t="inlineStr">
        <is>
          <t>56行 18列，源：None 备：</t>
        </is>
      </c>
    </row>
    <row r="985">
      <c r="B985" s="0" t="inlineStr">
        <is>
          <t>NULL</t>
        </is>
      </c>
      <c r="C985" s="0" t="inlineStr">
        <is>
          <t>NULL</t>
        </is>
      </c>
      <c r="D985" s="0" t="inlineStr">
        <is>
          <t>NULL</t>
        </is>
      </c>
      <c r="E985" s="0" t="inlineStr">
        <is>
          <t>NULL</t>
        </is>
      </c>
      <c r="F985" s="0" t="inlineStr">
        <is>
          <t>NULL</t>
        </is>
      </c>
      <c r="G985" s="0" t="inlineStr">
        <is>
          <t>NULL</t>
        </is>
      </c>
      <c r="H985" s="0" t="inlineStr">
        <is>
          <t>NULL</t>
        </is>
      </c>
      <c r="I985" s="0" t="inlineStr">
        <is>
          <t>NULL</t>
        </is>
      </c>
      <c r="J985" s="0" t="inlineStr">
        <is>
          <t>NULL</t>
        </is>
      </c>
      <c r="K985" s="0" t="inlineStr">
        <is>
          <t xml:space="preserve"> NO!  	 c_nchar_20列源备映射错误，源端为sql_variant 0位	期望更改为text	实际备端为sql_variant 0位</t>
        </is>
      </c>
      <c r="EH985" s="0" t="inlineStr">
        <is>
          <t>56行 19列，源：None 备：1</t>
        </is>
      </c>
      <c r="ES985" s="0" t="inlineStr">
        <is>
          <t>56行 19列，源：None 备：</t>
        </is>
      </c>
    </row>
    <row r="986">
      <c r="B986" s="0" t="inlineStr">
        <is>
          <t>NULL</t>
        </is>
      </c>
      <c r="C986" s="0" t="inlineStr">
        <is>
          <t>NULL</t>
        </is>
      </c>
      <c r="D986" s="0" t="inlineStr">
        <is>
          <t>NULL</t>
        </is>
      </c>
      <c r="E986" s="0" t="inlineStr">
        <is>
          <t>NULL</t>
        </is>
      </c>
      <c r="F986" s="0" t="inlineStr">
        <is>
          <t>NULL</t>
        </is>
      </c>
      <c r="G986" s="0" t="inlineStr">
        <is>
          <t>NULL</t>
        </is>
      </c>
      <c r="H986" s="0" t="inlineStr">
        <is>
          <t>NULL</t>
        </is>
      </c>
      <c r="I986" s="0" t="inlineStr">
        <is>
          <t>NULL</t>
        </is>
      </c>
      <c r="J986" s="0" t="inlineStr">
        <is>
          <t>NULL</t>
        </is>
      </c>
      <c r="K986" s="0" t="inlineStr">
        <is>
          <t xml:space="preserve"> NO!  	 c_timestamp列源备映射错误，源端为timestamp None位	期望更改为text	实际备端为timestamp None位</t>
        </is>
      </c>
      <c r="EH986" s="0" t="inlineStr">
        <is>
          <t>57行 0列，源：118 备：205</t>
        </is>
      </c>
      <c r="ES986" s="0" t="inlineStr">
        <is>
          <t>57行 0列，源：118 备：5</t>
        </is>
      </c>
    </row>
    <row r="987">
      <c r="A987" s="0" t="inlineStr">
        <is>
          <t>info_datetime_dml_single_pk</t>
        </is>
      </c>
      <c r="K987" s="0" t="inlineStr">
        <is>
          <t>[0;34m info_datetime_dml_single_pk [0m源备字段数相同，源端字段：2 	备端字段2</t>
        </is>
      </c>
      <c r="W987" s="0" t="inlineStr">
        <is>
          <t>YES 源备无差异</t>
        </is>
      </c>
      <c r="X987" s="0">
        <f>A987</f>
        <v/>
      </c>
      <c r="EH987" s="0" t="inlineStr">
        <is>
          <t>57行 1列，源：nan 备：</t>
        </is>
      </c>
      <c r="ES987" s="0" t="inlineStr">
        <is>
          <t>57行 1列，源：nan 备：0</t>
        </is>
      </c>
    </row>
    <row r="988">
      <c r="B988" s="0" t="inlineStr">
        <is>
          <t>YES</t>
        </is>
      </c>
      <c r="C988" s="0" t="inlineStr">
        <is>
          <t>NULL</t>
        </is>
      </c>
      <c r="D988" s="0" t="inlineStr">
        <is>
          <t>NULL</t>
        </is>
      </c>
      <c r="E988" s="0" t="inlineStr">
        <is>
          <t>NULL</t>
        </is>
      </c>
      <c r="F988" s="0" t="inlineStr">
        <is>
          <t>NULL</t>
        </is>
      </c>
      <c r="G988" s="0" t="inlineStr">
        <is>
          <t>NULL</t>
        </is>
      </c>
      <c r="H988" s="0" t="inlineStr">
        <is>
          <t>NULL</t>
        </is>
      </c>
      <c r="I988" s="0" t="inlineStr">
        <is>
          <t>YES!PK__info_dat__3213E83FBAC7D352</t>
        </is>
      </c>
      <c r="J988" s="0" t="inlineStr">
        <is>
          <t>YES! 主键相关索引</t>
        </is>
      </c>
      <c r="K988" s="0" t="inlineStr">
        <is>
          <t xml:space="preserve"> NO!  	 id列源备映射错误，源端为int None位	期望更改为text	实际备端为int None位</t>
        </is>
      </c>
      <c r="EH988" s="0" t="inlineStr">
        <is>
          <t>57行 2列，源：nan 备：</t>
        </is>
      </c>
      <c r="ES988" s="0" t="inlineStr">
        <is>
          <t>57行 2列，源：nan 备：0</t>
        </is>
      </c>
    </row>
    <row r="989">
      <c r="B989" s="0" t="inlineStr">
        <is>
          <t>NULL</t>
        </is>
      </c>
      <c r="C989" s="0" t="inlineStr">
        <is>
          <t>NULL</t>
        </is>
      </c>
      <c r="D989" s="0" t="inlineStr">
        <is>
          <t>NULL</t>
        </is>
      </c>
      <c r="E989" s="0" t="inlineStr">
        <is>
          <t>NULL</t>
        </is>
      </c>
      <c r="F989" s="0" t="inlineStr">
        <is>
          <t>NULL</t>
        </is>
      </c>
      <c r="G989" s="0" t="inlineStr">
        <is>
          <t>NULL</t>
        </is>
      </c>
      <c r="H989" s="0" t="inlineStr">
        <is>
          <t>NULL</t>
        </is>
      </c>
      <c r="I989" s="0" t="inlineStr">
        <is>
          <t>NULL</t>
        </is>
      </c>
      <c r="J989" s="0" t="inlineStr">
        <is>
          <t>NULL</t>
        </is>
      </c>
      <c r="K989" s="0" t="inlineStr">
        <is>
          <t xml:space="preserve"> NO!  	 c_datetime列源备映射错误，源端为datetime None位	期望更改为text	实际备端为datetime None位</t>
        </is>
      </c>
      <c r="EH989" s="0" t="inlineStr">
        <is>
          <t>57行 3列，源：nan 备：</t>
        </is>
      </c>
      <c r="ES989" s="0" t="inlineStr">
        <is>
          <t>57行 3列，源：nan 备：0</t>
        </is>
      </c>
    </row>
    <row r="990">
      <c r="A990" s="0" t="inlineStr">
        <is>
          <t>info_varcharmax_dml_batch1_pk</t>
        </is>
      </c>
      <c r="K990" s="0" t="inlineStr">
        <is>
          <t>[0;34m info_varcharmax_dml_batch1_pk [0m源备字段数相同，源端字段：3 	备端字段3</t>
        </is>
      </c>
      <c r="W990" s="0" t="inlineStr">
        <is>
          <t>YES 源备无差异</t>
        </is>
      </c>
      <c r="X990" s="0">
        <f>A990</f>
        <v/>
      </c>
      <c r="EH990" s="0" t="inlineStr">
        <is>
          <t>57行 4列，源：nan 备：</t>
        </is>
      </c>
      <c r="ES990" s="0" t="inlineStr">
        <is>
          <t>57行 4列，源：nan 备：0</t>
        </is>
      </c>
    </row>
    <row r="991">
      <c r="B991" s="0" t="inlineStr">
        <is>
          <t>YES</t>
        </is>
      </c>
      <c r="C991" s="0" t="inlineStr">
        <is>
          <t>NULL</t>
        </is>
      </c>
      <c r="D991" s="0" t="inlineStr">
        <is>
          <t>NULL</t>
        </is>
      </c>
      <c r="E991" s="0" t="inlineStr">
        <is>
          <t>NULL</t>
        </is>
      </c>
      <c r="F991" s="0" t="inlineStr">
        <is>
          <t>NULL</t>
        </is>
      </c>
      <c r="G991" s="0" t="inlineStr">
        <is>
          <t>NULL</t>
        </is>
      </c>
      <c r="H991" s="0" t="inlineStr">
        <is>
          <t>NULL</t>
        </is>
      </c>
      <c r="I991" s="0" t="inlineStr">
        <is>
          <t>YES!PK__info_var__3213E83F851CAA40</t>
        </is>
      </c>
      <c r="J991" s="0" t="inlineStr">
        <is>
          <t>YES! 主键相关索引</t>
        </is>
      </c>
      <c r="K991" s="0" t="inlineStr">
        <is>
          <t xml:space="preserve"> NO!  	 id列源备映射错误，源端为int None位	期望更改为text	实际备端为int None位</t>
        </is>
      </c>
      <c r="EH991" s="0" t="inlineStr">
        <is>
          <t>57行 5列，源：None 备：</t>
        </is>
      </c>
      <c r="ES991" s="0" t="inlineStr">
        <is>
          <t>57行 5列，源：None 备：</t>
        </is>
      </c>
    </row>
    <row r="992">
      <c r="B992" s="0" t="inlineStr">
        <is>
          <t>NULL</t>
        </is>
      </c>
      <c r="C992" s="0" t="inlineStr">
        <is>
          <t>NULL</t>
        </is>
      </c>
      <c r="D992" s="0" t="inlineStr">
        <is>
          <t>NULL</t>
        </is>
      </c>
      <c r="E992" s="0" t="inlineStr">
        <is>
          <t>NULL</t>
        </is>
      </c>
      <c r="F992" s="0" t="inlineStr">
        <is>
          <t>NULL</t>
        </is>
      </c>
      <c r="G992" s="0" t="inlineStr">
        <is>
          <t>NULL</t>
        </is>
      </c>
      <c r="H992" s="0" t="inlineStr">
        <is>
          <t>NULL</t>
        </is>
      </c>
      <c r="I992" s="0" t="inlineStr">
        <is>
          <t>NULL</t>
        </is>
      </c>
      <c r="J992" s="0" t="inlineStr">
        <is>
          <t>NULL</t>
        </is>
      </c>
      <c r="K992" s="0" t="inlineStr">
        <is>
          <t xml:space="preserve"> NO!  	 c_varchar_max列源备映射错误，源端为varchar -1位	期望更改为text	实际备端为varchar -1位</t>
        </is>
      </c>
      <c r="EH992" s="0" t="inlineStr">
        <is>
          <t>57行 6列，源：None 备：</t>
        </is>
      </c>
      <c r="ES992" s="0" t="inlineStr">
        <is>
          <t>57行 6列，源：None 备：</t>
        </is>
      </c>
    </row>
    <row r="993">
      <c r="B993" s="0" t="inlineStr">
        <is>
          <t>NULL</t>
        </is>
      </c>
      <c r="C993" s="0" t="inlineStr">
        <is>
          <t>NULL</t>
        </is>
      </c>
      <c r="D993" s="0" t="inlineStr">
        <is>
          <t>NULL</t>
        </is>
      </c>
      <c r="E993" s="0" t="inlineStr">
        <is>
          <t>NULL</t>
        </is>
      </c>
      <c r="F993" s="0" t="inlineStr">
        <is>
          <t>NULL</t>
        </is>
      </c>
      <c r="G993" s="0" t="inlineStr">
        <is>
          <t>NULL</t>
        </is>
      </c>
      <c r="H993" s="0" t="inlineStr">
        <is>
          <t>NULL</t>
        </is>
      </c>
      <c r="I993" s="0" t="inlineStr">
        <is>
          <t>NULL</t>
        </is>
      </c>
      <c r="J993" s="0" t="inlineStr">
        <is>
          <t>NULL</t>
        </is>
      </c>
      <c r="K993" s="0" t="inlineStr">
        <is>
          <t xml:space="preserve"> NO!  	 c_nvarchar_max列源备映射错误，源端为nvarchar -1位	期望更改为text	实际备端为nvarchar -1位</t>
        </is>
      </c>
      <c r="EH993" s="0" t="inlineStr">
        <is>
          <t>57行 7列，源：None 备：</t>
        </is>
      </c>
      <c r="ES993" s="0" t="inlineStr">
        <is>
          <t>57行 7列，源：None 备：</t>
        </is>
      </c>
    </row>
    <row r="994">
      <c r="K994" s="0" t="inlineStr">
        <is>
          <t>~ 空表</t>
        </is>
      </c>
      <c r="EH994" s="0" t="inlineStr">
        <is>
          <t>57行 8列，源：None 备：</t>
        </is>
      </c>
      <c r="ES994" s="0" t="inlineStr">
        <is>
          <t>57行 8列，源：None 备：</t>
        </is>
      </c>
    </row>
    <row r="995">
      <c r="A995" s="0" t="inlineStr">
        <is>
          <t>info_nvarchar_dml_batch1_pk_irp2</t>
        </is>
      </c>
      <c r="K995" s="0" t="inlineStr">
        <is>
          <t>[0;34m info_nvarchar_dml_batch1_pk_irp2 [0m源备字段数相同，源端字段：4 	备端字段4</t>
        </is>
      </c>
      <c r="W995" s="2">
        <f>HYPERLINK("#2026041905hbase4!DN2","NO 源备存在差异，共167个")</f>
        <v/>
      </c>
      <c r="X995" s="0">
        <f>A995</f>
        <v/>
      </c>
      <c r="EH995" s="0" t="inlineStr">
        <is>
          <t>57行 9列，源：None 备：</t>
        </is>
      </c>
      <c r="ES995" s="0" t="inlineStr">
        <is>
          <t>57行 9列，源：None 备：</t>
        </is>
      </c>
    </row>
    <row r="996">
      <c r="B996" s="0" t="inlineStr">
        <is>
          <t>YES</t>
        </is>
      </c>
      <c r="C996" s="0" t="inlineStr">
        <is>
          <t>NULL</t>
        </is>
      </c>
      <c r="D996" s="0" t="inlineStr">
        <is>
          <t>NULL</t>
        </is>
      </c>
      <c r="E996" s="0" t="inlineStr">
        <is>
          <t>NULL</t>
        </is>
      </c>
      <c r="F996" s="0" t="inlineStr">
        <is>
          <t>NULL</t>
        </is>
      </c>
      <c r="G996" s="0" t="inlineStr">
        <is>
          <t>NULL</t>
        </is>
      </c>
      <c r="H996" s="0" t="inlineStr">
        <is>
          <t>NULL</t>
        </is>
      </c>
      <c r="I996" s="0" t="inlineStr">
        <is>
          <t>YES!PK__info_nva__3213E83F7738A04F</t>
        </is>
      </c>
      <c r="J996" s="0" t="inlineStr">
        <is>
          <t>YES! 主键相关索引</t>
        </is>
      </c>
      <c r="K996" s="0" t="inlineStr">
        <is>
          <t xml:space="preserve"> NO!  	 id列源备映射错误，源端为int None位	期望更改为text	实际备端为int None位</t>
        </is>
      </c>
      <c r="EH996" s="0" t="inlineStr">
        <is>
          <t>57行 10列，源：None 备：</t>
        </is>
      </c>
      <c r="ES996" s="0" t="inlineStr">
        <is>
          <t>57行 10列，源：None 备：</t>
        </is>
      </c>
    </row>
    <row r="997">
      <c r="B997" s="0" t="inlineStr">
        <is>
          <t>NULL</t>
        </is>
      </c>
      <c r="C997" s="0" t="inlineStr">
        <is>
          <t>NULL</t>
        </is>
      </c>
      <c r="D997" s="0" t="inlineStr">
        <is>
          <t>NULL</t>
        </is>
      </c>
      <c r="E997" s="0" t="inlineStr">
        <is>
          <t>NULL</t>
        </is>
      </c>
      <c r="F997" s="0" t="inlineStr">
        <is>
          <t>NULL</t>
        </is>
      </c>
      <c r="G997" s="0" t="inlineStr">
        <is>
          <t>NULL</t>
        </is>
      </c>
      <c r="H997" s="0" t="inlineStr">
        <is>
          <t>NULL</t>
        </is>
      </c>
      <c r="I997" s="0" t="inlineStr">
        <is>
          <t>NULL</t>
        </is>
      </c>
      <c r="J997" s="0" t="inlineStr">
        <is>
          <t>NULL</t>
        </is>
      </c>
      <c r="K997" s="0" t="inlineStr">
        <is>
          <t xml:space="preserve"> NO!  	 c_nvarchar列源备映射错误，源端为nvarchar 2位	期望更改为text	实际备端为nvarchar 2位</t>
        </is>
      </c>
      <c r="EH997" s="0" t="inlineStr">
        <is>
          <t>57行 11列，源：None 备：</t>
        </is>
      </c>
      <c r="ES997" s="0" t="inlineStr">
        <is>
          <t>57行 11列，源：None 备：</t>
        </is>
      </c>
    </row>
    <row r="998">
      <c r="B998" s="0" t="inlineStr">
        <is>
          <t>NULL</t>
        </is>
      </c>
      <c r="C998" s="0" t="inlineStr">
        <is>
          <t>NULL</t>
        </is>
      </c>
      <c r="D998" s="0" t="inlineStr">
        <is>
          <t>NULL</t>
        </is>
      </c>
      <c r="E998" s="0" t="inlineStr">
        <is>
          <t>NULL</t>
        </is>
      </c>
      <c r="F998" s="0" t="inlineStr">
        <is>
          <t>NULL</t>
        </is>
      </c>
      <c r="G998" s="0" t="inlineStr">
        <is>
          <t>NULL</t>
        </is>
      </c>
      <c r="H998" s="0" t="inlineStr">
        <is>
          <t>NULL</t>
        </is>
      </c>
      <c r="I998" s="0" t="inlineStr">
        <is>
          <t>NULL</t>
        </is>
      </c>
      <c r="J998" s="0" t="inlineStr">
        <is>
          <t>NULL</t>
        </is>
      </c>
      <c r="K998" s="0" t="inlineStr">
        <is>
          <t xml:space="preserve"> NO!  	 c_nvarchar20列源备映射错误，源端为nvarchar 40位	期望更改为text	实际备端为nvarchar 40位</t>
        </is>
      </c>
      <c r="EH998" s="0" t="inlineStr">
        <is>
          <t>57行 12列，源：None 备：</t>
        </is>
      </c>
      <c r="ES998" s="0" t="inlineStr">
        <is>
          <t>57行 12列，源：None 备：</t>
        </is>
      </c>
    </row>
    <row r="999">
      <c r="B999" s="0" t="inlineStr">
        <is>
          <t>NULL</t>
        </is>
      </c>
      <c r="C999" s="0" t="inlineStr">
        <is>
          <t>NULL</t>
        </is>
      </c>
      <c r="D999" s="0" t="inlineStr">
        <is>
          <t>NULL</t>
        </is>
      </c>
      <c r="E999" s="0" t="inlineStr">
        <is>
          <t>NULL</t>
        </is>
      </c>
      <c r="F999" s="0" t="inlineStr">
        <is>
          <t>NULL</t>
        </is>
      </c>
      <c r="G999" s="0" t="inlineStr">
        <is>
          <t>NULL</t>
        </is>
      </c>
      <c r="H999" s="0" t="inlineStr">
        <is>
          <t>NULL</t>
        </is>
      </c>
      <c r="I999" s="0" t="inlineStr">
        <is>
          <t>NULL</t>
        </is>
      </c>
      <c r="J999" s="0" t="inlineStr">
        <is>
          <t>NULL</t>
        </is>
      </c>
      <c r="K999" s="0" t="inlineStr">
        <is>
          <t xml:space="preserve"> NO!  	 c_nvarchar3500列源备映射错误，源端为nvarchar 7000位	期望更改为text	实际备端为nvarchar 7000位</t>
        </is>
      </c>
      <c r="EH999" s="0" t="inlineStr">
        <is>
          <t>57行 13列，源：None 备：</t>
        </is>
      </c>
      <c r="ES999" s="0" t="inlineStr">
        <is>
          <t>57行 13列，源：None 备：</t>
        </is>
      </c>
    </row>
    <row r="1000">
      <c r="A1000" s="0" t="inlineStr">
        <is>
          <t>info_uniqueidentifier_dml_single_pk_irp</t>
        </is>
      </c>
      <c r="K1000" s="0" t="inlineStr">
        <is>
          <t>[0;34m info_uniqueidentifier_dml_single_pk_irp [0m源备字段数相同，源端字段：2 	备端字段2</t>
        </is>
      </c>
      <c r="W1000" s="2">
        <f>HYPERLINK("#2026041905hbase4!DO2","NO 源备存在差异，共1个")</f>
        <v/>
      </c>
      <c r="X1000" s="0">
        <f>A1000</f>
        <v/>
      </c>
      <c r="EH1000" s="0" t="inlineStr">
        <is>
          <t>57行 14列，源：None 备：</t>
        </is>
      </c>
      <c r="ES1000" s="0" t="inlineStr">
        <is>
          <t>57行 14列，源：None 备：</t>
        </is>
      </c>
    </row>
    <row r="1001">
      <c r="B1001" s="0" t="inlineStr">
        <is>
          <t>YES</t>
        </is>
      </c>
      <c r="C1001" s="0" t="inlineStr">
        <is>
          <t>NULL</t>
        </is>
      </c>
      <c r="D1001" s="0" t="inlineStr">
        <is>
          <t>NULL</t>
        </is>
      </c>
      <c r="E1001" s="0" t="inlineStr">
        <is>
          <t>NULL</t>
        </is>
      </c>
      <c r="F1001" s="0" t="inlineStr">
        <is>
          <t>NULL</t>
        </is>
      </c>
      <c r="G1001" s="0" t="inlineStr">
        <is>
          <t>NULL</t>
        </is>
      </c>
      <c r="H1001" s="0" t="inlineStr">
        <is>
          <t>NULL</t>
        </is>
      </c>
      <c r="I1001" s="0" t="inlineStr">
        <is>
          <t>YES!PK__info_uni__3213E83F7F8016AD</t>
        </is>
      </c>
      <c r="J1001" s="0" t="inlineStr">
        <is>
          <t>YES! 主键相关索引</t>
        </is>
      </c>
      <c r="K1001" s="0" t="inlineStr">
        <is>
          <t xml:space="preserve"> NO!  	 id列源备映射错误，源端为int None位	期望更改为text	实际备端为int None位</t>
        </is>
      </c>
      <c r="EH1001" s="0" t="inlineStr">
        <is>
          <t>57行 15列，源：nan 备：</t>
        </is>
      </c>
      <c r="ES1001" s="0" t="inlineStr">
        <is>
          <t>57行 15列，源：nan 备：</t>
        </is>
      </c>
    </row>
    <row r="1002">
      <c r="B1002" s="0" t="inlineStr">
        <is>
          <t>NULL</t>
        </is>
      </c>
      <c r="C1002" s="0" t="inlineStr">
        <is>
          <t>NULL</t>
        </is>
      </c>
      <c r="D1002" s="0" t="inlineStr">
        <is>
          <t>NULL</t>
        </is>
      </c>
      <c r="E1002" s="0" t="inlineStr">
        <is>
          <t>NULL</t>
        </is>
      </c>
      <c r="F1002" s="0" t="inlineStr">
        <is>
          <t>NULL</t>
        </is>
      </c>
      <c r="G1002" s="0" t="inlineStr">
        <is>
          <t>NULL</t>
        </is>
      </c>
      <c r="H1002" s="0" t="inlineStr">
        <is>
          <t>NULL</t>
        </is>
      </c>
      <c r="I1002" s="0" t="inlineStr">
        <is>
          <t>NULL</t>
        </is>
      </c>
      <c r="J1002" s="0" t="inlineStr">
        <is>
          <t>NULL</t>
        </is>
      </c>
      <c r="K1002" s="0" t="inlineStr">
        <is>
          <t xml:space="preserve"> NO!  	 c_uniqueidentifier列源备映射错误，源端为uniqueidentifier None位	期望更改为text	实际备端为uniqueidentifier None位</t>
        </is>
      </c>
      <c r="EH1002" s="0" t="inlineStr">
        <is>
          <t>57行 16列，源：nan 备：</t>
        </is>
      </c>
      <c r="ES1002" s="0" t="inlineStr">
        <is>
          <t>57行 16列，源：nan 备：</t>
        </is>
      </c>
    </row>
    <row r="1003">
      <c r="A1003" s="0" t="inlineStr">
        <is>
          <t>info_datetime2_dml_single_pk_irp</t>
        </is>
      </c>
      <c r="K1003" s="0" t="inlineStr">
        <is>
          <t>[0;34m info_datetime2_dml_single_pk_irp [0m源备字段数相同，源端字段：9 	备端字段9</t>
        </is>
      </c>
      <c r="W1003" s="2">
        <f>HYPERLINK("#2026041905hbase4!DP2","NO 源备存在差异，共28个")</f>
        <v/>
      </c>
      <c r="X1003" s="0">
        <f>A1003</f>
        <v/>
      </c>
      <c r="EH1003" s="0" t="inlineStr">
        <is>
          <t>57行 17列，源：None 备：</t>
        </is>
      </c>
      <c r="ES1003" s="0" t="inlineStr">
        <is>
          <t>57行 17列，源：None 备：</t>
        </is>
      </c>
    </row>
    <row r="1004">
      <c r="B1004" s="0" t="inlineStr">
        <is>
          <t>YES</t>
        </is>
      </c>
      <c r="C1004" s="0" t="inlineStr">
        <is>
          <t>NULL</t>
        </is>
      </c>
      <c r="D1004" s="0" t="inlineStr">
        <is>
          <t>NULL</t>
        </is>
      </c>
      <c r="E1004" s="0" t="inlineStr">
        <is>
          <t>NULL</t>
        </is>
      </c>
      <c r="F1004" s="0" t="inlineStr">
        <is>
          <t>NULL</t>
        </is>
      </c>
      <c r="G1004" s="0" t="inlineStr">
        <is>
          <t>NULL</t>
        </is>
      </c>
      <c r="H1004" s="0" t="inlineStr">
        <is>
          <t>NULL</t>
        </is>
      </c>
      <c r="I1004" s="0" t="inlineStr">
        <is>
          <t>YES!PK__info_dat__3213E83FFAA36BE4</t>
        </is>
      </c>
      <c r="J1004" s="0" t="inlineStr">
        <is>
          <t>YES! 主键相关索引</t>
        </is>
      </c>
      <c r="K1004" s="0" t="inlineStr">
        <is>
          <t xml:space="preserve"> NO!  	 id列源备映射错误，源端为int None位	期望更改为text	实际备端为int None位</t>
        </is>
      </c>
      <c r="EH1004" s="0" t="inlineStr">
        <is>
          <t>57行 18列，源：None 备：</t>
        </is>
      </c>
      <c r="ES1004" s="0" t="inlineStr">
        <is>
          <t>57行 18列，源：None 备：</t>
        </is>
      </c>
    </row>
    <row r="1005">
      <c r="B1005" s="0" t="inlineStr">
        <is>
          <t>NULL</t>
        </is>
      </c>
      <c r="C1005" s="0" t="inlineStr">
        <is>
          <t>NULL</t>
        </is>
      </c>
      <c r="D1005" s="0" t="inlineStr">
        <is>
          <t>NULL</t>
        </is>
      </c>
      <c r="E1005" s="0" t="inlineStr">
        <is>
          <t>NULL</t>
        </is>
      </c>
      <c r="F1005" s="0" t="inlineStr">
        <is>
          <t>NULL</t>
        </is>
      </c>
      <c r="G1005" s="0" t="inlineStr">
        <is>
          <t>NULL</t>
        </is>
      </c>
      <c r="H1005" s="0" t="inlineStr">
        <is>
          <t>NULL</t>
        </is>
      </c>
      <c r="I1005" s="0" t="inlineStr">
        <is>
          <t>NULL</t>
        </is>
      </c>
      <c r="J1005" s="0" t="inlineStr">
        <is>
          <t>NULL</t>
        </is>
      </c>
      <c r="K1005" s="0" t="inlineStr">
        <is>
          <t xml:space="preserve"> NO!  	 c_dt2_0列源备映射错误，源端为datetime2 None位	期望更改为text	实际备端为datetime2 None位</t>
        </is>
      </c>
      <c r="EH1005" s="0" t="inlineStr">
        <is>
          <t>57行 19列，源：None 备：</t>
        </is>
      </c>
      <c r="ES1005" s="0" t="inlineStr">
        <is>
          <t>57行 19列，源：None 备：</t>
        </is>
      </c>
    </row>
    <row r="1006">
      <c r="B1006" s="0" t="inlineStr">
        <is>
          <t>NULL</t>
        </is>
      </c>
      <c r="C1006" s="0" t="inlineStr">
        <is>
          <t>NULL</t>
        </is>
      </c>
      <c r="D1006" s="0" t="inlineStr">
        <is>
          <t>NULL</t>
        </is>
      </c>
      <c r="E1006" s="0" t="inlineStr">
        <is>
          <t>NULL</t>
        </is>
      </c>
      <c r="F1006" s="0" t="inlineStr">
        <is>
          <t>NULL</t>
        </is>
      </c>
      <c r="G1006" s="0" t="inlineStr">
        <is>
          <t>NULL</t>
        </is>
      </c>
      <c r="H1006" s="0" t="inlineStr">
        <is>
          <t>NULL</t>
        </is>
      </c>
      <c r="I1006" s="0" t="inlineStr">
        <is>
          <t>NULL</t>
        </is>
      </c>
      <c r="J1006" s="0" t="inlineStr">
        <is>
          <t>NULL</t>
        </is>
      </c>
      <c r="K1006" s="0" t="inlineStr">
        <is>
          <t xml:space="preserve"> NO!  	 c_dt2_1列源备映射错误，源端为datetime2 None位	期望更改为text	实际备端为datetime2 None位</t>
        </is>
      </c>
      <c r="EH1006" s="0" t="inlineStr">
        <is>
          <t>58行 0列，源：119 备：206</t>
        </is>
      </c>
      <c r="ES1006" s="0" t="inlineStr">
        <is>
          <t>58行 0列，源：119 备：502</t>
        </is>
      </c>
    </row>
    <row r="1007">
      <c r="B1007" s="0" t="inlineStr">
        <is>
          <t>NULL</t>
        </is>
      </c>
      <c r="C1007" s="0" t="inlineStr">
        <is>
          <t>NULL</t>
        </is>
      </c>
      <c r="D1007" s="0" t="inlineStr">
        <is>
          <t>NULL</t>
        </is>
      </c>
      <c r="E1007" s="0" t="inlineStr">
        <is>
          <t>NULL</t>
        </is>
      </c>
      <c r="F1007" s="0" t="inlineStr">
        <is>
          <t>NULL</t>
        </is>
      </c>
      <c r="G1007" s="0" t="inlineStr">
        <is>
          <t>NULL</t>
        </is>
      </c>
      <c r="H1007" s="0" t="inlineStr">
        <is>
          <t>NULL</t>
        </is>
      </c>
      <c r="I1007" s="0" t="inlineStr">
        <is>
          <t>NULL</t>
        </is>
      </c>
      <c r="J1007" s="0" t="inlineStr">
        <is>
          <t>NULL</t>
        </is>
      </c>
      <c r="K1007" s="0" t="inlineStr">
        <is>
          <t xml:space="preserve"> NO!  	 c_dt2_2列源备映射错误，源端为datetime2 None位	期望更改为text	实际备端为datetime2 None位</t>
        </is>
      </c>
      <c r="EH1007" s="0" t="inlineStr">
        <is>
          <t>58行 1列，源：nan 备：</t>
        </is>
      </c>
      <c r="ES1007" s="0" t="inlineStr">
        <is>
          <t>58行 1列，源：nan 备：</t>
        </is>
      </c>
    </row>
    <row r="1008">
      <c r="B1008" s="0" t="inlineStr">
        <is>
          <t>NULL</t>
        </is>
      </c>
      <c r="C1008" s="0" t="inlineStr">
        <is>
          <t>NULL</t>
        </is>
      </c>
      <c r="D1008" s="0" t="inlineStr">
        <is>
          <t>NULL</t>
        </is>
      </c>
      <c r="E1008" s="0" t="inlineStr">
        <is>
          <t>NULL</t>
        </is>
      </c>
      <c r="F1008" s="0" t="inlineStr">
        <is>
          <t>NULL</t>
        </is>
      </c>
      <c r="G1008" s="0" t="inlineStr">
        <is>
          <t>NULL</t>
        </is>
      </c>
      <c r="H1008" s="0" t="inlineStr">
        <is>
          <t>NULL</t>
        </is>
      </c>
      <c r="I1008" s="0" t="inlineStr">
        <is>
          <t>NULL</t>
        </is>
      </c>
      <c r="J1008" s="0" t="inlineStr">
        <is>
          <t>NULL</t>
        </is>
      </c>
      <c r="K1008" s="0" t="inlineStr">
        <is>
          <t xml:space="preserve"> NO!  	 c_dt2_3列源备映射错误，源端为datetime2 None位	期望更改为text	实际备端为datetime2 None位</t>
        </is>
      </c>
      <c r="EH1008" s="0" t="inlineStr">
        <is>
          <t>58行 2列，源：nan 备：</t>
        </is>
      </c>
      <c r="ES1008" s="0" t="inlineStr">
        <is>
          <t>58行 2列，源：nan 备：</t>
        </is>
      </c>
    </row>
    <row r="1009">
      <c r="B1009" s="0" t="inlineStr">
        <is>
          <t>NULL</t>
        </is>
      </c>
      <c r="C1009" s="0" t="inlineStr">
        <is>
          <t>NULL</t>
        </is>
      </c>
      <c r="D1009" s="0" t="inlineStr">
        <is>
          <t>NULL</t>
        </is>
      </c>
      <c r="E1009" s="0" t="inlineStr">
        <is>
          <t>NULL</t>
        </is>
      </c>
      <c r="F1009" s="0" t="inlineStr">
        <is>
          <t>NULL</t>
        </is>
      </c>
      <c r="G1009" s="0" t="inlineStr">
        <is>
          <t>NULL</t>
        </is>
      </c>
      <c r="H1009" s="0" t="inlineStr">
        <is>
          <t>NULL</t>
        </is>
      </c>
      <c r="I1009" s="0" t="inlineStr">
        <is>
          <t>NULL</t>
        </is>
      </c>
      <c r="J1009" s="0" t="inlineStr">
        <is>
          <t>NULL</t>
        </is>
      </c>
      <c r="K1009" s="0" t="inlineStr">
        <is>
          <t xml:space="preserve"> NO!  	 c_dt2_4列源备映射错误，源端为datetime2 None位	期望更改为text	实际备端为datetime2 None位</t>
        </is>
      </c>
      <c r="EH1009" s="0" t="inlineStr">
        <is>
          <t>58行 3列，源：nan 备：</t>
        </is>
      </c>
      <c r="ES1009" s="0" t="inlineStr">
        <is>
          <t>58行 3列，源：nan 备：</t>
        </is>
      </c>
    </row>
    <row r="1010">
      <c r="B1010" s="0" t="inlineStr">
        <is>
          <t>NULL</t>
        </is>
      </c>
      <c r="C1010" s="0" t="inlineStr">
        <is>
          <t>NULL</t>
        </is>
      </c>
      <c r="D1010" s="0" t="inlineStr">
        <is>
          <t>NULL</t>
        </is>
      </c>
      <c r="E1010" s="0" t="inlineStr">
        <is>
          <t>NULL</t>
        </is>
      </c>
      <c r="F1010" s="0" t="inlineStr">
        <is>
          <t>NULL</t>
        </is>
      </c>
      <c r="G1010" s="0" t="inlineStr">
        <is>
          <t>NULL</t>
        </is>
      </c>
      <c r="H1010" s="0" t="inlineStr">
        <is>
          <t>NULL</t>
        </is>
      </c>
      <c r="I1010" s="0" t="inlineStr">
        <is>
          <t>NULL</t>
        </is>
      </c>
      <c r="J1010" s="0" t="inlineStr">
        <is>
          <t>NULL</t>
        </is>
      </c>
      <c r="K1010" s="0" t="inlineStr">
        <is>
          <t xml:space="preserve"> NO!  	 c_dt2_5列源备映射错误，源端为datetime2 None位	期望更改为text	实际备端为datetime2 None位</t>
        </is>
      </c>
      <c r="EH1010" s="0" t="inlineStr">
        <is>
          <t>58行 4列，源：nan 备：</t>
        </is>
      </c>
      <c r="ES1010" s="0" t="inlineStr">
        <is>
          <t>58行 4列，源：nan 备：</t>
        </is>
      </c>
    </row>
    <row r="1011">
      <c r="B1011" s="0" t="inlineStr">
        <is>
          <t>NULL</t>
        </is>
      </c>
      <c r="C1011" s="0" t="inlineStr">
        <is>
          <t>NULL</t>
        </is>
      </c>
      <c r="D1011" s="0" t="inlineStr">
        <is>
          <t>NULL</t>
        </is>
      </c>
      <c r="E1011" s="0" t="inlineStr">
        <is>
          <t>NULL</t>
        </is>
      </c>
      <c r="F1011" s="0" t="inlineStr">
        <is>
          <t>NULL</t>
        </is>
      </c>
      <c r="G1011" s="0" t="inlineStr">
        <is>
          <t>NULL</t>
        </is>
      </c>
      <c r="H1011" s="0" t="inlineStr">
        <is>
          <t>NULL</t>
        </is>
      </c>
      <c r="I1011" s="0" t="inlineStr">
        <is>
          <t>NULL</t>
        </is>
      </c>
      <c r="J1011" s="0" t="inlineStr">
        <is>
          <t>NULL</t>
        </is>
      </c>
      <c r="K1011" s="0" t="inlineStr">
        <is>
          <t xml:space="preserve"> NO!  	 c_dt2_6列源备映射错误，源端为datetime2 None位	期望更改为text	实际备端为datetime2 None位</t>
        </is>
      </c>
      <c r="EH1011" s="0" t="inlineStr">
        <is>
          <t>58行 5列，源：None 备：</t>
        </is>
      </c>
      <c r="ES1011" s="0" t="inlineStr">
        <is>
          <t>58行 5列，源：None 备：999999999999999999</t>
        </is>
      </c>
    </row>
    <row r="1012">
      <c r="B1012" s="0" t="inlineStr">
        <is>
          <t>NULL</t>
        </is>
      </c>
      <c r="C1012" s="0" t="inlineStr">
        <is>
          <t>NULL</t>
        </is>
      </c>
      <c r="D1012" s="0" t="inlineStr">
        <is>
          <t>NULL</t>
        </is>
      </c>
      <c r="E1012" s="0" t="inlineStr">
        <is>
          <t>NULL</t>
        </is>
      </c>
      <c r="F1012" s="0" t="inlineStr">
        <is>
          <t>NULL</t>
        </is>
      </c>
      <c r="G1012" s="0" t="inlineStr">
        <is>
          <t>NULL</t>
        </is>
      </c>
      <c r="H1012" s="0" t="inlineStr">
        <is>
          <t>NULL</t>
        </is>
      </c>
      <c r="I1012" s="0" t="inlineStr">
        <is>
          <t>NULL</t>
        </is>
      </c>
      <c r="J1012" s="0" t="inlineStr">
        <is>
          <t>NULL</t>
        </is>
      </c>
      <c r="K1012" s="0" t="inlineStr">
        <is>
          <t xml:space="preserve"> NO!  	 c_dt2列源备映射错误，源端为datetime2 None位	期望更改为text	实际备端为datetime2 None位</t>
        </is>
      </c>
      <c r="EH1012" s="0" t="inlineStr">
        <is>
          <t>58行 6列，源：None 备：</t>
        </is>
      </c>
      <c r="ES1012" s="0" t="inlineStr">
        <is>
          <t>58行 6列，源：None 备：99999999999999999999999999999999999999</t>
        </is>
      </c>
    </row>
    <row r="1013">
      <c r="A1013" s="0" t="inlineStr">
        <is>
          <t>info_char_dml_single_pk</t>
        </is>
      </c>
      <c r="K1013" s="0" t="inlineStr">
        <is>
          <t>[0;34m info_char_dml_single_pk [0m源备字段数相同，源端字段：4 	备端字段4</t>
        </is>
      </c>
      <c r="W1013" s="0" t="inlineStr">
        <is>
          <t>YES 源备无差异</t>
        </is>
      </c>
      <c r="X1013" s="0">
        <f>A1013</f>
        <v/>
      </c>
      <c r="EH1013" s="0" t="inlineStr">
        <is>
          <t>58行 7列，源：None 备：</t>
        </is>
      </c>
      <c r="ES1013" s="0" t="inlineStr">
        <is>
          <t>58行 7列，源：None 备：0.99999999999999999999999999999999999999</t>
        </is>
      </c>
    </row>
    <row r="1014">
      <c r="B1014" s="0" t="inlineStr">
        <is>
          <t>YES</t>
        </is>
      </c>
      <c r="C1014" s="0" t="inlineStr">
        <is>
          <t>NULL</t>
        </is>
      </c>
      <c r="D1014" s="0" t="inlineStr">
        <is>
          <t>NULL</t>
        </is>
      </c>
      <c r="E1014" s="0" t="inlineStr">
        <is>
          <t>NULL</t>
        </is>
      </c>
      <c r="F1014" s="0" t="inlineStr">
        <is>
          <t>NULL</t>
        </is>
      </c>
      <c r="G1014" s="0" t="inlineStr">
        <is>
          <t>NULL</t>
        </is>
      </c>
      <c r="H1014" s="0" t="inlineStr">
        <is>
          <t>NULL</t>
        </is>
      </c>
      <c r="I1014" s="0" t="inlineStr">
        <is>
          <t>YES!PK__info_cha__3213E83F9FFC7CB1</t>
        </is>
      </c>
      <c r="J1014" s="0" t="inlineStr">
        <is>
          <t>YES! 主键相关索引</t>
        </is>
      </c>
      <c r="K1014" s="0" t="inlineStr">
        <is>
          <t xml:space="preserve"> NO!  	 id列源备映射错误，源端为int None位	期望更改为text	实际备端为int None位</t>
        </is>
      </c>
      <c r="EH1014" s="0" t="inlineStr">
        <is>
          <t>58行 8列，源：None 备：</t>
        </is>
      </c>
      <c r="ES1014" s="0" t="inlineStr">
        <is>
          <t>58行 8列，源：None 备：9999999999999999999999999999.9999999999</t>
        </is>
      </c>
    </row>
    <row r="1015">
      <c r="B1015" s="0" t="inlineStr">
        <is>
          <t>NULL</t>
        </is>
      </c>
      <c r="C1015" s="0" t="inlineStr">
        <is>
          <t>NULL</t>
        </is>
      </c>
      <c r="D1015" s="0" t="inlineStr">
        <is>
          <t>NULL</t>
        </is>
      </c>
      <c r="E1015" s="0" t="inlineStr">
        <is>
          <t>NULL</t>
        </is>
      </c>
      <c r="F1015" s="0" t="inlineStr">
        <is>
          <t>NULL</t>
        </is>
      </c>
      <c r="G1015" s="0" t="inlineStr">
        <is>
          <t>NULL</t>
        </is>
      </c>
      <c r="H1015" s="0" t="inlineStr">
        <is>
          <t>NULL</t>
        </is>
      </c>
      <c r="I1015" s="0" t="inlineStr">
        <is>
          <t>NULL</t>
        </is>
      </c>
      <c r="J1015" s="0" t="inlineStr">
        <is>
          <t>NULL</t>
        </is>
      </c>
      <c r="K1015" s="0" t="inlineStr">
        <is>
          <t xml:space="preserve"> NO!  	 c_char列源备映射错误，源端为char 1位	期望更改为text	实际备端为char 1位</t>
        </is>
      </c>
      <c r="EH1015" s="0" t="inlineStr">
        <is>
          <t>58行 9列，源：None 备：</t>
        </is>
      </c>
      <c r="ES1015" s="0" t="inlineStr">
        <is>
          <t>58行 9列，源：None 备：999999999999999.9999</t>
        </is>
      </c>
    </row>
    <row r="1016">
      <c r="B1016" s="0" t="inlineStr">
        <is>
          <t>NULL</t>
        </is>
      </c>
      <c r="C1016" s="0" t="inlineStr">
        <is>
          <t>NULL</t>
        </is>
      </c>
      <c r="D1016" s="0" t="inlineStr">
        <is>
          <t>NULL</t>
        </is>
      </c>
      <c r="E1016" s="0" t="inlineStr">
        <is>
          <t>NULL</t>
        </is>
      </c>
      <c r="F1016" s="0" t="inlineStr">
        <is>
          <t>NULL</t>
        </is>
      </c>
      <c r="G1016" s="0" t="inlineStr">
        <is>
          <t>NULL</t>
        </is>
      </c>
      <c r="H1016" s="0" t="inlineStr">
        <is>
          <t>NULL</t>
        </is>
      </c>
      <c r="I1016" s="0" t="inlineStr">
        <is>
          <t>NULL</t>
        </is>
      </c>
      <c r="J1016" s="0" t="inlineStr">
        <is>
          <t>NULL</t>
        </is>
      </c>
      <c r="K1016" s="0" t="inlineStr">
        <is>
          <t xml:space="preserve"> NO!  	 c_char20列源备映射错误，源端为char 20位	期望更改为text	实际备端为char 20位</t>
        </is>
      </c>
      <c r="EH1016" s="0" t="inlineStr">
        <is>
          <t>58行 10列，源：None 备：</t>
        </is>
      </c>
      <c r="ES1016" s="0" t="inlineStr">
        <is>
          <t>58行 10列，源：None 备：999999999999999999</t>
        </is>
      </c>
    </row>
    <row r="1017">
      <c r="B1017" s="0" t="inlineStr">
        <is>
          <t>NULL</t>
        </is>
      </c>
      <c r="C1017" s="0" t="inlineStr">
        <is>
          <t>NULL</t>
        </is>
      </c>
      <c r="D1017" s="0" t="inlineStr">
        <is>
          <t>NULL</t>
        </is>
      </c>
      <c r="E1017" s="0" t="inlineStr">
        <is>
          <t>NULL</t>
        </is>
      </c>
      <c r="F1017" s="0" t="inlineStr">
        <is>
          <t>NULL</t>
        </is>
      </c>
      <c r="G1017" s="0" t="inlineStr">
        <is>
          <t>NULL</t>
        </is>
      </c>
      <c r="H1017" s="0" t="inlineStr">
        <is>
          <t>NULL</t>
        </is>
      </c>
      <c r="I1017" s="0" t="inlineStr">
        <is>
          <t>NULL</t>
        </is>
      </c>
      <c r="J1017" s="0" t="inlineStr">
        <is>
          <t>NULL</t>
        </is>
      </c>
      <c r="K1017" s="0" t="inlineStr">
        <is>
          <t xml:space="preserve"> NO!  	 c_char7000列源备映射错误，源端为char 7000位	期望更改为text	实际备端为char 7000位</t>
        </is>
      </c>
      <c r="EH1017" s="0" t="inlineStr">
        <is>
          <t>58行 11列，源：None 备：</t>
        </is>
      </c>
      <c r="ES1017" s="0" t="inlineStr">
        <is>
          <t>58行 11列，源：None 备：99999999999999999999999999999999999999</t>
        </is>
      </c>
    </row>
    <row r="1018">
      <c r="A1018" s="0" t="inlineStr">
        <is>
          <t>info_varbinary_dml_batch1_pk_irp1</t>
        </is>
      </c>
      <c r="K1018" s="0" t="inlineStr">
        <is>
          <t>[0;34m info_varbinary_dml_batch1_pk_irp1 [0m源备字段数相同，源端字段：4 	备端字段4</t>
        </is>
      </c>
      <c r="W1018" s="2">
        <f>HYPERLINK("#2026041905hbase4!DQ2","NO 源备存在差异，共39个")</f>
        <v/>
      </c>
      <c r="X1018" s="0">
        <f>A1018</f>
        <v/>
      </c>
      <c r="EH1018" s="0" t="inlineStr">
        <is>
          <t>58行 12列，源：None 备：</t>
        </is>
      </c>
      <c r="ES1018" s="0" t="inlineStr">
        <is>
          <t>58行 12列，源：None 备：0.99999999999999999999999999999999999999</t>
        </is>
      </c>
    </row>
    <row r="1019">
      <c r="B1019" s="0" t="inlineStr">
        <is>
          <t>YES</t>
        </is>
      </c>
      <c r="C1019" s="0" t="inlineStr">
        <is>
          <t>NULL</t>
        </is>
      </c>
      <c r="D1019" s="0" t="inlineStr">
        <is>
          <t>NULL</t>
        </is>
      </c>
      <c r="E1019" s="0" t="inlineStr">
        <is>
          <t>NULL</t>
        </is>
      </c>
      <c r="F1019" s="0" t="inlineStr">
        <is>
          <t>NULL</t>
        </is>
      </c>
      <c r="G1019" s="0" t="inlineStr">
        <is>
          <t>NULL</t>
        </is>
      </c>
      <c r="H1019" s="0" t="inlineStr">
        <is>
          <t>NULL</t>
        </is>
      </c>
      <c r="I1019" s="0" t="inlineStr">
        <is>
          <t>YES!PK__info_var__3213E83F05B6F328</t>
        </is>
      </c>
      <c r="J1019" s="0" t="inlineStr">
        <is>
          <t>YES! 主键相关索引</t>
        </is>
      </c>
      <c r="K1019" s="0" t="inlineStr">
        <is>
          <t xml:space="preserve"> NO!  	 id列源备映射错误，源端为int None位	期望更改为text	实际备端为int None位</t>
        </is>
      </c>
      <c r="EH1019" s="0" t="inlineStr">
        <is>
          <t>58行 13列，源：None 备：</t>
        </is>
      </c>
      <c r="ES1019" s="0" t="inlineStr">
        <is>
          <t>58行 13列，源：None 备：9999999999999999999999999999.9999999999</t>
        </is>
      </c>
    </row>
    <row r="1020">
      <c r="B1020" s="0" t="inlineStr">
        <is>
          <t>NULL</t>
        </is>
      </c>
      <c r="C1020" s="0" t="inlineStr">
        <is>
          <t>NULL</t>
        </is>
      </c>
      <c r="D1020" s="0" t="inlineStr">
        <is>
          <t>NULL</t>
        </is>
      </c>
      <c r="E1020" s="0" t="inlineStr">
        <is>
          <t>NULL</t>
        </is>
      </c>
      <c r="F1020" s="0" t="inlineStr">
        <is>
          <t>NULL</t>
        </is>
      </c>
      <c r="G1020" s="0" t="inlineStr">
        <is>
          <t>NULL</t>
        </is>
      </c>
      <c r="H1020" s="0" t="inlineStr">
        <is>
          <t>NULL</t>
        </is>
      </c>
      <c r="I1020" s="0" t="inlineStr">
        <is>
          <t>NULL</t>
        </is>
      </c>
      <c r="J1020" s="0" t="inlineStr">
        <is>
          <t>NULL</t>
        </is>
      </c>
      <c r="K1020" s="0" t="inlineStr">
        <is>
          <t xml:space="preserve"> NO!  	 c_varbinary列源备映射错误，源端为varbinary 1位	期望更改为text	实际备端为varbinary 1位</t>
        </is>
      </c>
      <c r="EH1020" s="0" t="inlineStr">
        <is>
          <t>58行 14列，源：None 备：</t>
        </is>
      </c>
      <c r="ES1020" s="0" t="inlineStr">
        <is>
          <t>58行 14列，源：None 备：9999999999999999.99</t>
        </is>
      </c>
    </row>
    <row r="1021">
      <c r="B1021" s="0" t="inlineStr">
        <is>
          <t>NULL</t>
        </is>
      </c>
      <c r="C1021" s="0" t="inlineStr">
        <is>
          <t>NULL</t>
        </is>
      </c>
      <c r="D1021" s="0" t="inlineStr">
        <is>
          <t>NULL</t>
        </is>
      </c>
      <c r="E1021" s="0" t="inlineStr">
        <is>
          <t>NULL</t>
        </is>
      </c>
      <c r="F1021" s="0" t="inlineStr">
        <is>
          <t>NULL</t>
        </is>
      </c>
      <c r="G1021" s="0" t="inlineStr">
        <is>
          <t>NULL</t>
        </is>
      </c>
      <c r="H1021" s="0" t="inlineStr">
        <is>
          <t>NULL</t>
        </is>
      </c>
      <c r="I1021" s="0" t="inlineStr">
        <is>
          <t>NULL</t>
        </is>
      </c>
      <c r="J1021" s="0" t="inlineStr">
        <is>
          <t>NULL</t>
        </is>
      </c>
      <c r="K1021" s="0" t="inlineStr">
        <is>
          <t xml:space="preserve"> NO!  	 c_varbinary_100列源备映射错误，源端为varbinary 100位	期望更改为text	实际备端为varbinary 100位</t>
        </is>
      </c>
      <c r="EH1021" s="0" t="inlineStr">
        <is>
          <t>58行 15列，源：nan 备：</t>
        </is>
      </c>
      <c r="ES1021" s="0" t="inlineStr">
        <is>
          <t>58行 15列，源：nan 备：</t>
        </is>
      </c>
    </row>
    <row r="1022">
      <c r="B1022" s="0" t="inlineStr">
        <is>
          <t>NULL</t>
        </is>
      </c>
      <c r="C1022" s="0" t="inlineStr">
        <is>
          <t>NULL</t>
        </is>
      </c>
      <c r="D1022" s="0" t="inlineStr">
        <is>
          <t>NULL</t>
        </is>
      </c>
      <c r="E1022" s="0" t="inlineStr">
        <is>
          <t>NULL</t>
        </is>
      </c>
      <c r="F1022" s="0" t="inlineStr">
        <is>
          <t>NULL</t>
        </is>
      </c>
      <c r="G1022" s="0" t="inlineStr">
        <is>
          <t>NULL</t>
        </is>
      </c>
      <c r="H1022" s="0" t="inlineStr">
        <is>
          <t>NULL</t>
        </is>
      </c>
      <c r="I1022" s="0" t="inlineStr">
        <is>
          <t>NULL</t>
        </is>
      </c>
      <c r="J1022" s="0" t="inlineStr">
        <is>
          <t>NULL</t>
        </is>
      </c>
      <c r="K1022" s="0" t="inlineStr">
        <is>
          <t xml:space="preserve"> NO!  	 c_varbinary_200列源备映射错误，源端为varbinary 200位	期望更改为text	实际备端为varbinary 200位</t>
        </is>
      </c>
      <c r="EH1022" s="0" t="inlineStr">
        <is>
          <t>58行 16列，源：nan 备：</t>
        </is>
      </c>
      <c r="ES1022" s="0" t="inlineStr">
        <is>
          <t>58行 16列，源：nan 备：</t>
        </is>
      </c>
    </row>
    <row r="1023">
      <c r="A1023" s="0" t="inlineStr">
        <is>
          <t>info_geography_dml_single_pk_irp</t>
        </is>
      </c>
      <c r="K1023" s="0" t="inlineStr">
        <is>
          <t>[0;34m info_geography_dml_single_pk_irp [0m源备字段数相同，源端字段：2 	备端字段2</t>
        </is>
      </c>
      <c r="W1023" s="2">
        <f>HYPERLINK("#2026041905hbase4!DR2","NO 源备存在差异，共9个")</f>
        <v/>
      </c>
      <c r="X1023" s="0">
        <f>A1023</f>
        <v/>
      </c>
      <c r="EH1023" s="0" t="inlineStr">
        <is>
          <t>58行 17列，源：None 备：</t>
        </is>
      </c>
      <c r="ES1023" s="0" t="inlineStr">
        <is>
          <t>58行 17列，源：None 备：</t>
        </is>
      </c>
    </row>
    <row r="1024">
      <c r="B1024" s="0" t="inlineStr">
        <is>
          <t>YES</t>
        </is>
      </c>
      <c r="C1024" s="0" t="inlineStr">
        <is>
          <t>NULL</t>
        </is>
      </c>
      <c r="D1024" s="0" t="inlineStr">
        <is>
          <t>NULL</t>
        </is>
      </c>
      <c r="E1024" s="0" t="inlineStr">
        <is>
          <t>NULL</t>
        </is>
      </c>
      <c r="F1024" s="0" t="inlineStr">
        <is>
          <t>NULL</t>
        </is>
      </c>
      <c r="G1024" s="0" t="inlineStr">
        <is>
          <t>NULL</t>
        </is>
      </c>
      <c r="H1024" s="0" t="inlineStr">
        <is>
          <t>NULL</t>
        </is>
      </c>
      <c r="I1024" s="0" t="inlineStr">
        <is>
          <t>YES!PK__info_geo__3213E83FF84E72A5</t>
        </is>
      </c>
      <c r="J1024" s="0" t="inlineStr">
        <is>
          <t>YES! 主键相关索引</t>
        </is>
      </c>
      <c r="K1024" s="0" t="inlineStr">
        <is>
          <t xml:space="preserve"> NO!  	 id列源备映射错误，源端为int None位	期望更改为text	实际备端为int None位</t>
        </is>
      </c>
      <c r="EH1024" s="0" t="inlineStr">
        <is>
          <t>58行 18列，源：None 备：</t>
        </is>
      </c>
      <c r="ES1024" s="0" t="inlineStr">
        <is>
          <t>58行 18列，源：None 备：</t>
        </is>
      </c>
    </row>
    <row r="1025">
      <c r="B1025" s="0" t="inlineStr">
        <is>
          <t>NULL</t>
        </is>
      </c>
      <c r="C1025" s="0" t="inlineStr">
        <is>
          <t>NULL</t>
        </is>
      </c>
      <c r="D1025" s="0" t="inlineStr">
        <is>
          <t>NULL</t>
        </is>
      </c>
      <c r="E1025" s="0" t="inlineStr">
        <is>
          <t>NULL</t>
        </is>
      </c>
      <c r="F1025" s="0" t="inlineStr">
        <is>
          <t>NULL</t>
        </is>
      </c>
      <c r="G1025" s="0" t="inlineStr">
        <is>
          <t>NULL</t>
        </is>
      </c>
      <c r="H1025" s="0" t="inlineStr">
        <is>
          <t>NULL</t>
        </is>
      </c>
      <c r="I1025" s="0" t="inlineStr">
        <is>
          <t>NULL</t>
        </is>
      </c>
      <c r="J1025" s="0" t="inlineStr">
        <is>
          <t>NULL</t>
        </is>
      </c>
      <c r="K1025" s="0" t="inlineStr">
        <is>
          <t xml:space="preserve"> NO!  	 c_geography列源备映射错误，源端为geography -1位	期望更改为text	实际备端为geography -1位</t>
        </is>
      </c>
      <c r="EH1025" s="0" t="inlineStr">
        <is>
          <t>58行 19列，源：None 备：</t>
        </is>
      </c>
      <c r="ES1025" s="0" t="inlineStr">
        <is>
          <t>58行 19列，源：None 备：</t>
        </is>
      </c>
    </row>
    <row r="1026">
      <c r="A1026" s="0" t="inlineStr">
        <is>
          <t>info_varchar_dml_single_pk_irp</t>
        </is>
      </c>
      <c r="K1026" s="0" t="inlineStr">
        <is>
          <t>[0;34m info_varchar_dml_single_pk_irp [0m源备字段数相同，源端字段：4 	备端字段4</t>
        </is>
      </c>
      <c r="W1026" s="2">
        <f>HYPERLINK("#2026041905hbase4!DS2","NO 源备存在差异，共3个")</f>
        <v/>
      </c>
      <c r="X1026" s="0">
        <f>A1026</f>
        <v/>
      </c>
      <c r="EH1026" s="0" t="inlineStr">
        <is>
          <t>59行 0列，源：120 备：207</t>
        </is>
      </c>
      <c r="ES1026" s="0" t="inlineStr">
        <is>
          <t>59行 0列，源：120 备：504</t>
        </is>
      </c>
    </row>
    <row r="1027">
      <c r="B1027" s="0" t="inlineStr">
        <is>
          <t>YES</t>
        </is>
      </c>
      <c r="C1027" s="0" t="inlineStr">
        <is>
          <t>NULL</t>
        </is>
      </c>
      <c r="D1027" s="0" t="inlineStr">
        <is>
          <t>NULL</t>
        </is>
      </c>
      <c r="E1027" s="0" t="inlineStr">
        <is>
          <t>NULL</t>
        </is>
      </c>
      <c r="F1027" s="0" t="inlineStr">
        <is>
          <t>NULL</t>
        </is>
      </c>
      <c r="G1027" s="0" t="inlineStr">
        <is>
          <t>NULL</t>
        </is>
      </c>
      <c r="H1027" s="0" t="inlineStr">
        <is>
          <t>NULL</t>
        </is>
      </c>
      <c r="I1027" s="0" t="inlineStr">
        <is>
          <t>YES!PK__info_var__3213E83F163A1CD8</t>
        </is>
      </c>
      <c r="J1027" s="0" t="inlineStr">
        <is>
          <t>YES! 主键相关索引</t>
        </is>
      </c>
      <c r="K1027" s="0" t="inlineStr">
        <is>
          <t xml:space="preserve"> NO!  	 id列源备映射错误，源端为int None位	期望更改为text	实际备端为int None位</t>
        </is>
      </c>
      <c r="EH1027" s="0" t="inlineStr">
        <is>
          <t>59行 1列，源：nan 备：</t>
        </is>
      </c>
      <c r="ES1027" s="0" t="inlineStr">
        <is>
          <t>59行 1列，源：nan 备：</t>
        </is>
      </c>
    </row>
    <row r="1028">
      <c r="B1028" s="0" t="inlineStr">
        <is>
          <t>NULL</t>
        </is>
      </c>
      <c r="C1028" s="0" t="inlineStr">
        <is>
          <t>NULL</t>
        </is>
      </c>
      <c r="D1028" s="0" t="inlineStr">
        <is>
          <t>NULL</t>
        </is>
      </c>
      <c r="E1028" s="0" t="inlineStr">
        <is>
          <t>NULL</t>
        </is>
      </c>
      <c r="F1028" s="0" t="inlineStr">
        <is>
          <t>NULL</t>
        </is>
      </c>
      <c r="G1028" s="0" t="inlineStr">
        <is>
          <t>NULL</t>
        </is>
      </c>
      <c r="H1028" s="0" t="inlineStr">
        <is>
          <t>NULL</t>
        </is>
      </c>
      <c r="I1028" s="0" t="inlineStr">
        <is>
          <t>NULL</t>
        </is>
      </c>
      <c r="J1028" s="0" t="inlineStr">
        <is>
          <t>NULL</t>
        </is>
      </c>
      <c r="K1028" s="0" t="inlineStr">
        <is>
          <t xml:space="preserve"> NO!  	 c_varchar列源备映射错误，源端为varchar 1位	期望更改为text	实际备端为varchar 1位</t>
        </is>
      </c>
      <c r="EH1028" s="0" t="inlineStr">
        <is>
          <t>59行 2列，源：nan 备：</t>
        </is>
      </c>
      <c r="ES1028" s="0" t="inlineStr">
        <is>
          <t>59行 2列，源：nan 备：</t>
        </is>
      </c>
    </row>
    <row r="1029">
      <c r="B1029" s="0" t="inlineStr">
        <is>
          <t>NULL</t>
        </is>
      </c>
      <c r="C1029" s="0" t="inlineStr">
        <is>
          <t>NULL</t>
        </is>
      </c>
      <c r="D1029" s="0" t="inlineStr">
        <is>
          <t>NULL</t>
        </is>
      </c>
      <c r="E1029" s="0" t="inlineStr">
        <is>
          <t>NULL</t>
        </is>
      </c>
      <c r="F1029" s="0" t="inlineStr">
        <is>
          <t>NULL</t>
        </is>
      </c>
      <c r="G1029" s="0" t="inlineStr">
        <is>
          <t>NULL</t>
        </is>
      </c>
      <c r="H1029" s="0" t="inlineStr">
        <is>
          <t>NULL</t>
        </is>
      </c>
      <c r="I1029" s="0" t="inlineStr">
        <is>
          <t>NULL</t>
        </is>
      </c>
      <c r="J1029" s="0" t="inlineStr">
        <is>
          <t>NULL</t>
        </is>
      </c>
      <c r="K1029" s="0" t="inlineStr">
        <is>
          <t xml:space="preserve"> NO!  	 c_varchar50列源备映射错误，源端为varchar 50位	期望更改为text	实际备端为varchar 50位</t>
        </is>
      </c>
      <c r="EH1029" s="0" t="inlineStr">
        <is>
          <t>59行 3列，源：nan 备：</t>
        </is>
      </c>
      <c r="ES1029" s="0" t="inlineStr">
        <is>
          <t>59行 3列，源：nan 备：</t>
        </is>
      </c>
    </row>
    <row r="1030">
      <c r="B1030" s="0" t="inlineStr">
        <is>
          <t>NULL</t>
        </is>
      </c>
      <c r="C1030" s="0" t="inlineStr">
        <is>
          <t>NULL</t>
        </is>
      </c>
      <c r="D1030" s="0" t="inlineStr">
        <is>
          <t>NULL</t>
        </is>
      </c>
      <c r="E1030" s="0" t="inlineStr">
        <is>
          <t>NULL</t>
        </is>
      </c>
      <c r="F1030" s="0" t="inlineStr">
        <is>
          <t>NULL</t>
        </is>
      </c>
      <c r="G1030" s="0" t="inlineStr">
        <is>
          <t>NULL</t>
        </is>
      </c>
      <c r="H1030" s="0" t="inlineStr">
        <is>
          <t>NULL</t>
        </is>
      </c>
      <c r="I1030" s="0" t="inlineStr">
        <is>
          <t>NULL</t>
        </is>
      </c>
      <c r="J1030" s="0" t="inlineStr">
        <is>
          <t>NULL</t>
        </is>
      </c>
      <c r="K1030" s="0" t="inlineStr">
        <is>
          <t xml:space="preserve"> NO!  	 c_varchar200列源备映射错误，源端为varchar 200位	期望更改为text	实际备端为varchar 200位</t>
        </is>
      </c>
      <c r="EH1030" s="0" t="inlineStr">
        <is>
          <t>59行 4列，源：nan 备：</t>
        </is>
      </c>
      <c r="ES1030" s="0" t="inlineStr">
        <is>
          <t>59行 4列，源：nan 备：</t>
        </is>
      </c>
    </row>
    <row r="1031">
      <c r="A1031" s="0" t="inlineStr">
        <is>
          <t>info_time_dml_batch2_pk_irp1</t>
        </is>
      </c>
      <c r="K1031" s="0" t="inlineStr">
        <is>
          <t>[0;34m info_time_dml_batch2_pk_irp1 [0m源备字段数相同，源端字段：9 	备端字段9</t>
        </is>
      </c>
      <c r="W1031" s="2">
        <f>HYPERLINK("#2026041905hbase4!DT2","NO 源备存在差异，共135个")</f>
        <v/>
      </c>
      <c r="X1031" s="0">
        <f>A1031</f>
        <v/>
      </c>
      <c r="EH1031" s="0" t="inlineStr">
        <is>
          <t>59行 5列，源：None 备：</t>
        </is>
      </c>
      <c r="ES1031" s="0" t="inlineStr">
        <is>
          <t>59行 5列，源：None 备：123456789123456789</t>
        </is>
      </c>
    </row>
    <row r="1032">
      <c r="B1032" s="0" t="inlineStr">
        <is>
          <t>YES</t>
        </is>
      </c>
      <c r="C1032" s="0" t="inlineStr">
        <is>
          <t>NULL</t>
        </is>
      </c>
      <c r="D1032" s="0" t="inlineStr">
        <is>
          <t>NULL</t>
        </is>
      </c>
      <c r="E1032" s="0" t="inlineStr">
        <is>
          <t>NULL</t>
        </is>
      </c>
      <c r="F1032" s="0" t="inlineStr">
        <is>
          <t>NULL</t>
        </is>
      </c>
      <c r="G1032" s="0" t="inlineStr">
        <is>
          <t>NULL</t>
        </is>
      </c>
      <c r="H1032" s="0" t="inlineStr">
        <is>
          <t>NULL</t>
        </is>
      </c>
      <c r="I1032" s="0" t="inlineStr">
        <is>
          <t>YES!PK__info_tim__3213E83F7EEBBE58</t>
        </is>
      </c>
      <c r="J1032" s="0" t="inlineStr">
        <is>
          <t>YES! 主键相关索引</t>
        </is>
      </c>
      <c r="K1032" s="0" t="inlineStr">
        <is>
          <t xml:space="preserve"> NO!  	 id列源备映射错误，源端为int None位	期望更改为text	实际备端为int None位</t>
        </is>
      </c>
      <c r="EH1032" s="0" t="inlineStr">
        <is>
          <t>59行 6列，源：None 备：</t>
        </is>
      </c>
      <c r="ES1032" s="0" t="inlineStr">
        <is>
          <t>59行 6列，源：None 备：-1234567890123456789012345</t>
        </is>
      </c>
    </row>
    <row r="1033">
      <c r="B1033" s="0" t="inlineStr">
        <is>
          <t>NULL</t>
        </is>
      </c>
      <c r="C1033" s="0" t="inlineStr">
        <is>
          <t>NULL</t>
        </is>
      </c>
      <c r="D1033" s="0" t="inlineStr">
        <is>
          <t>NULL</t>
        </is>
      </c>
      <c r="E1033" s="0" t="inlineStr">
        <is>
          <t>NULL</t>
        </is>
      </c>
      <c r="F1033" s="0" t="inlineStr">
        <is>
          <t>NULL</t>
        </is>
      </c>
      <c r="G1033" s="0" t="inlineStr">
        <is>
          <t>NULL</t>
        </is>
      </c>
      <c r="H1033" s="0" t="inlineStr">
        <is>
          <t>NULL</t>
        </is>
      </c>
      <c r="I1033" s="0" t="inlineStr">
        <is>
          <t>NULL</t>
        </is>
      </c>
      <c r="J1033" s="0" t="inlineStr">
        <is>
          <t>NULL</t>
        </is>
      </c>
      <c r="K1033" s="0" t="inlineStr">
        <is>
          <t xml:space="preserve"> NO!  	 c_time0列源备映射错误，源端为time None位	期望更改为text	实际备端为time None位</t>
        </is>
      </c>
      <c r="EH1033" s="0" t="inlineStr">
        <is>
          <t>59行 7列，源：None 备：</t>
        </is>
      </c>
      <c r="ES1033" s="0" t="inlineStr">
        <is>
          <t>59行 7列，源：None 备：0.00000000000000000000000080000000000000</t>
        </is>
      </c>
    </row>
    <row r="1034">
      <c r="B1034" s="0" t="inlineStr">
        <is>
          <t>NULL</t>
        </is>
      </c>
      <c r="C1034" s="0" t="inlineStr">
        <is>
          <t>NULL</t>
        </is>
      </c>
      <c r="D1034" s="0" t="inlineStr">
        <is>
          <t>NULL</t>
        </is>
      </c>
      <c r="E1034" s="0" t="inlineStr">
        <is>
          <t>NULL</t>
        </is>
      </c>
      <c r="F1034" s="0" t="inlineStr">
        <is>
          <t>NULL</t>
        </is>
      </c>
      <c r="G1034" s="0" t="inlineStr">
        <is>
          <t>NULL</t>
        </is>
      </c>
      <c r="H1034" s="0" t="inlineStr">
        <is>
          <t>NULL</t>
        </is>
      </c>
      <c r="I1034" s="0" t="inlineStr">
        <is>
          <t>NULL</t>
        </is>
      </c>
      <c r="J1034" s="0" t="inlineStr">
        <is>
          <t>NULL</t>
        </is>
      </c>
      <c r="K1034" s="0" t="inlineStr">
        <is>
          <t xml:space="preserve"> NO!  	 c_time1列源备映射错误，源端为time None位	期望更改为text	实际备端为time None位</t>
        </is>
      </c>
      <c r="EH1034" s="0" t="inlineStr">
        <is>
          <t>59行 8列，源：None 备：</t>
        </is>
      </c>
      <c r="ES1034" s="0" t="inlineStr">
        <is>
          <t>59行 8列，源：None 备：1234567890123456789012345678.1234567890</t>
        </is>
      </c>
    </row>
    <row r="1035">
      <c r="B1035" s="0" t="inlineStr">
        <is>
          <t>NULL</t>
        </is>
      </c>
      <c r="C1035" s="0" t="inlineStr">
        <is>
          <t>NULL</t>
        </is>
      </c>
      <c r="D1035" s="0" t="inlineStr">
        <is>
          <t>NULL</t>
        </is>
      </c>
      <c r="E1035" s="0" t="inlineStr">
        <is>
          <t>NULL</t>
        </is>
      </c>
      <c r="F1035" s="0" t="inlineStr">
        <is>
          <t>NULL</t>
        </is>
      </c>
      <c r="G1035" s="0" t="inlineStr">
        <is>
          <t>NULL</t>
        </is>
      </c>
      <c r="H1035" s="0" t="inlineStr">
        <is>
          <t>NULL</t>
        </is>
      </c>
      <c r="I1035" s="0" t="inlineStr">
        <is>
          <t>NULL</t>
        </is>
      </c>
      <c r="J1035" s="0" t="inlineStr">
        <is>
          <t>NULL</t>
        </is>
      </c>
      <c r="K1035" s="0" t="inlineStr">
        <is>
          <t xml:space="preserve"> NO!  	 c_time2列源备映射错误，源端为time None位	期望更改为text	实际备端为time None位</t>
        </is>
      </c>
      <c r="EH1035" s="0" t="inlineStr">
        <is>
          <t>59行 9列，源：None 备：</t>
        </is>
      </c>
      <c r="ES1035" s="0" t="inlineStr">
        <is>
          <t>59行 9列，源：None 备：-123456789012.1234</t>
        </is>
      </c>
    </row>
    <row r="1036">
      <c r="B1036" s="0" t="inlineStr">
        <is>
          <t>NULL</t>
        </is>
      </c>
      <c r="C1036" s="0" t="inlineStr">
        <is>
          <t>NULL</t>
        </is>
      </c>
      <c r="D1036" s="0" t="inlineStr">
        <is>
          <t>NULL</t>
        </is>
      </c>
      <c r="E1036" s="0" t="inlineStr">
        <is>
          <t>NULL</t>
        </is>
      </c>
      <c r="F1036" s="0" t="inlineStr">
        <is>
          <t>NULL</t>
        </is>
      </c>
      <c r="G1036" s="0" t="inlineStr">
        <is>
          <t>NULL</t>
        </is>
      </c>
      <c r="H1036" s="0" t="inlineStr">
        <is>
          <t>NULL</t>
        </is>
      </c>
      <c r="I1036" s="0" t="inlineStr">
        <is>
          <t>NULL</t>
        </is>
      </c>
      <c r="J1036" s="0" t="inlineStr">
        <is>
          <t>NULL</t>
        </is>
      </c>
      <c r="K1036" s="0" t="inlineStr">
        <is>
          <t xml:space="preserve"> NO!  	 c_time3列源备映射错误，源端为time None位	期望更改为text	实际备端为time None位</t>
        </is>
      </c>
      <c r="EH1036" s="0" t="inlineStr">
        <is>
          <t>59行 10列，源：None 备：</t>
        </is>
      </c>
      <c r="ES1036" s="0" t="inlineStr">
        <is>
          <t>59行 10列，源：None 备：123456789123456789</t>
        </is>
      </c>
    </row>
    <row r="1037">
      <c r="B1037" s="0" t="inlineStr">
        <is>
          <t>NULL</t>
        </is>
      </c>
      <c r="C1037" s="0" t="inlineStr">
        <is>
          <t>NULL</t>
        </is>
      </c>
      <c r="D1037" s="0" t="inlineStr">
        <is>
          <t>NULL</t>
        </is>
      </c>
      <c r="E1037" s="0" t="inlineStr">
        <is>
          <t>NULL</t>
        </is>
      </c>
      <c r="F1037" s="0" t="inlineStr">
        <is>
          <t>NULL</t>
        </is>
      </c>
      <c r="G1037" s="0" t="inlineStr">
        <is>
          <t>NULL</t>
        </is>
      </c>
      <c r="H1037" s="0" t="inlineStr">
        <is>
          <t>NULL</t>
        </is>
      </c>
      <c r="I1037" s="0" t="inlineStr">
        <is>
          <t>NULL</t>
        </is>
      </c>
      <c r="J1037" s="0" t="inlineStr">
        <is>
          <t>NULL</t>
        </is>
      </c>
      <c r="K1037" s="0" t="inlineStr">
        <is>
          <t xml:space="preserve"> NO!  	 c_time4列源备映射错误，源端为time None位	期望更改为text	实际备端为time None位</t>
        </is>
      </c>
      <c r="EH1037" s="0" t="inlineStr">
        <is>
          <t>59行 11列，源：None 备：</t>
        </is>
      </c>
      <c r="ES1037" s="0" t="inlineStr">
        <is>
          <t>59行 11列，源：None 备：-1234567890123456789012345</t>
        </is>
      </c>
    </row>
    <row r="1038">
      <c r="B1038" s="0" t="inlineStr">
        <is>
          <t>NULL</t>
        </is>
      </c>
      <c r="C1038" s="0" t="inlineStr">
        <is>
          <t>NULL</t>
        </is>
      </c>
      <c r="D1038" s="0" t="inlineStr">
        <is>
          <t>NULL</t>
        </is>
      </c>
      <c r="E1038" s="0" t="inlineStr">
        <is>
          <t>NULL</t>
        </is>
      </c>
      <c r="F1038" s="0" t="inlineStr">
        <is>
          <t>NULL</t>
        </is>
      </c>
      <c r="G1038" s="0" t="inlineStr">
        <is>
          <t>NULL</t>
        </is>
      </c>
      <c r="H1038" s="0" t="inlineStr">
        <is>
          <t>NULL</t>
        </is>
      </c>
      <c r="I1038" s="0" t="inlineStr">
        <is>
          <t>NULL</t>
        </is>
      </c>
      <c r="J1038" s="0" t="inlineStr">
        <is>
          <t>NULL</t>
        </is>
      </c>
      <c r="K1038" s="0" t="inlineStr">
        <is>
          <t xml:space="preserve"> NO!  	 c_time5列源备映射错误，源端为time None位	期望更改为text	实际备端为time None位</t>
        </is>
      </c>
      <c r="EH1038" s="0" t="inlineStr">
        <is>
          <t>59行 12列，源：None 备：</t>
        </is>
      </c>
      <c r="ES1038" s="0" t="inlineStr">
        <is>
          <t>59行 12列，源：None 备：0.00000000000000000000000080000000000000</t>
        </is>
      </c>
    </row>
    <row r="1039">
      <c r="B1039" s="0" t="inlineStr">
        <is>
          <t>NULL</t>
        </is>
      </c>
      <c r="C1039" s="0" t="inlineStr">
        <is>
          <t>NULL</t>
        </is>
      </c>
      <c r="D1039" s="0" t="inlineStr">
        <is>
          <t>NULL</t>
        </is>
      </c>
      <c r="E1039" s="0" t="inlineStr">
        <is>
          <t>NULL</t>
        </is>
      </c>
      <c r="F1039" s="0" t="inlineStr">
        <is>
          <t>NULL</t>
        </is>
      </c>
      <c r="G1039" s="0" t="inlineStr">
        <is>
          <t>NULL</t>
        </is>
      </c>
      <c r="H1039" s="0" t="inlineStr">
        <is>
          <t>NULL</t>
        </is>
      </c>
      <c r="I1039" s="0" t="inlineStr">
        <is>
          <t>NULL</t>
        </is>
      </c>
      <c r="J1039" s="0" t="inlineStr">
        <is>
          <t>NULL</t>
        </is>
      </c>
      <c r="K1039" s="0" t="inlineStr">
        <is>
          <t xml:space="preserve"> NO!  	 c_time6列源备映射错误，源端为time None位	期望更改为text	实际备端为time None位</t>
        </is>
      </c>
      <c r="EH1039" s="0" t="inlineStr">
        <is>
          <t>59行 13列，源：None 备：</t>
        </is>
      </c>
      <c r="ES1039" s="0" t="inlineStr">
        <is>
          <t>59行 13列，源：None 备：1234567890123456789012345678.1234567890</t>
        </is>
      </c>
    </row>
    <row r="1040">
      <c r="B1040" s="0" t="inlineStr">
        <is>
          <t>NULL</t>
        </is>
      </c>
      <c r="C1040" s="0" t="inlineStr">
        <is>
          <t>NULL</t>
        </is>
      </c>
      <c r="D1040" s="0" t="inlineStr">
        <is>
          <t>NULL</t>
        </is>
      </c>
      <c r="E1040" s="0" t="inlineStr">
        <is>
          <t>NULL</t>
        </is>
      </c>
      <c r="F1040" s="0" t="inlineStr">
        <is>
          <t>NULL</t>
        </is>
      </c>
      <c r="G1040" s="0" t="inlineStr">
        <is>
          <t>NULL</t>
        </is>
      </c>
      <c r="H1040" s="0" t="inlineStr">
        <is>
          <t>NULL</t>
        </is>
      </c>
      <c r="I1040" s="0" t="inlineStr">
        <is>
          <t>NULL</t>
        </is>
      </c>
      <c r="J1040" s="0" t="inlineStr">
        <is>
          <t>NULL</t>
        </is>
      </c>
      <c r="K1040" s="0" t="inlineStr">
        <is>
          <t xml:space="preserve"> NO!  	 c_time列源备映射错误，源端为time None位	期望更改为text	实际备端为time None位</t>
        </is>
      </c>
      <c r="EH1040" s="0" t="inlineStr">
        <is>
          <t>59行 14列，源：None 备：</t>
        </is>
      </c>
      <c r="ES1040" s="0" t="inlineStr">
        <is>
          <t>59行 14列，源：None 备：-123456789012.12</t>
        </is>
      </c>
    </row>
    <row r="1041">
      <c r="A1041" s="0" t="inlineStr">
        <is>
          <t>info_varchar_dml_batch2_pk_irp1</t>
        </is>
      </c>
      <c r="K1041" s="0" t="inlineStr">
        <is>
          <t>[0;34m info_varchar_dml_batch2_pk_irp1 [0m源备字段数相同，源端字段：4 	备端字段4</t>
        </is>
      </c>
      <c r="W1041" s="0" t="inlineStr">
        <is>
          <t>YES 源备无差异</t>
        </is>
      </c>
      <c r="X1041" s="0">
        <f>A1041</f>
        <v/>
      </c>
      <c r="EH1041" s="0" t="inlineStr">
        <is>
          <t>59行 15列，源：nan 备：</t>
        </is>
      </c>
      <c r="ES1041" s="0" t="inlineStr">
        <is>
          <t>59行 15列，源：nan 备：</t>
        </is>
      </c>
    </row>
    <row r="1042">
      <c r="B1042" s="0" t="inlineStr">
        <is>
          <t>YES</t>
        </is>
      </c>
      <c r="C1042" s="0" t="inlineStr">
        <is>
          <t>NULL</t>
        </is>
      </c>
      <c r="D1042" s="0" t="inlineStr">
        <is>
          <t>NULL</t>
        </is>
      </c>
      <c r="E1042" s="0" t="inlineStr">
        <is>
          <t>NULL</t>
        </is>
      </c>
      <c r="F1042" s="0" t="inlineStr">
        <is>
          <t>NULL</t>
        </is>
      </c>
      <c r="G1042" s="0" t="inlineStr">
        <is>
          <t>NULL</t>
        </is>
      </c>
      <c r="H1042" s="0" t="inlineStr">
        <is>
          <t>NULL</t>
        </is>
      </c>
      <c r="I1042" s="0" t="inlineStr">
        <is>
          <t>YES!PK__info_var__3213E83FF3A0D68D</t>
        </is>
      </c>
      <c r="J1042" s="0" t="inlineStr">
        <is>
          <t>YES! 主键相关索引</t>
        </is>
      </c>
      <c r="K1042" s="0" t="inlineStr">
        <is>
          <t xml:space="preserve"> NO!  	 id列源备映射错误，源端为int None位	期望更改为text	实际备端为int None位</t>
        </is>
      </c>
      <c r="EH1042" s="0" t="inlineStr">
        <is>
          <t>59行 16列，源：nan 备：</t>
        </is>
      </c>
      <c r="ES1042" s="0" t="inlineStr">
        <is>
          <t>59行 16列，源：nan 备：</t>
        </is>
      </c>
    </row>
    <row r="1043">
      <c r="B1043" s="0" t="inlineStr">
        <is>
          <t>NULL</t>
        </is>
      </c>
      <c r="C1043" s="0" t="inlineStr">
        <is>
          <t>NULL</t>
        </is>
      </c>
      <c r="D1043" s="0" t="inlineStr">
        <is>
          <t>NULL</t>
        </is>
      </c>
      <c r="E1043" s="0" t="inlineStr">
        <is>
          <t>NULL</t>
        </is>
      </c>
      <c r="F1043" s="0" t="inlineStr">
        <is>
          <t>NULL</t>
        </is>
      </c>
      <c r="G1043" s="0" t="inlineStr">
        <is>
          <t>NULL</t>
        </is>
      </c>
      <c r="H1043" s="0" t="inlineStr">
        <is>
          <t>NULL</t>
        </is>
      </c>
      <c r="I1043" s="0" t="inlineStr">
        <is>
          <t>NULL</t>
        </is>
      </c>
      <c r="J1043" s="0" t="inlineStr">
        <is>
          <t>NULL</t>
        </is>
      </c>
      <c r="K1043" s="0" t="inlineStr">
        <is>
          <t xml:space="preserve"> NO!  	 c_varchar列源备映射错误，源端为varchar 1位	期望更改为text	实际备端为varchar 1位</t>
        </is>
      </c>
      <c r="EH1043" s="0" t="inlineStr">
        <is>
          <t>59行 17列，源：None 备：</t>
        </is>
      </c>
      <c r="ES1043" s="0" t="inlineStr">
        <is>
          <t>59行 17列，源：None 备：</t>
        </is>
      </c>
    </row>
    <row r="1044">
      <c r="B1044" s="0" t="inlineStr">
        <is>
          <t>NULL</t>
        </is>
      </c>
      <c r="C1044" s="0" t="inlineStr">
        <is>
          <t>NULL</t>
        </is>
      </c>
      <c r="D1044" s="0" t="inlineStr">
        <is>
          <t>NULL</t>
        </is>
      </c>
      <c r="E1044" s="0" t="inlineStr">
        <is>
          <t>NULL</t>
        </is>
      </c>
      <c r="F1044" s="0" t="inlineStr">
        <is>
          <t>NULL</t>
        </is>
      </c>
      <c r="G1044" s="0" t="inlineStr">
        <is>
          <t>NULL</t>
        </is>
      </c>
      <c r="H1044" s="0" t="inlineStr">
        <is>
          <t>NULL</t>
        </is>
      </c>
      <c r="I1044" s="0" t="inlineStr">
        <is>
          <t>NULL</t>
        </is>
      </c>
      <c r="J1044" s="0" t="inlineStr">
        <is>
          <t>NULL</t>
        </is>
      </c>
      <c r="K1044" s="0" t="inlineStr">
        <is>
          <t xml:space="preserve"> NO!  	 c_varchar20列源备映射错误，源端为varchar 20位	期望更改为text	实际备端为varchar 20位</t>
        </is>
      </c>
      <c r="EH1044" s="0" t="inlineStr">
        <is>
          <t>59行 18列，源：None 备：</t>
        </is>
      </c>
      <c r="ES1044" s="0" t="inlineStr">
        <is>
          <t>59行 18列，源：None 备：</t>
        </is>
      </c>
    </row>
    <row r="1045">
      <c r="B1045" s="0" t="inlineStr">
        <is>
          <t>NULL</t>
        </is>
      </c>
      <c r="C1045" s="0" t="inlineStr">
        <is>
          <t>NULL</t>
        </is>
      </c>
      <c r="D1045" s="0" t="inlineStr">
        <is>
          <t>NULL</t>
        </is>
      </c>
      <c r="E1045" s="0" t="inlineStr">
        <is>
          <t>NULL</t>
        </is>
      </c>
      <c r="F1045" s="0" t="inlineStr">
        <is>
          <t>NULL</t>
        </is>
      </c>
      <c r="G1045" s="0" t="inlineStr">
        <is>
          <t>NULL</t>
        </is>
      </c>
      <c r="H1045" s="0" t="inlineStr">
        <is>
          <t>NULL</t>
        </is>
      </c>
      <c r="I1045" s="0" t="inlineStr">
        <is>
          <t>NULL</t>
        </is>
      </c>
      <c r="J1045" s="0" t="inlineStr">
        <is>
          <t>NULL</t>
        </is>
      </c>
      <c r="K1045" s="0" t="inlineStr">
        <is>
          <t xml:space="preserve"> NO!  	 c_varchar200列源备映射错误，源端为varchar 200位	期望更改为text	实际备端为varchar 200位</t>
        </is>
      </c>
      <c r="EH1045" s="0" t="inlineStr">
        <is>
          <t>59行 19列，源：None 备：</t>
        </is>
      </c>
      <c r="ES1045" s="0" t="inlineStr">
        <is>
          <t>59行 19列，源：None 备：</t>
        </is>
      </c>
    </row>
    <row r="1046">
      <c r="K1046" s="0" t="inlineStr">
        <is>
          <t>~ 空表</t>
        </is>
      </c>
      <c r="EH1046" s="0" t="inlineStr">
        <is>
          <t>60行 0列，源：151 备：208</t>
        </is>
      </c>
      <c r="ES1046" s="0" t="inlineStr">
        <is>
          <t>60行 0列，源：201 备：51</t>
        </is>
      </c>
    </row>
    <row r="1047">
      <c r="A1047" s="0" t="inlineStr">
        <is>
          <t>info_varbinary_dml_batch1_pk_irp2</t>
        </is>
      </c>
      <c r="K1047" s="0" t="inlineStr">
        <is>
          <t>[0;34m info_varbinary_dml_batch1_pk_irp2 [0m源备字段数相同，源端字段：4 	备端字段4</t>
        </is>
      </c>
      <c r="W1047" s="2">
        <f>HYPERLINK("#2026041905hbase4!DU2","NO 源备存在差异，共134个")</f>
        <v/>
      </c>
      <c r="X1047" s="0">
        <f>A1047</f>
        <v/>
      </c>
      <c r="EH1047" s="0" t="inlineStr">
        <is>
          <t>60行 1列，源：nan 备：</t>
        </is>
      </c>
      <c r="ES1047" s="0" t="inlineStr">
        <is>
          <t>60行 1列，源：nan 备：0</t>
        </is>
      </c>
    </row>
    <row r="1048">
      <c r="B1048" s="0" t="inlineStr">
        <is>
          <t>YES</t>
        </is>
      </c>
      <c r="C1048" s="0" t="inlineStr">
        <is>
          <t>NULL</t>
        </is>
      </c>
      <c r="D1048" s="0" t="inlineStr">
        <is>
          <t>NULL</t>
        </is>
      </c>
      <c r="E1048" s="0" t="inlineStr">
        <is>
          <t>NULL</t>
        </is>
      </c>
      <c r="F1048" s="0" t="inlineStr">
        <is>
          <t>NULL</t>
        </is>
      </c>
      <c r="G1048" s="0" t="inlineStr">
        <is>
          <t>NULL</t>
        </is>
      </c>
      <c r="H1048" s="0" t="inlineStr">
        <is>
          <t>NULL</t>
        </is>
      </c>
      <c r="I1048" s="0" t="inlineStr">
        <is>
          <t>YES!PK__info_var__3213E83FAD02788B</t>
        </is>
      </c>
      <c r="J1048" s="0" t="inlineStr">
        <is>
          <t>YES! 主键相关索引</t>
        </is>
      </c>
      <c r="K1048" s="0" t="inlineStr">
        <is>
          <t xml:space="preserve"> NO!  	 id列源备映射错误，源端为int None位	期望更改为text	实际备端为int None位</t>
        </is>
      </c>
      <c r="EH1048" s="0" t="inlineStr">
        <is>
          <t>60行 2列，源：nan 备：</t>
        </is>
      </c>
      <c r="ES1048" s="0" t="inlineStr">
        <is>
          <t>60行 2列，源：nan 备：-32768</t>
        </is>
      </c>
    </row>
    <row r="1049">
      <c r="B1049" s="0" t="inlineStr">
        <is>
          <t>NULL</t>
        </is>
      </c>
      <c r="C1049" s="0" t="inlineStr">
        <is>
          <t>NULL</t>
        </is>
      </c>
      <c r="D1049" s="0" t="inlineStr">
        <is>
          <t>NULL</t>
        </is>
      </c>
      <c r="E1049" s="0" t="inlineStr">
        <is>
          <t>NULL</t>
        </is>
      </c>
      <c r="F1049" s="0" t="inlineStr">
        <is>
          <t>NULL</t>
        </is>
      </c>
      <c r="G1049" s="0" t="inlineStr">
        <is>
          <t>NULL</t>
        </is>
      </c>
      <c r="H1049" s="0" t="inlineStr">
        <is>
          <t>NULL</t>
        </is>
      </c>
      <c r="I1049" s="0" t="inlineStr">
        <is>
          <t>NULL</t>
        </is>
      </c>
      <c r="J1049" s="0" t="inlineStr">
        <is>
          <t>NULL</t>
        </is>
      </c>
      <c r="K1049" s="0" t="inlineStr">
        <is>
          <t xml:space="preserve"> NO!  	 c_varbinary列源备映射错误，源端为varbinary 1位	期望更改为text	实际备端为varbinary 1位</t>
        </is>
      </c>
      <c r="EH1049" s="0" t="inlineStr">
        <is>
          <t>60行 3列，源：nan 备：</t>
        </is>
      </c>
      <c r="ES1049" s="0" t="inlineStr">
        <is>
          <t>60行 3列，源：nan 备：-2147483648</t>
        </is>
      </c>
    </row>
    <row r="1050">
      <c r="B1050" s="0" t="inlineStr">
        <is>
          <t>NULL</t>
        </is>
      </c>
      <c r="C1050" s="0" t="inlineStr">
        <is>
          <t>NULL</t>
        </is>
      </c>
      <c r="D1050" s="0" t="inlineStr">
        <is>
          <t>NULL</t>
        </is>
      </c>
      <c r="E1050" s="0" t="inlineStr">
        <is>
          <t>NULL</t>
        </is>
      </c>
      <c r="F1050" s="0" t="inlineStr">
        <is>
          <t>NULL</t>
        </is>
      </c>
      <c r="G1050" s="0" t="inlineStr">
        <is>
          <t>NULL</t>
        </is>
      </c>
      <c r="H1050" s="0" t="inlineStr">
        <is>
          <t>NULL</t>
        </is>
      </c>
      <c r="I1050" s="0" t="inlineStr">
        <is>
          <t>NULL</t>
        </is>
      </c>
      <c r="J1050" s="0" t="inlineStr">
        <is>
          <t>NULL</t>
        </is>
      </c>
      <c r="K1050" s="0" t="inlineStr">
        <is>
          <t xml:space="preserve"> NO!  	 c_varbinary_100列源备映射错误，源端为varbinary 100位	期望更改为text	实际备端为varbinary 100位</t>
        </is>
      </c>
      <c r="EH1050" s="0" t="inlineStr">
        <is>
          <t>60行 4列，源：nan 备：</t>
        </is>
      </c>
      <c r="ES1050" s="0" t="inlineStr">
        <is>
          <t>60行 4列，源：nan 备：-9223372036854775808</t>
        </is>
      </c>
    </row>
    <row r="1051">
      <c r="B1051" s="0" t="inlineStr">
        <is>
          <t>NULL</t>
        </is>
      </c>
      <c r="C1051" s="0" t="inlineStr">
        <is>
          <t>NULL</t>
        </is>
      </c>
      <c r="D1051" s="0" t="inlineStr">
        <is>
          <t>NULL</t>
        </is>
      </c>
      <c r="E1051" s="0" t="inlineStr">
        <is>
          <t>NULL</t>
        </is>
      </c>
      <c r="F1051" s="0" t="inlineStr">
        <is>
          <t>NULL</t>
        </is>
      </c>
      <c r="G1051" s="0" t="inlineStr">
        <is>
          <t>NULL</t>
        </is>
      </c>
      <c r="H1051" s="0" t="inlineStr">
        <is>
          <t>NULL</t>
        </is>
      </c>
      <c r="I1051" s="0" t="inlineStr">
        <is>
          <t>NULL</t>
        </is>
      </c>
      <c r="J1051" s="0" t="inlineStr">
        <is>
          <t>NULL</t>
        </is>
      </c>
      <c r="K1051" s="0" t="inlineStr">
        <is>
          <t xml:space="preserve"> NO!  	 c_varbinary_200列源备映射错误，源端为varbinary 200位	期望更改为text	实际备端为varbinary 200位</t>
        </is>
      </c>
      <c r="EH1051" s="0" t="inlineStr">
        <is>
          <t>60行 5列，源：None 备：</t>
        </is>
      </c>
      <c r="ES1051" s="0" t="inlineStr">
        <is>
          <t>60行 5列，源：None 备：</t>
        </is>
      </c>
    </row>
    <row r="1052">
      <c r="A1052" s="0" t="inlineStr">
        <is>
          <t>info_sql_variant_dml_single_pk_urp</t>
        </is>
      </c>
      <c r="K1052" s="0" t="inlineStr">
        <is>
          <t>[0;34m info_sql_variant_dml_single_pk_urp [0m源备字段数相同，源端字段：25 	备端字段25</t>
        </is>
      </c>
      <c r="W1052" s="2">
        <f>HYPERLINK("#2026041905hbase4!DV2","NO 源备存在差异，共29个")</f>
        <v/>
      </c>
      <c r="X1052" s="0">
        <f>A1052</f>
        <v/>
      </c>
      <c r="EH1052" s="0" t="inlineStr">
        <is>
          <t>60行 6列，源：None 备：</t>
        </is>
      </c>
      <c r="ES1052" s="0" t="inlineStr">
        <is>
          <t>60行 6列，源：None 备：</t>
        </is>
      </c>
    </row>
    <row r="1053">
      <c r="B1053" s="0" t="inlineStr">
        <is>
          <t>YES</t>
        </is>
      </c>
      <c r="C1053" s="0" t="inlineStr">
        <is>
          <t>NULL</t>
        </is>
      </c>
      <c r="D1053" s="0" t="inlineStr">
        <is>
          <t>NULL</t>
        </is>
      </c>
      <c r="E1053" s="0" t="inlineStr">
        <is>
          <t>NULL</t>
        </is>
      </c>
      <c r="F1053" s="0" t="inlineStr">
        <is>
          <t>NULL</t>
        </is>
      </c>
      <c r="G1053" s="0" t="inlineStr">
        <is>
          <t>NULL</t>
        </is>
      </c>
      <c r="H1053" s="0" t="inlineStr">
        <is>
          <t>NULL</t>
        </is>
      </c>
      <c r="I1053" s="0" t="inlineStr">
        <is>
          <t>YES!PK__info_sql__3213E83FEEEAFE12</t>
        </is>
      </c>
      <c r="J1053" s="0" t="inlineStr">
        <is>
          <t>YES! 主键相关索引</t>
        </is>
      </c>
      <c r="K1053" s="0" t="inlineStr">
        <is>
          <t xml:space="preserve"> NO!  	 id列源备映射错误，源端为int None位	期望更改为text	实际备端为int None位</t>
        </is>
      </c>
      <c r="EH1053" s="0" t="inlineStr">
        <is>
          <t>60行 7列，源：None 备：</t>
        </is>
      </c>
      <c r="ES1053" s="0" t="inlineStr">
        <is>
          <t>60行 7列，源：None 备：</t>
        </is>
      </c>
    </row>
    <row r="1054">
      <c r="B1054" s="0" t="inlineStr">
        <is>
          <t>NULL</t>
        </is>
      </c>
      <c r="C1054" s="0" t="inlineStr">
        <is>
          <t>NULL</t>
        </is>
      </c>
      <c r="D1054" s="0" t="inlineStr">
        <is>
          <t>NULL</t>
        </is>
      </c>
      <c r="E1054" s="0" t="inlineStr">
        <is>
          <t>NULL</t>
        </is>
      </c>
      <c r="F1054" s="0" t="inlineStr">
        <is>
          <t>NULL</t>
        </is>
      </c>
      <c r="G1054" s="0" t="inlineStr">
        <is>
          <t>NULL</t>
        </is>
      </c>
      <c r="H1054" s="0" t="inlineStr">
        <is>
          <t>NULL</t>
        </is>
      </c>
      <c r="I1054" s="0" t="inlineStr">
        <is>
          <t>NULL</t>
        </is>
      </c>
      <c r="J1054" s="0" t="inlineStr">
        <is>
          <t>NULL</t>
        </is>
      </c>
      <c r="K1054" s="0" t="inlineStr">
        <is>
          <t xml:space="preserve"> NO!  	 c_date列源备映射错误，源端为sql_variant 0位	期望更改为text	实际备端为sql_variant 0位</t>
        </is>
      </c>
      <c r="EH1054" s="0" t="inlineStr">
        <is>
          <t>60行 8列，源：None 备：</t>
        </is>
      </c>
      <c r="ES1054" s="0" t="inlineStr">
        <is>
          <t>60行 8列，源：None 备：</t>
        </is>
      </c>
    </row>
    <row r="1055">
      <c r="B1055" s="0" t="inlineStr">
        <is>
          <t>NULL</t>
        </is>
      </c>
      <c r="C1055" s="0" t="inlineStr">
        <is>
          <t>NULL</t>
        </is>
      </c>
      <c r="D1055" s="0" t="inlineStr">
        <is>
          <t>NULL</t>
        </is>
      </c>
      <c r="E1055" s="0" t="inlineStr">
        <is>
          <t>NULL</t>
        </is>
      </c>
      <c r="F1055" s="0" t="inlineStr">
        <is>
          <t>NULL</t>
        </is>
      </c>
      <c r="G1055" s="0" t="inlineStr">
        <is>
          <t>NULL</t>
        </is>
      </c>
      <c r="H1055" s="0" t="inlineStr">
        <is>
          <t>NULL</t>
        </is>
      </c>
      <c r="I1055" s="0" t="inlineStr">
        <is>
          <t>NULL</t>
        </is>
      </c>
      <c r="J1055" s="0" t="inlineStr">
        <is>
          <t>NULL</t>
        </is>
      </c>
      <c r="K1055" s="0" t="inlineStr">
        <is>
          <t xml:space="preserve"> NO!  	 c_time列源备映射错误，源端为sql_variant 0位	期望更改为text	实际备端为sql_variant 0位</t>
        </is>
      </c>
      <c r="EH1055" s="0" t="inlineStr">
        <is>
          <t>60行 9列，源：None 备：</t>
        </is>
      </c>
      <c r="ES1055" s="0" t="inlineStr">
        <is>
          <t>60行 9列，源：None 备：</t>
        </is>
      </c>
    </row>
    <row r="1056">
      <c r="B1056" s="0" t="inlineStr">
        <is>
          <t>NULL</t>
        </is>
      </c>
      <c r="C1056" s="0" t="inlineStr">
        <is>
          <t>NULL</t>
        </is>
      </c>
      <c r="D1056" s="0" t="inlineStr">
        <is>
          <t>NULL</t>
        </is>
      </c>
      <c r="E1056" s="0" t="inlineStr">
        <is>
          <t>NULL</t>
        </is>
      </c>
      <c r="F1056" s="0" t="inlineStr">
        <is>
          <t>NULL</t>
        </is>
      </c>
      <c r="G1056" s="0" t="inlineStr">
        <is>
          <t>NULL</t>
        </is>
      </c>
      <c r="H1056" s="0" t="inlineStr">
        <is>
          <t>NULL</t>
        </is>
      </c>
      <c r="I1056" s="0" t="inlineStr">
        <is>
          <t>NULL</t>
        </is>
      </c>
      <c r="J1056" s="0" t="inlineStr">
        <is>
          <t>NULL</t>
        </is>
      </c>
      <c r="K1056" s="0" t="inlineStr">
        <is>
          <t xml:space="preserve"> NO!  	 c_datetime2列源备映射错误，源端为sql_variant 0位	期望更改为text	实际备端为sql_variant 0位</t>
        </is>
      </c>
      <c r="EH1056" s="0" t="inlineStr">
        <is>
          <t>60行 10列，源：None 备：</t>
        </is>
      </c>
      <c r="ES1056" s="0" t="inlineStr">
        <is>
          <t>60行 10列，源：None 备：</t>
        </is>
      </c>
    </row>
    <row r="1057">
      <c r="B1057" s="0" t="inlineStr">
        <is>
          <t>NULL</t>
        </is>
      </c>
      <c r="C1057" s="0" t="inlineStr">
        <is>
          <t>NULL</t>
        </is>
      </c>
      <c r="D1057" s="0" t="inlineStr">
        <is>
          <t>NULL</t>
        </is>
      </c>
      <c r="E1057" s="0" t="inlineStr">
        <is>
          <t>NULL</t>
        </is>
      </c>
      <c r="F1057" s="0" t="inlineStr">
        <is>
          <t>NULL</t>
        </is>
      </c>
      <c r="G1057" s="0" t="inlineStr">
        <is>
          <t>NULL</t>
        </is>
      </c>
      <c r="H1057" s="0" t="inlineStr">
        <is>
          <t>NULL</t>
        </is>
      </c>
      <c r="I1057" s="0" t="inlineStr">
        <is>
          <t>NULL</t>
        </is>
      </c>
      <c r="J1057" s="0" t="inlineStr">
        <is>
          <t>NULL</t>
        </is>
      </c>
      <c r="K1057" s="0" t="inlineStr">
        <is>
          <t xml:space="preserve"> NO!  	 c_datetimeoffset列源备映射错误，源端为sql_variant 0位	期望更改为text	实际备端为sql_variant 0位</t>
        </is>
      </c>
      <c r="EH1057" s="0" t="inlineStr">
        <is>
          <t>60行 11列，源：None 备：</t>
        </is>
      </c>
      <c r="ES1057" s="0" t="inlineStr">
        <is>
          <t>60行 11列，源：None 备：</t>
        </is>
      </c>
    </row>
    <row r="1058">
      <c r="B1058" s="0" t="inlineStr">
        <is>
          <t>NULL</t>
        </is>
      </c>
      <c r="C1058" s="0" t="inlineStr">
        <is>
          <t>NULL</t>
        </is>
      </c>
      <c r="D1058" s="0" t="inlineStr">
        <is>
          <t>NULL</t>
        </is>
      </c>
      <c r="E1058" s="0" t="inlineStr">
        <is>
          <t>NULL</t>
        </is>
      </c>
      <c r="F1058" s="0" t="inlineStr">
        <is>
          <t>NULL</t>
        </is>
      </c>
      <c r="G1058" s="0" t="inlineStr">
        <is>
          <t>NULL</t>
        </is>
      </c>
      <c r="H1058" s="0" t="inlineStr">
        <is>
          <t>NULL</t>
        </is>
      </c>
      <c r="I1058" s="0" t="inlineStr">
        <is>
          <t>NULL</t>
        </is>
      </c>
      <c r="J1058" s="0" t="inlineStr">
        <is>
          <t>NULL</t>
        </is>
      </c>
      <c r="K1058" s="0" t="inlineStr">
        <is>
          <t xml:space="preserve"> NO!  	 c_tinyint列源备映射错误，源端为sql_variant 0位	期望更改为text	实际备端为sql_variant 0位</t>
        </is>
      </c>
      <c r="EH1058" s="0" t="inlineStr">
        <is>
          <t>60行 12列，源：None 备：</t>
        </is>
      </c>
      <c r="ES1058" s="0" t="inlineStr">
        <is>
          <t>60行 12列，源：None 备：</t>
        </is>
      </c>
    </row>
    <row r="1059">
      <c r="B1059" s="0" t="inlineStr">
        <is>
          <t>NULL</t>
        </is>
      </c>
      <c r="C1059" s="0" t="inlineStr">
        <is>
          <t>NULL</t>
        </is>
      </c>
      <c r="D1059" s="0" t="inlineStr">
        <is>
          <t>NULL</t>
        </is>
      </c>
      <c r="E1059" s="0" t="inlineStr">
        <is>
          <t>NULL</t>
        </is>
      </c>
      <c r="F1059" s="0" t="inlineStr">
        <is>
          <t>NULL</t>
        </is>
      </c>
      <c r="G1059" s="0" t="inlineStr">
        <is>
          <t>NULL</t>
        </is>
      </c>
      <c r="H1059" s="0" t="inlineStr">
        <is>
          <t>NULL</t>
        </is>
      </c>
      <c r="I1059" s="0" t="inlineStr">
        <is>
          <t>NULL</t>
        </is>
      </c>
      <c r="J1059" s="0" t="inlineStr">
        <is>
          <t>NULL</t>
        </is>
      </c>
      <c r="K1059" s="0" t="inlineStr">
        <is>
          <t xml:space="preserve"> NO!  	 c_smallint列源备映射错误，源端为sql_variant 0位	期望更改为text	实际备端为sql_variant 0位</t>
        </is>
      </c>
      <c r="EH1059" s="0" t="inlineStr">
        <is>
          <t>60行 13列，源：None 备：</t>
        </is>
      </c>
      <c r="ES1059" s="0" t="inlineStr">
        <is>
          <t>60行 13列，源：None 备：</t>
        </is>
      </c>
    </row>
    <row r="1060">
      <c r="B1060" s="0" t="inlineStr">
        <is>
          <t>NULL</t>
        </is>
      </c>
      <c r="C1060" s="0" t="inlineStr">
        <is>
          <t>NULL</t>
        </is>
      </c>
      <c r="D1060" s="0" t="inlineStr">
        <is>
          <t>NULL</t>
        </is>
      </c>
      <c r="E1060" s="0" t="inlineStr">
        <is>
          <t>NULL</t>
        </is>
      </c>
      <c r="F1060" s="0" t="inlineStr">
        <is>
          <t>NULL</t>
        </is>
      </c>
      <c r="G1060" s="0" t="inlineStr">
        <is>
          <t>NULL</t>
        </is>
      </c>
      <c r="H1060" s="0" t="inlineStr">
        <is>
          <t>NULL</t>
        </is>
      </c>
      <c r="I1060" s="0" t="inlineStr">
        <is>
          <t>NULL</t>
        </is>
      </c>
      <c r="J1060" s="0" t="inlineStr">
        <is>
          <t>NULL</t>
        </is>
      </c>
      <c r="K1060" s="0" t="inlineStr">
        <is>
          <t xml:space="preserve"> NO!  	 c_int列源备映射错误，源端为sql_variant 0位	期望更改为text	实际备端为sql_variant 0位</t>
        </is>
      </c>
      <c r="EH1060" s="0" t="inlineStr">
        <is>
          <t>60行 14列，源：None 备：</t>
        </is>
      </c>
      <c r="ES1060" s="0" t="inlineStr">
        <is>
          <t>60行 14列，源：None 备：</t>
        </is>
      </c>
    </row>
    <row r="1061">
      <c r="B1061" s="0" t="inlineStr">
        <is>
          <t>NULL</t>
        </is>
      </c>
      <c r="C1061" s="0" t="inlineStr">
        <is>
          <t>NULL</t>
        </is>
      </c>
      <c r="D1061" s="0" t="inlineStr">
        <is>
          <t>NULL</t>
        </is>
      </c>
      <c r="E1061" s="0" t="inlineStr">
        <is>
          <t>NULL</t>
        </is>
      </c>
      <c r="F1061" s="0" t="inlineStr">
        <is>
          <t>NULL</t>
        </is>
      </c>
      <c r="G1061" s="0" t="inlineStr">
        <is>
          <t>NULL</t>
        </is>
      </c>
      <c r="H1061" s="0" t="inlineStr">
        <is>
          <t>NULL</t>
        </is>
      </c>
      <c r="I1061" s="0" t="inlineStr">
        <is>
          <t>NULL</t>
        </is>
      </c>
      <c r="J1061" s="0" t="inlineStr">
        <is>
          <t>NULL</t>
        </is>
      </c>
      <c r="K1061" s="0" t="inlineStr">
        <is>
          <t xml:space="preserve"> NO!  	 c_sdt列源备映射错误，源端为sql_variant 0位	期望更改为text	实际备端为sql_variant 0位</t>
        </is>
      </c>
      <c r="EH1061" s="0" t="inlineStr">
        <is>
          <t>60行 15列，源：nan 备：</t>
        </is>
      </c>
      <c r="ES1061" s="0" t="inlineStr">
        <is>
          <t>60行 15列，源：-1.79e+308 备：</t>
        </is>
      </c>
    </row>
    <row r="1062">
      <c r="B1062" s="0" t="inlineStr">
        <is>
          <t>NULL</t>
        </is>
      </c>
      <c r="C1062" s="0" t="inlineStr">
        <is>
          <t>NULL</t>
        </is>
      </c>
      <c r="D1062" s="0" t="inlineStr">
        <is>
          <t>NULL</t>
        </is>
      </c>
      <c r="E1062" s="0" t="inlineStr">
        <is>
          <t>NULL</t>
        </is>
      </c>
      <c r="F1062" s="0" t="inlineStr">
        <is>
          <t>NULL</t>
        </is>
      </c>
      <c r="G1062" s="0" t="inlineStr">
        <is>
          <t>NULL</t>
        </is>
      </c>
      <c r="H1062" s="0" t="inlineStr">
        <is>
          <t>NULL</t>
        </is>
      </c>
      <c r="I1062" s="0" t="inlineStr">
        <is>
          <t>NULL</t>
        </is>
      </c>
      <c r="J1062" s="0" t="inlineStr">
        <is>
          <t>NULL</t>
        </is>
      </c>
      <c r="K1062" s="0" t="inlineStr">
        <is>
          <t xml:space="preserve"> NO!  	 c_real列源备映射错误，源端为sql_variant 0位	期望更改为text	实际备端为sql_variant 0位</t>
        </is>
      </c>
      <c r="EH1062" s="0" t="inlineStr">
        <is>
          <t>60行 16列，源：nan 备：</t>
        </is>
      </c>
      <c r="ES1062" s="0" t="inlineStr">
        <is>
          <t>60行 16列，源：-3.3999999521443642e+38 备：</t>
        </is>
      </c>
    </row>
    <row r="1063">
      <c r="B1063" s="0" t="inlineStr">
        <is>
          <t>NULL</t>
        </is>
      </c>
      <c r="C1063" s="0" t="inlineStr">
        <is>
          <t>NULL</t>
        </is>
      </c>
      <c r="D1063" s="0" t="inlineStr">
        <is>
          <t>NULL</t>
        </is>
      </c>
      <c r="E1063" s="0" t="inlineStr">
        <is>
          <t>NULL</t>
        </is>
      </c>
      <c r="F1063" s="0" t="inlineStr">
        <is>
          <t>NULL</t>
        </is>
      </c>
      <c r="G1063" s="0" t="inlineStr">
        <is>
          <t>NULL</t>
        </is>
      </c>
      <c r="H1063" s="0" t="inlineStr">
        <is>
          <t>NULL</t>
        </is>
      </c>
      <c r="I1063" s="0" t="inlineStr">
        <is>
          <t>NULL</t>
        </is>
      </c>
      <c r="J1063" s="0" t="inlineStr">
        <is>
          <t>NULL</t>
        </is>
      </c>
      <c r="K1063" s="0" t="inlineStr">
        <is>
          <t xml:space="preserve"> NO!  	 c_money列源备映射错误，源端为sql_variant 0位	期望更改为text	实际备端为sql_variant 0位</t>
        </is>
      </c>
      <c r="EH1063" s="0" t="inlineStr">
        <is>
          <t>60行 17列，源：None 备：</t>
        </is>
      </c>
      <c r="ES1063" s="0" t="inlineStr">
        <is>
          <t>60行 19列，源：False 备：</t>
        </is>
      </c>
    </row>
    <row r="1064">
      <c r="B1064" s="0" t="inlineStr">
        <is>
          <t>NULL</t>
        </is>
      </c>
      <c r="C1064" s="0" t="inlineStr">
        <is>
          <t>NULL</t>
        </is>
      </c>
      <c r="D1064" s="0" t="inlineStr">
        <is>
          <t>NULL</t>
        </is>
      </c>
      <c r="E1064" s="0" t="inlineStr">
        <is>
          <t>NULL</t>
        </is>
      </c>
      <c r="F1064" s="0" t="inlineStr">
        <is>
          <t>NULL</t>
        </is>
      </c>
      <c r="G1064" s="0" t="inlineStr">
        <is>
          <t>NULL</t>
        </is>
      </c>
      <c r="H1064" s="0" t="inlineStr">
        <is>
          <t>NULL</t>
        </is>
      </c>
      <c r="I1064" s="0" t="inlineStr">
        <is>
          <t>NULL</t>
        </is>
      </c>
      <c r="J1064" s="0" t="inlineStr">
        <is>
          <t>NULL</t>
        </is>
      </c>
      <c r="K1064" s="0" t="inlineStr">
        <is>
          <t xml:space="preserve"> NO!  	 c_datetime列源备映射错误，源端为sql_variant 0位	期望更改为text	实际备端为sql_variant 0位</t>
        </is>
      </c>
      <c r="EH1064" s="0" t="inlineStr">
        <is>
          <t>60行 18列，源：None 备：</t>
        </is>
      </c>
      <c r="ES1064" s="0" t="inlineStr">
        <is>
          <t>61行 0列，源：202 备：512</t>
        </is>
      </c>
    </row>
    <row r="1065">
      <c r="B1065" s="0" t="inlineStr">
        <is>
          <t>NULL</t>
        </is>
      </c>
      <c r="C1065" s="0" t="inlineStr">
        <is>
          <t>NULL</t>
        </is>
      </c>
      <c r="D1065" s="0" t="inlineStr">
        <is>
          <t>NULL</t>
        </is>
      </c>
      <c r="E1065" s="0" t="inlineStr">
        <is>
          <t>NULL</t>
        </is>
      </c>
      <c r="F1065" s="0" t="inlineStr">
        <is>
          <t>NULL</t>
        </is>
      </c>
      <c r="G1065" s="0" t="inlineStr">
        <is>
          <t>NULL</t>
        </is>
      </c>
      <c r="H1065" s="0" t="inlineStr">
        <is>
          <t>NULL</t>
        </is>
      </c>
      <c r="I1065" s="0" t="inlineStr">
        <is>
          <t>NULL</t>
        </is>
      </c>
      <c r="J1065" s="0" t="inlineStr">
        <is>
          <t>NULL</t>
        </is>
      </c>
      <c r="K1065" s="0" t="inlineStr">
        <is>
          <t xml:space="preserve"> NO!  	 c_float列源备映射错误，源端为sql_variant 0位	期望更改为text	实际备端为sql_variant 0位</t>
        </is>
      </c>
      <c r="EH1065" s="0" t="inlineStr">
        <is>
          <t>60行 19列，源：None 备：</t>
        </is>
      </c>
      <c r="ES1065" s="0" t="inlineStr">
        <is>
          <t>61行 1列，源：nan 备：</t>
        </is>
      </c>
    </row>
    <row r="1066">
      <c r="B1066" s="0" t="inlineStr">
        <is>
          <t>NULL</t>
        </is>
      </c>
      <c r="C1066" s="0" t="inlineStr">
        <is>
          <t>NULL</t>
        </is>
      </c>
      <c r="D1066" s="0" t="inlineStr">
        <is>
          <t>NULL</t>
        </is>
      </c>
      <c r="E1066" s="0" t="inlineStr">
        <is>
          <t>NULL</t>
        </is>
      </c>
      <c r="F1066" s="0" t="inlineStr">
        <is>
          <t>NULL</t>
        </is>
      </c>
      <c r="G1066" s="0" t="inlineStr">
        <is>
          <t>NULL</t>
        </is>
      </c>
      <c r="H1066" s="0" t="inlineStr">
        <is>
          <t>NULL</t>
        </is>
      </c>
      <c r="I1066" s="0" t="inlineStr">
        <is>
          <t>NULL</t>
        </is>
      </c>
      <c r="J1066" s="0" t="inlineStr">
        <is>
          <t>NULL</t>
        </is>
      </c>
      <c r="K1066" s="0" t="inlineStr">
        <is>
          <t xml:space="preserve"> NO!  	 c_bit列源备映射错误，源端为sql_variant 0位	期望更改为text	实际备端为sql_variant 0位</t>
        </is>
      </c>
      <c r="EH1066" s="0" t="inlineStr">
        <is>
          <t>61行 0列，源：152 备：209</t>
        </is>
      </c>
      <c r="ES1066" s="0" t="inlineStr">
        <is>
          <t>61行 2列，源：nan 备：</t>
        </is>
      </c>
    </row>
    <row r="1067">
      <c r="B1067" s="0" t="inlineStr">
        <is>
          <t>NULL</t>
        </is>
      </c>
      <c r="C1067" s="0" t="inlineStr">
        <is>
          <t>NULL</t>
        </is>
      </c>
      <c r="D1067" s="0" t="inlineStr">
        <is>
          <t>NULL</t>
        </is>
      </c>
      <c r="E1067" s="0" t="inlineStr">
        <is>
          <t>NULL</t>
        </is>
      </c>
      <c r="F1067" s="0" t="inlineStr">
        <is>
          <t>NULL</t>
        </is>
      </c>
      <c r="G1067" s="0" t="inlineStr">
        <is>
          <t>NULL</t>
        </is>
      </c>
      <c r="H1067" s="0" t="inlineStr">
        <is>
          <t>NULL</t>
        </is>
      </c>
      <c r="I1067" s="0" t="inlineStr">
        <is>
          <t>NULL</t>
        </is>
      </c>
      <c r="J1067" s="0" t="inlineStr">
        <is>
          <t>NULL</t>
        </is>
      </c>
      <c r="K1067" s="0" t="inlineStr">
        <is>
          <t xml:space="preserve"> NO!  	 c_decimal列源备映射错误，源端为sql_variant 0位	期望更改为text	实际备端为sql_variant 0位</t>
        </is>
      </c>
      <c r="EH1067" s="0" t="inlineStr">
        <is>
          <t>61行 1列，源：nan 备：</t>
        </is>
      </c>
      <c r="ES1067" s="0" t="inlineStr">
        <is>
          <t>61行 3列，源：nan 备：</t>
        </is>
      </c>
    </row>
    <row r="1068">
      <c r="B1068" s="0" t="inlineStr">
        <is>
          <t>NULL</t>
        </is>
      </c>
      <c r="C1068" s="0" t="inlineStr">
        <is>
          <t>NULL</t>
        </is>
      </c>
      <c r="D1068" s="0" t="inlineStr">
        <is>
          <t>NULL</t>
        </is>
      </c>
      <c r="E1068" s="0" t="inlineStr">
        <is>
          <t>NULL</t>
        </is>
      </c>
      <c r="F1068" s="0" t="inlineStr">
        <is>
          <t>NULL</t>
        </is>
      </c>
      <c r="G1068" s="0" t="inlineStr">
        <is>
          <t>NULL</t>
        </is>
      </c>
      <c r="H1068" s="0" t="inlineStr">
        <is>
          <t>NULL</t>
        </is>
      </c>
      <c r="I1068" s="0" t="inlineStr">
        <is>
          <t>NULL</t>
        </is>
      </c>
      <c r="J1068" s="0" t="inlineStr">
        <is>
          <t>NULL</t>
        </is>
      </c>
      <c r="K1068" s="0" t="inlineStr">
        <is>
          <t xml:space="preserve"> NO!  	 c_uniqueidentifier列源备映射错误，源端为sql_variant 0位	期望更改为text	实际备端为sql_variant 0位</t>
        </is>
      </c>
      <c r="EH1068" s="0" t="inlineStr">
        <is>
          <t>61行 2列，源：nan 备：</t>
        </is>
      </c>
      <c r="ES1068" s="0" t="inlineStr">
        <is>
          <t>61行 4列，源：nan 备：</t>
        </is>
      </c>
    </row>
    <row r="1069">
      <c r="B1069" s="0" t="inlineStr">
        <is>
          <t>NULL</t>
        </is>
      </c>
      <c r="C1069" s="0" t="inlineStr">
        <is>
          <t>NULL</t>
        </is>
      </c>
      <c r="D1069" s="0" t="inlineStr">
        <is>
          <t>NULL</t>
        </is>
      </c>
      <c r="E1069" s="0" t="inlineStr">
        <is>
          <t>NULL</t>
        </is>
      </c>
      <c r="F1069" s="0" t="inlineStr">
        <is>
          <t>NULL</t>
        </is>
      </c>
      <c r="G1069" s="0" t="inlineStr">
        <is>
          <t>NULL</t>
        </is>
      </c>
      <c r="H1069" s="0" t="inlineStr">
        <is>
          <t>NULL</t>
        </is>
      </c>
      <c r="I1069" s="0" t="inlineStr">
        <is>
          <t>NULL</t>
        </is>
      </c>
      <c r="J1069" s="0" t="inlineStr">
        <is>
          <t>NULL</t>
        </is>
      </c>
      <c r="K1069" s="0" t="inlineStr">
        <is>
          <t xml:space="preserve"> NO!  	 c_smallmoney列源备映射错误，源端为sql_variant 0位	期望更改为text	实际备端为sql_variant 0位</t>
        </is>
      </c>
      <c r="EH1069" s="0" t="inlineStr">
        <is>
          <t>61行 3列，源：nan 备：</t>
        </is>
      </c>
      <c r="ES1069" s="0" t="inlineStr">
        <is>
          <t>61行 5列，源：None 备：123</t>
        </is>
      </c>
    </row>
    <row r="1070">
      <c r="B1070" s="0" t="inlineStr">
        <is>
          <t>NULL</t>
        </is>
      </c>
      <c r="C1070" s="0" t="inlineStr">
        <is>
          <t>NULL</t>
        </is>
      </c>
      <c r="D1070" s="0" t="inlineStr">
        <is>
          <t>NULL</t>
        </is>
      </c>
      <c r="E1070" s="0" t="inlineStr">
        <is>
          <t>NULL</t>
        </is>
      </c>
      <c r="F1070" s="0" t="inlineStr">
        <is>
          <t>NULL</t>
        </is>
      </c>
      <c r="G1070" s="0" t="inlineStr">
        <is>
          <t>NULL</t>
        </is>
      </c>
      <c r="H1070" s="0" t="inlineStr">
        <is>
          <t>NULL</t>
        </is>
      </c>
      <c r="I1070" s="0" t="inlineStr">
        <is>
          <t>NULL</t>
        </is>
      </c>
      <c r="J1070" s="0" t="inlineStr">
        <is>
          <t>NULL</t>
        </is>
      </c>
      <c r="K1070" s="0" t="inlineStr">
        <is>
          <t xml:space="preserve"> NO!  	 c_bigint列源备映射错误，源端为sql_variant 0位	期望更改为text	实际备端为sql_variant 0位</t>
        </is>
      </c>
      <c r="EH1070" s="0" t="inlineStr">
        <is>
          <t>61行 4列，源：nan 备：</t>
        </is>
      </c>
      <c r="ES1070" s="0" t="inlineStr">
        <is>
          <t>61行 6列，源：None 备：12345678901234567890123789012345678</t>
        </is>
      </c>
    </row>
    <row r="1071">
      <c r="B1071" s="0" t="inlineStr">
        <is>
          <t>NULL</t>
        </is>
      </c>
      <c r="C1071" s="0" t="inlineStr">
        <is>
          <t>NULL</t>
        </is>
      </c>
      <c r="D1071" s="0" t="inlineStr">
        <is>
          <t>NULL</t>
        </is>
      </c>
      <c r="E1071" s="0" t="inlineStr">
        <is>
          <t>NULL</t>
        </is>
      </c>
      <c r="F1071" s="0" t="inlineStr">
        <is>
          <t>NULL</t>
        </is>
      </c>
      <c r="G1071" s="0" t="inlineStr">
        <is>
          <t>NULL</t>
        </is>
      </c>
      <c r="H1071" s="0" t="inlineStr">
        <is>
          <t>NULL</t>
        </is>
      </c>
      <c r="I1071" s="0" t="inlineStr">
        <is>
          <t>NULL</t>
        </is>
      </c>
      <c r="J1071" s="0" t="inlineStr">
        <is>
          <t>NULL</t>
        </is>
      </c>
      <c r="K1071" s="0" t="inlineStr">
        <is>
          <t xml:space="preserve"> NO!  	 c_varbinary_20列源备映射错误，源端为sql_variant 0位	期望更改为text	实际备端为sql_variant 0位</t>
        </is>
      </c>
      <c r="EH1071" s="0" t="inlineStr">
        <is>
          <t>61行 5列，源：None 备：</t>
        </is>
      </c>
      <c r="ES1071" s="0" t="inlineStr">
        <is>
          <t>61行 7列，源：None 备：0.12345678901234590123456789012367800000</t>
        </is>
      </c>
    </row>
    <row r="1072">
      <c r="B1072" s="0" t="inlineStr">
        <is>
          <t>NULL</t>
        </is>
      </c>
      <c r="C1072" s="0" t="inlineStr">
        <is>
          <t>NULL</t>
        </is>
      </c>
      <c r="D1072" s="0" t="inlineStr">
        <is>
          <t>NULL</t>
        </is>
      </c>
      <c r="E1072" s="0" t="inlineStr">
        <is>
          <t>NULL</t>
        </is>
      </c>
      <c r="F1072" s="0" t="inlineStr">
        <is>
          <t>NULL</t>
        </is>
      </c>
      <c r="G1072" s="0" t="inlineStr">
        <is>
          <t>NULL</t>
        </is>
      </c>
      <c r="H1072" s="0" t="inlineStr">
        <is>
          <t>NULL</t>
        </is>
      </c>
      <c r="I1072" s="0" t="inlineStr">
        <is>
          <t>NULL</t>
        </is>
      </c>
      <c r="J1072" s="0" t="inlineStr">
        <is>
          <t>NULL</t>
        </is>
      </c>
      <c r="K1072" s="0" t="inlineStr">
        <is>
          <t xml:space="preserve"> NO!  	 c_varchar_20列源备映射错误，源端为sql_variant 0位	期望更改为text	实际备端为sql_variant 0位</t>
        </is>
      </c>
      <c r="EH1072" s="0" t="inlineStr">
        <is>
          <t>61行 6列，源：None 备：</t>
        </is>
      </c>
      <c r="ES1072" s="0" t="inlineStr">
        <is>
          <t>61行 8列，源：None 备：123456789012367012345678.1245890000</t>
        </is>
      </c>
    </row>
    <row r="1073">
      <c r="B1073" s="0" t="inlineStr">
        <is>
          <t>NULL</t>
        </is>
      </c>
      <c r="C1073" s="0" t="inlineStr">
        <is>
          <t>NULL</t>
        </is>
      </c>
      <c r="D1073" s="0" t="inlineStr">
        <is>
          <t>NULL</t>
        </is>
      </c>
      <c r="E1073" s="0" t="inlineStr">
        <is>
          <t>NULL</t>
        </is>
      </c>
      <c r="F1073" s="0" t="inlineStr">
        <is>
          <t>NULL</t>
        </is>
      </c>
      <c r="G1073" s="0" t="inlineStr">
        <is>
          <t>NULL</t>
        </is>
      </c>
      <c r="H1073" s="0" t="inlineStr">
        <is>
          <t>NULL</t>
        </is>
      </c>
      <c r="I1073" s="0" t="inlineStr">
        <is>
          <t>NULL</t>
        </is>
      </c>
      <c r="J1073" s="0" t="inlineStr">
        <is>
          <t>NULL</t>
        </is>
      </c>
      <c r="K1073" s="0" t="inlineStr">
        <is>
          <t xml:space="preserve"> NO!  	 c_binary_20列源备映射错误，源端为sql_variant 0位	期望更改为text	实际备端为sql_variant 0位</t>
        </is>
      </c>
      <c r="EH1073" s="0" t="inlineStr">
        <is>
          <t>61行 7列，源：None 备：</t>
        </is>
      </c>
      <c r="ES1073" s="0" t="inlineStr">
        <is>
          <t>61行 9列，源：None 备：123456712345.6789</t>
        </is>
      </c>
    </row>
    <row r="1074">
      <c r="B1074" s="0" t="inlineStr">
        <is>
          <t>NULL</t>
        </is>
      </c>
      <c r="C1074" s="0" t="inlineStr">
        <is>
          <t>NULL</t>
        </is>
      </c>
      <c r="D1074" s="0" t="inlineStr">
        <is>
          <t>NULL</t>
        </is>
      </c>
      <c r="E1074" s="0" t="inlineStr">
        <is>
          <t>NULL</t>
        </is>
      </c>
      <c r="F1074" s="0" t="inlineStr">
        <is>
          <t>NULL</t>
        </is>
      </c>
      <c r="G1074" s="0" t="inlineStr">
        <is>
          <t>NULL</t>
        </is>
      </c>
      <c r="H1074" s="0" t="inlineStr">
        <is>
          <t>NULL</t>
        </is>
      </c>
      <c r="I1074" s="0" t="inlineStr">
        <is>
          <t>NULL</t>
        </is>
      </c>
      <c r="J1074" s="0" t="inlineStr">
        <is>
          <t>NULL</t>
        </is>
      </c>
      <c r="K1074" s="0" t="inlineStr">
        <is>
          <t xml:space="preserve"> NO!  	 c_char_20列源备映射错误，源端为sql_variant 0位	期望更改为text	实际备端为sql_variant 0位</t>
        </is>
      </c>
      <c r="EH1074" s="0" t="inlineStr">
        <is>
          <t>61行 8列，源：None 备：</t>
        </is>
      </c>
      <c r="ES1074" s="0" t="inlineStr">
        <is>
          <t>61行 10列，源：None 备：988</t>
        </is>
      </c>
    </row>
    <row r="1075">
      <c r="B1075" s="0" t="inlineStr">
        <is>
          <t>NULL</t>
        </is>
      </c>
      <c r="C1075" s="0" t="inlineStr">
        <is>
          <t>NULL</t>
        </is>
      </c>
      <c r="D1075" s="0" t="inlineStr">
        <is>
          <t>NULL</t>
        </is>
      </c>
      <c r="E1075" s="0" t="inlineStr">
        <is>
          <t>NULL</t>
        </is>
      </c>
      <c r="F1075" s="0" t="inlineStr">
        <is>
          <t>NULL</t>
        </is>
      </c>
      <c r="G1075" s="0" t="inlineStr">
        <is>
          <t>NULL</t>
        </is>
      </c>
      <c r="H1075" s="0" t="inlineStr">
        <is>
          <t>NULL</t>
        </is>
      </c>
      <c r="I1075" s="0" t="inlineStr">
        <is>
          <t>NULL</t>
        </is>
      </c>
      <c r="J1075" s="0" t="inlineStr">
        <is>
          <t>NULL</t>
        </is>
      </c>
      <c r="K1075" s="0" t="inlineStr">
        <is>
          <t xml:space="preserve"> NO!  	 c_nvarchar_20列源备映射错误，源端为sql_variant 0位	期望更改为text	实际备端为sql_variant 0位</t>
        </is>
      </c>
      <c r="EH1075" s="0" t="inlineStr">
        <is>
          <t>61行 9列，源：None 备：</t>
        </is>
      </c>
      <c r="ES1075" s="0" t="inlineStr">
        <is>
          <t>61行 11列，源：None 备：987654321098765410987654321098765432</t>
        </is>
      </c>
    </row>
    <row r="1076">
      <c r="B1076" s="0" t="inlineStr">
        <is>
          <t>NULL</t>
        </is>
      </c>
      <c r="C1076" s="0" t="inlineStr">
        <is>
          <t>NULL</t>
        </is>
      </c>
      <c r="D1076" s="0" t="inlineStr">
        <is>
          <t>NULL</t>
        </is>
      </c>
      <c r="E1076" s="0" t="inlineStr">
        <is>
          <t>NULL</t>
        </is>
      </c>
      <c r="F1076" s="0" t="inlineStr">
        <is>
          <t>NULL</t>
        </is>
      </c>
      <c r="G1076" s="0" t="inlineStr">
        <is>
          <t>NULL</t>
        </is>
      </c>
      <c r="H1076" s="0" t="inlineStr">
        <is>
          <t>NULL</t>
        </is>
      </c>
      <c r="I1076" s="0" t="inlineStr">
        <is>
          <t>NULL</t>
        </is>
      </c>
      <c r="J1076" s="0" t="inlineStr">
        <is>
          <t>NULL</t>
        </is>
      </c>
      <c r="K1076" s="0" t="inlineStr">
        <is>
          <t xml:space="preserve"> NO!  	 c_nchar_20列源备映射错误，源端为sql_variant 0位	期望更改为text	实际备端为sql_variant 0位</t>
        </is>
      </c>
      <c r="EH1076" s="0" t="inlineStr">
        <is>
          <t>61行 10列，源：None 备：</t>
        </is>
      </c>
      <c r="ES1076" s="0" t="inlineStr">
        <is>
          <t>61行 12列，源：None 备：0.98765432109874321098765432109876543200</t>
        </is>
      </c>
    </row>
    <row r="1077">
      <c r="B1077" s="0" t="inlineStr">
        <is>
          <t>NULL</t>
        </is>
      </c>
      <c r="C1077" s="0" t="inlineStr">
        <is>
          <t>NULL</t>
        </is>
      </c>
      <c r="D1077" s="0" t="inlineStr">
        <is>
          <t>NULL</t>
        </is>
      </c>
      <c r="E1077" s="0" t="inlineStr">
        <is>
          <t>NULL</t>
        </is>
      </c>
      <c r="F1077" s="0" t="inlineStr">
        <is>
          <t>NULL</t>
        </is>
      </c>
      <c r="G1077" s="0" t="inlineStr">
        <is>
          <t>NULL</t>
        </is>
      </c>
      <c r="H1077" s="0" t="inlineStr">
        <is>
          <t>NULL</t>
        </is>
      </c>
      <c r="I1077" s="0" t="inlineStr">
        <is>
          <t>NULL</t>
        </is>
      </c>
      <c r="J1077" s="0" t="inlineStr">
        <is>
          <t>NULL</t>
        </is>
      </c>
      <c r="K1077" s="0" t="inlineStr">
        <is>
          <t xml:space="preserve"> NO!  	 c_timestamp列源备映射错误，源端为timestamp None位	期望更改为text	实际备端为timestamp None位</t>
        </is>
      </c>
      <c r="EH1077" s="0" t="inlineStr">
        <is>
          <t>61行 11列，源：None 备：</t>
        </is>
      </c>
      <c r="ES1077" s="0" t="inlineStr">
        <is>
          <t>61行 13列，源：None 备：987654321098765432105432.1098542000</t>
        </is>
      </c>
    </row>
    <row r="1078">
      <c r="A1078" s="0" t="inlineStr">
        <is>
          <t>info_varchar_dml_batch2_pk_irp2</t>
        </is>
      </c>
      <c r="K1078" s="0" t="inlineStr">
        <is>
          <t>[0;34m info_varchar_dml_batch2_pk_irp2 [0m源备字段数相同，源端字段：4 	备端字段4</t>
        </is>
      </c>
      <c r="W1078" s="0" t="inlineStr">
        <is>
          <t>YES 源备无差异</t>
        </is>
      </c>
      <c r="X1078" s="0">
        <f>A1078</f>
        <v/>
      </c>
      <c r="EH1078" s="0" t="inlineStr">
        <is>
          <t>61行 12列，源：None 备：</t>
        </is>
      </c>
      <c r="ES1078" s="0" t="inlineStr">
        <is>
          <t>61行 14列，源：None 备：1234567012456.78</t>
        </is>
      </c>
    </row>
    <row r="1079">
      <c r="B1079" s="0" t="inlineStr">
        <is>
          <t>YES</t>
        </is>
      </c>
      <c r="C1079" s="0" t="inlineStr">
        <is>
          <t>NULL</t>
        </is>
      </c>
      <c r="D1079" s="0" t="inlineStr">
        <is>
          <t>NULL</t>
        </is>
      </c>
      <c r="E1079" s="0" t="inlineStr">
        <is>
          <t>NULL</t>
        </is>
      </c>
      <c r="F1079" s="0" t="inlineStr">
        <is>
          <t>NULL</t>
        </is>
      </c>
      <c r="G1079" s="0" t="inlineStr">
        <is>
          <t>NULL</t>
        </is>
      </c>
      <c r="H1079" s="0" t="inlineStr">
        <is>
          <t>NULL</t>
        </is>
      </c>
      <c r="I1079" s="0" t="inlineStr">
        <is>
          <t>YES!PK__info_var__3213E83FF27A2C5A</t>
        </is>
      </c>
      <c r="J1079" s="0" t="inlineStr">
        <is>
          <t>YES! 主键相关索引</t>
        </is>
      </c>
      <c r="K1079" s="0" t="inlineStr">
        <is>
          <t xml:space="preserve"> NO!  	 id列源备映射错误，源端为int None位	期望更改为text	实际备端为int None位</t>
        </is>
      </c>
      <c r="EH1079" s="0" t="inlineStr">
        <is>
          <t>61行 13列，源：None 备：</t>
        </is>
      </c>
      <c r="ES1079" s="0" t="inlineStr">
        <is>
          <t>61行 15列，源：1.79e+308 备：</t>
        </is>
      </c>
    </row>
    <row r="1080">
      <c r="B1080" s="0" t="inlineStr">
        <is>
          <t>NULL</t>
        </is>
      </c>
      <c r="C1080" s="0" t="inlineStr">
        <is>
          <t>NULL</t>
        </is>
      </c>
      <c r="D1080" s="0" t="inlineStr">
        <is>
          <t>NULL</t>
        </is>
      </c>
      <c r="E1080" s="0" t="inlineStr">
        <is>
          <t>NULL</t>
        </is>
      </c>
      <c r="F1080" s="0" t="inlineStr">
        <is>
          <t>NULL</t>
        </is>
      </c>
      <c r="G1080" s="0" t="inlineStr">
        <is>
          <t>NULL</t>
        </is>
      </c>
      <c r="H1080" s="0" t="inlineStr">
        <is>
          <t>NULL</t>
        </is>
      </c>
      <c r="I1080" s="0" t="inlineStr">
        <is>
          <t>NULL</t>
        </is>
      </c>
      <c r="J1080" s="0" t="inlineStr">
        <is>
          <t>NULL</t>
        </is>
      </c>
      <c r="K1080" s="0" t="inlineStr">
        <is>
          <t xml:space="preserve"> NO!  	 c_varchar列源备映射错误，源端为varchar 1位	期望更改为text	实际备端为varchar 1位</t>
        </is>
      </c>
      <c r="EH1080" s="0" t="inlineStr">
        <is>
          <t>61行 14列，源：None 备：</t>
        </is>
      </c>
      <c r="ES1080" s="0" t="inlineStr">
        <is>
          <t>61行 16列，源：3.3999999521443642e+38 备：</t>
        </is>
      </c>
    </row>
    <row r="1081">
      <c r="B1081" s="0" t="inlineStr">
        <is>
          <t>NULL</t>
        </is>
      </c>
      <c r="C1081" s="0" t="inlineStr">
        <is>
          <t>NULL</t>
        </is>
      </c>
      <c r="D1081" s="0" t="inlineStr">
        <is>
          <t>NULL</t>
        </is>
      </c>
      <c r="E1081" s="0" t="inlineStr">
        <is>
          <t>NULL</t>
        </is>
      </c>
      <c r="F1081" s="0" t="inlineStr">
        <is>
          <t>NULL</t>
        </is>
      </c>
      <c r="G1081" s="0" t="inlineStr">
        <is>
          <t>NULL</t>
        </is>
      </c>
      <c r="H1081" s="0" t="inlineStr">
        <is>
          <t>NULL</t>
        </is>
      </c>
      <c r="I1081" s="0" t="inlineStr">
        <is>
          <t>NULL</t>
        </is>
      </c>
      <c r="J1081" s="0" t="inlineStr">
        <is>
          <t>NULL</t>
        </is>
      </c>
      <c r="K1081" s="0" t="inlineStr">
        <is>
          <t xml:space="preserve"> NO!  	 c_varchar20列源备映射错误，源端为varchar 20位	期望更改为text	实际备端为varchar 20位</t>
        </is>
      </c>
      <c r="EH1081" s="0" t="inlineStr">
        <is>
          <t>61行 15列，源：nan 备：</t>
        </is>
      </c>
      <c r="ES1081" s="0" t="inlineStr">
        <is>
          <t>61行 19列，源：True 备：</t>
        </is>
      </c>
    </row>
    <row r="1082">
      <c r="B1082" s="0" t="inlineStr">
        <is>
          <t>NULL</t>
        </is>
      </c>
      <c r="C1082" s="0" t="inlineStr">
        <is>
          <t>NULL</t>
        </is>
      </c>
      <c r="D1082" s="0" t="inlineStr">
        <is>
          <t>NULL</t>
        </is>
      </c>
      <c r="E1082" s="0" t="inlineStr">
        <is>
          <t>NULL</t>
        </is>
      </c>
      <c r="F1082" s="0" t="inlineStr">
        <is>
          <t>NULL</t>
        </is>
      </c>
      <c r="G1082" s="0" t="inlineStr">
        <is>
          <t>NULL</t>
        </is>
      </c>
      <c r="H1082" s="0" t="inlineStr">
        <is>
          <t>NULL</t>
        </is>
      </c>
      <c r="I1082" s="0" t="inlineStr">
        <is>
          <t>NULL</t>
        </is>
      </c>
      <c r="J1082" s="0" t="inlineStr">
        <is>
          <t>NULL</t>
        </is>
      </c>
      <c r="K1082" s="0" t="inlineStr">
        <is>
          <t xml:space="preserve"> NO!  	 c_varchar200列源备映射错误，源端为varchar 200位	期望更改为text	实际备端为varchar 200位</t>
        </is>
      </c>
      <c r="EH1082" s="0" t="inlineStr">
        <is>
          <t>61行 16列，源：nan 备：</t>
        </is>
      </c>
      <c r="ES1082" s="0" t="inlineStr">
        <is>
          <t>62行 0列，源：203 备：514</t>
        </is>
      </c>
    </row>
    <row r="1083">
      <c r="K1083" s="0" t="inlineStr">
        <is>
          <t>~ 空表</t>
        </is>
      </c>
      <c r="EH1083" s="0" t="inlineStr">
        <is>
          <t>61行 17列，源：None 备：</t>
        </is>
      </c>
      <c r="ES1083" s="0" t="inlineStr">
        <is>
          <t>62行 1列，源：nan 备：</t>
        </is>
      </c>
    </row>
    <row r="1084">
      <c r="A1084" s="0" t="inlineStr">
        <is>
          <t>info_sql_variant_dml_single_pk_drp</t>
        </is>
      </c>
      <c r="K1084" s="0" t="inlineStr">
        <is>
          <t>[0;34m info_sql_variant_dml_single_pk_drp [0m源备字段数相同，源端字段：25 	备端字段25</t>
        </is>
      </c>
      <c r="W1084" s="2">
        <f>HYPERLINK("#2026041905hbase4!DW2","NO 源备存在差异，共3个")</f>
        <v/>
      </c>
      <c r="X1084" s="0">
        <f>A1084</f>
        <v/>
      </c>
      <c r="EH1084" s="0" t="inlineStr">
        <is>
          <t>61行 18列，源：None 备：</t>
        </is>
      </c>
      <c r="ES1084" s="0" t="inlineStr">
        <is>
          <t>62行 2列，源：nan 备：</t>
        </is>
      </c>
    </row>
    <row r="1085">
      <c r="B1085" s="0" t="inlineStr">
        <is>
          <t>YES</t>
        </is>
      </c>
      <c r="C1085" s="0" t="inlineStr">
        <is>
          <t>NULL</t>
        </is>
      </c>
      <c r="D1085" s="0" t="inlineStr">
        <is>
          <t>NULL</t>
        </is>
      </c>
      <c r="E1085" s="0" t="inlineStr">
        <is>
          <t>NULL</t>
        </is>
      </c>
      <c r="F1085" s="0" t="inlineStr">
        <is>
          <t>NULL</t>
        </is>
      </c>
      <c r="G1085" s="0" t="inlineStr">
        <is>
          <t>NULL</t>
        </is>
      </c>
      <c r="H1085" s="0" t="inlineStr">
        <is>
          <t>NULL</t>
        </is>
      </c>
      <c r="I1085" s="0" t="inlineStr">
        <is>
          <t>YES!PK__info_sql__3213E83F0E22FCD6</t>
        </is>
      </c>
      <c r="J1085" s="0" t="inlineStr">
        <is>
          <t>YES! 主键相关索引</t>
        </is>
      </c>
      <c r="K1085" s="0" t="inlineStr">
        <is>
          <t xml:space="preserve"> NO!  	 id列源备映射错误，源端为int None位	期望更改为text	实际备端为int None位</t>
        </is>
      </c>
      <c r="EH1085" s="0" t="inlineStr">
        <is>
          <t>61行 19列，源：None 备：</t>
        </is>
      </c>
      <c r="ES1085" s="0" t="inlineStr">
        <is>
          <t>62行 3列，源：nan 备：</t>
        </is>
      </c>
    </row>
    <row r="1086">
      <c r="B1086" s="0" t="inlineStr">
        <is>
          <t>NULL</t>
        </is>
      </c>
      <c r="C1086" s="0" t="inlineStr">
        <is>
          <t>NULL</t>
        </is>
      </c>
      <c r="D1086" s="0" t="inlineStr">
        <is>
          <t>NULL</t>
        </is>
      </c>
      <c r="E1086" s="0" t="inlineStr">
        <is>
          <t>NULL</t>
        </is>
      </c>
      <c r="F1086" s="0" t="inlineStr">
        <is>
          <t>NULL</t>
        </is>
      </c>
      <c r="G1086" s="0" t="inlineStr">
        <is>
          <t>NULL</t>
        </is>
      </c>
      <c r="H1086" s="0" t="inlineStr">
        <is>
          <t>NULL</t>
        </is>
      </c>
      <c r="I1086" s="0" t="inlineStr">
        <is>
          <t>NULL</t>
        </is>
      </c>
      <c r="J1086" s="0" t="inlineStr">
        <is>
          <t>NULL</t>
        </is>
      </c>
      <c r="K1086" s="0" t="inlineStr">
        <is>
          <t xml:space="preserve"> NO!  	 c_date列源备映射错误，源端为sql_variant 0位	期望更改为text	实际备端为sql_variant 0位</t>
        </is>
      </c>
      <c r="EH1086" s="0" t="inlineStr">
        <is>
          <t>62行 0列，源：153 备：210</t>
        </is>
      </c>
      <c r="ES1086" s="0" t="inlineStr">
        <is>
          <t>62行 4列，源：nan 备：</t>
        </is>
      </c>
    </row>
    <row r="1087">
      <c r="B1087" s="0" t="inlineStr">
        <is>
          <t>NULL</t>
        </is>
      </c>
      <c r="C1087" s="0" t="inlineStr">
        <is>
          <t>NULL</t>
        </is>
      </c>
      <c r="D1087" s="0" t="inlineStr">
        <is>
          <t>NULL</t>
        </is>
      </c>
      <c r="E1087" s="0" t="inlineStr">
        <is>
          <t>NULL</t>
        </is>
      </c>
      <c r="F1087" s="0" t="inlineStr">
        <is>
          <t>NULL</t>
        </is>
      </c>
      <c r="G1087" s="0" t="inlineStr">
        <is>
          <t>NULL</t>
        </is>
      </c>
      <c r="H1087" s="0" t="inlineStr">
        <is>
          <t>NULL</t>
        </is>
      </c>
      <c r="I1087" s="0" t="inlineStr">
        <is>
          <t>NULL</t>
        </is>
      </c>
      <c r="J1087" s="0" t="inlineStr">
        <is>
          <t>NULL</t>
        </is>
      </c>
      <c r="K1087" s="0" t="inlineStr">
        <is>
          <t xml:space="preserve"> NO!  	 c_time列源备映射错误，源端为sql_variant 0位	期望更改为text	实际备端为sql_variant 0位</t>
        </is>
      </c>
      <c r="EH1087" s="0" t="inlineStr">
        <is>
          <t>62行 1列，源：nan 备：</t>
        </is>
      </c>
      <c r="ES1087" s="0" t="inlineStr">
        <is>
          <t>62行 5列，源：None 备：1000000000000000</t>
        </is>
      </c>
    </row>
    <row r="1088">
      <c r="B1088" s="0" t="inlineStr">
        <is>
          <t>NULL</t>
        </is>
      </c>
      <c r="C1088" s="0" t="inlineStr">
        <is>
          <t>NULL</t>
        </is>
      </c>
      <c r="D1088" s="0" t="inlineStr">
        <is>
          <t>NULL</t>
        </is>
      </c>
      <c r="E1088" s="0" t="inlineStr">
        <is>
          <t>NULL</t>
        </is>
      </c>
      <c r="F1088" s="0" t="inlineStr">
        <is>
          <t>NULL</t>
        </is>
      </c>
      <c r="G1088" s="0" t="inlineStr">
        <is>
          <t>NULL</t>
        </is>
      </c>
      <c r="H1088" s="0" t="inlineStr">
        <is>
          <t>NULL</t>
        </is>
      </c>
      <c r="I1088" s="0" t="inlineStr">
        <is>
          <t>NULL</t>
        </is>
      </c>
      <c r="J1088" s="0" t="inlineStr">
        <is>
          <t>NULL</t>
        </is>
      </c>
      <c r="K1088" s="0" t="inlineStr">
        <is>
          <t xml:space="preserve"> NO!  	 c_datetime2列源备映射错误，源端为sql_variant 0位	期望更改为text	实际备端为sql_variant 0位</t>
        </is>
      </c>
      <c r="EH1088" s="0" t="inlineStr">
        <is>
          <t>62行 2列，源：nan 备：</t>
        </is>
      </c>
      <c r="ES1088" s="0" t="inlineStr">
        <is>
          <t>62行 6列，源：None 备：99999999999999999999999999999999</t>
        </is>
      </c>
    </row>
    <row r="1089">
      <c r="B1089" s="0" t="inlineStr">
        <is>
          <t>NULL</t>
        </is>
      </c>
      <c r="C1089" s="0" t="inlineStr">
        <is>
          <t>NULL</t>
        </is>
      </c>
      <c r="D1089" s="0" t="inlineStr">
        <is>
          <t>NULL</t>
        </is>
      </c>
      <c r="E1089" s="0" t="inlineStr">
        <is>
          <t>NULL</t>
        </is>
      </c>
      <c r="F1089" s="0" t="inlineStr">
        <is>
          <t>NULL</t>
        </is>
      </c>
      <c r="G1089" s="0" t="inlineStr">
        <is>
          <t>NULL</t>
        </is>
      </c>
      <c r="H1089" s="0" t="inlineStr">
        <is>
          <t>NULL</t>
        </is>
      </c>
      <c r="I1089" s="0" t="inlineStr">
        <is>
          <t>NULL</t>
        </is>
      </c>
      <c r="J1089" s="0" t="inlineStr">
        <is>
          <t>NULL</t>
        </is>
      </c>
      <c r="K1089" s="0" t="inlineStr">
        <is>
          <t xml:space="preserve"> NO!  	 c_datetimeoffset列源备映射错误，源端为sql_variant 0位	期望更改为text	实际备端为sql_variant 0位</t>
        </is>
      </c>
      <c r="EH1089" s="0" t="inlineStr">
        <is>
          <t>62行 3列，源：nan 备：</t>
        </is>
      </c>
      <c r="ES1089" s="0" t="inlineStr">
        <is>
          <t>62行 7列，源：None 备：0.99999999999999999999999999999900000000</t>
        </is>
      </c>
    </row>
    <row r="1090">
      <c r="B1090" s="0" t="inlineStr">
        <is>
          <t>NULL</t>
        </is>
      </c>
      <c r="C1090" s="0" t="inlineStr">
        <is>
          <t>NULL</t>
        </is>
      </c>
      <c r="D1090" s="0" t="inlineStr">
        <is>
          <t>NULL</t>
        </is>
      </c>
      <c r="E1090" s="0" t="inlineStr">
        <is>
          <t>NULL</t>
        </is>
      </c>
      <c r="F1090" s="0" t="inlineStr">
        <is>
          <t>NULL</t>
        </is>
      </c>
      <c r="G1090" s="0" t="inlineStr">
        <is>
          <t>NULL</t>
        </is>
      </c>
      <c r="H1090" s="0" t="inlineStr">
        <is>
          <t>NULL</t>
        </is>
      </c>
      <c r="I1090" s="0" t="inlineStr">
        <is>
          <t>NULL</t>
        </is>
      </c>
      <c r="J1090" s="0" t="inlineStr">
        <is>
          <t>NULL</t>
        </is>
      </c>
      <c r="K1090" s="0" t="inlineStr">
        <is>
          <t xml:space="preserve"> NO!  	 c_tinyint列源备映射错误，源端为sql_variant 0位	期望更改为text	实际备端为sql_variant 0位</t>
        </is>
      </c>
      <c r="EH1090" s="0" t="inlineStr">
        <is>
          <t>62行 4列，源：nan 备：</t>
        </is>
      </c>
      <c r="ES1090" s="0" t="inlineStr">
        <is>
          <t>62行 8列，源：None 备：9999999999999999999999.9999990000</t>
        </is>
      </c>
    </row>
    <row r="1091">
      <c r="B1091" s="0" t="inlineStr">
        <is>
          <t>NULL</t>
        </is>
      </c>
      <c r="C1091" s="0" t="inlineStr">
        <is>
          <t>NULL</t>
        </is>
      </c>
      <c r="D1091" s="0" t="inlineStr">
        <is>
          <t>NULL</t>
        </is>
      </c>
      <c r="E1091" s="0" t="inlineStr">
        <is>
          <t>NULL</t>
        </is>
      </c>
      <c r="F1091" s="0" t="inlineStr">
        <is>
          <t>NULL</t>
        </is>
      </c>
      <c r="G1091" s="0" t="inlineStr">
        <is>
          <t>NULL</t>
        </is>
      </c>
      <c r="H1091" s="0" t="inlineStr">
        <is>
          <t>NULL</t>
        </is>
      </c>
      <c r="I1091" s="0" t="inlineStr">
        <is>
          <t>NULL</t>
        </is>
      </c>
      <c r="J1091" s="0" t="inlineStr">
        <is>
          <t>NULL</t>
        </is>
      </c>
      <c r="K1091" s="0" t="inlineStr">
        <is>
          <t xml:space="preserve"> NO!  	 c_smallint列源备映射错误，源端为sql_variant 0位	期望更改为text	实际备端为sql_variant 0位</t>
        </is>
      </c>
      <c r="EH1091" s="0" t="inlineStr">
        <is>
          <t>62行 5列，源：None 备：</t>
        </is>
      </c>
      <c r="ES1091" s="0" t="inlineStr">
        <is>
          <t>62行 9列，源：None 备：999999999999.9990</t>
        </is>
      </c>
    </row>
    <row r="1092">
      <c r="B1092" s="0" t="inlineStr">
        <is>
          <t>NULL</t>
        </is>
      </c>
      <c r="C1092" s="0" t="inlineStr">
        <is>
          <t>NULL</t>
        </is>
      </c>
      <c r="D1092" s="0" t="inlineStr">
        <is>
          <t>NULL</t>
        </is>
      </c>
      <c r="E1092" s="0" t="inlineStr">
        <is>
          <t>NULL</t>
        </is>
      </c>
      <c r="F1092" s="0" t="inlineStr">
        <is>
          <t>NULL</t>
        </is>
      </c>
      <c r="G1092" s="0" t="inlineStr">
        <is>
          <t>NULL</t>
        </is>
      </c>
      <c r="H1092" s="0" t="inlineStr">
        <is>
          <t>NULL</t>
        </is>
      </c>
      <c r="I1092" s="0" t="inlineStr">
        <is>
          <t>NULL</t>
        </is>
      </c>
      <c r="J1092" s="0" t="inlineStr">
        <is>
          <t>NULL</t>
        </is>
      </c>
      <c r="K1092" s="0" t="inlineStr">
        <is>
          <t xml:space="preserve"> NO!  	 c_int列源备映射错误，源端为sql_variant 0位	期望更改为text	实际备端为sql_variant 0位</t>
        </is>
      </c>
      <c r="EH1092" s="0" t="inlineStr">
        <is>
          <t>62行 6列，源：None 备：</t>
        </is>
      </c>
      <c r="ES1092" s="0" t="inlineStr">
        <is>
          <t>62行 10列，源：None 备：100000000000000</t>
        </is>
      </c>
    </row>
    <row r="1093">
      <c r="B1093" s="0" t="inlineStr">
        <is>
          <t>NULL</t>
        </is>
      </c>
      <c r="C1093" s="0" t="inlineStr">
        <is>
          <t>NULL</t>
        </is>
      </c>
      <c r="D1093" s="0" t="inlineStr">
        <is>
          <t>NULL</t>
        </is>
      </c>
      <c r="E1093" s="0" t="inlineStr">
        <is>
          <t>NULL</t>
        </is>
      </c>
      <c r="F1093" s="0" t="inlineStr">
        <is>
          <t>NULL</t>
        </is>
      </c>
      <c r="G1093" s="0" t="inlineStr">
        <is>
          <t>NULL</t>
        </is>
      </c>
      <c r="H1093" s="0" t="inlineStr">
        <is>
          <t>NULL</t>
        </is>
      </c>
      <c r="I1093" s="0" t="inlineStr">
        <is>
          <t>NULL</t>
        </is>
      </c>
      <c r="J1093" s="0" t="inlineStr">
        <is>
          <t>NULL</t>
        </is>
      </c>
      <c r="K1093" s="0" t="inlineStr">
        <is>
          <t xml:space="preserve"> NO!  	 c_sdt列源备映射错误，源端为sql_variant 0位	期望更改为text	实际备端为sql_variant 0位</t>
        </is>
      </c>
      <c r="EH1093" s="0" t="inlineStr">
        <is>
          <t>62行 7列，源：None 备：</t>
        </is>
      </c>
      <c r="ES1093" s="0" t="inlineStr">
        <is>
          <t>62行 11列，源：None 备：999999999999999999999</t>
        </is>
      </c>
    </row>
    <row r="1094">
      <c r="B1094" s="0" t="inlineStr">
        <is>
          <t>NULL</t>
        </is>
      </c>
      <c r="C1094" s="0" t="inlineStr">
        <is>
          <t>NULL</t>
        </is>
      </c>
      <c r="D1094" s="0" t="inlineStr">
        <is>
          <t>NULL</t>
        </is>
      </c>
      <c r="E1094" s="0" t="inlineStr">
        <is>
          <t>NULL</t>
        </is>
      </c>
      <c r="F1094" s="0" t="inlineStr">
        <is>
          <t>NULL</t>
        </is>
      </c>
      <c r="G1094" s="0" t="inlineStr">
        <is>
          <t>NULL</t>
        </is>
      </c>
      <c r="H1094" s="0" t="inlineStr">
        <is>
          <t>NULL</t>
        </is>
      </c>
      <c r="I1094" s="0" t="inlineStr">
        <is>
          <t>NULL</t>
        </is>
      </c>
      <c r="J1094" s="0" t="inlineStr">
        <is>
          <t>NULL</t>
        </is>
      </c>
      <c r="K1094" s="0" t="inlineStr">
        <is>
          <t xml:space="preserve"> NO!  	 c_real列源备映射错误，源端为sql_variant 0位	期望更改为text	实际备端为sql_variant 0位</t>
        </is>
      </c>
      <c r="EH1094" s="0" t="inlineStr">
        <is>
          <t>62行 8列，源：None 备：</t>
        </is>
      </c>
      <c r="ES1094" s="0" t="inlineStr">
        <is>
          <t>62行 12列，源：None 备：0.99999999999999999999999999900000000000</t>
        </is>
      </c>
    </row>
    <row r="1095">
      <c r="B1095" s="0" t="inlineStr">
        <is>
          <t>NULL</t>
        </is>
      </c>
      <c r="C1095" s="0" t="inlineStr">
        <is>
          <t>NULL</t>
        </is>
      </c>
      <c r="D1095" s="0" t="inlineStr">
        <is>
          <t>NULL</t>
        </is>
      </c>
      <c r="E1095" s="0" t="inlineStr">
        <is>
          <t>NULL</t>
        </is>
      </c>
      <c r="F1095" s="0" t="inlineStr">
        <is>
          <t>NULL</t>
        </is>
      </c>
      <c r="G1095" s="0" t="inlineStr">
        <is>
          <t>NULL</t>
        </is>
      </c>
      <c r="H1095" s="0" t="inlineStr">
        <is>
          <t>NULL</t>
        </is>
      </c>
      <c r="I1095" s="0" t="inlineStr">
        <is>
          <t>NULL</t>
        </is>
      </c>
      <c r="J1095" s="0" t="inlineStr">
        <is>
          <t>NULL</t>
        </is>
      </c>
      <c r="K1095" s="0" t="inlineStr">
        <is>
          <t xml:space="preserve"> NO!  	 c_money列源备映射错误，源端为sql_variant 0位	期望更改为text	实际备端为sql_variant 0位</t>
        </is>
      </c>
      <c r="EH1095" s="0" t="inlineStr">
        <is>
          <t>62行 9列，源：None 备：</t>
        </is>
      </c>
      <c r="ES1095" s="0" t="inlineStr">
        <is>
          <t>62行 13列，源：None 备：999999999999999999999.9999990000</t>
        </is>
      </c>
    </row>
    <row r="1096">
      <c r="B1096" s="0" t="inlineStr">
        <is>
          <t>NULL</t>
        </is>
      </c>
      <c r="C1096" s="0" t="inlineStr">
        <is>
          <t>NULL</t>
        </is>
      </c>
      <c r="D1096" s="0" t="inlineStr">
        <is>
          <t>NULL</t>
        </is>
      </c>
      <c r="E1096" s="0" t="inlineStr">
        <is>
          <t>NULL</t>
        </is>
      </c>
      <c r="F1096" s="0" t="inlineStr">
        <is>
          <t>NULL</t>
        </is>
      </c>
      <c r="G1096" s="0" t="inlineStr">
        <is>
          <t>NULL</t>
        </is>
      </c>
      <c r="H1096" s="0" t="inlineStr">
        <is>
          <t>NULL</t>
        </is>
      </c>
      <c r="I1096" s="0" t="inlineStr">
        <is>
          <t>NULL</t>
        </is>
      </c>
      <c r="J1096" s="0" t="inlineStr">
        <is>
          <t>NULL</t>
        </is>
      </c>
      <c r="K1096" s="0" t="inlineStr">
        <is>
          <t xml:space="preserve"> NO!  	 c_datetime列源备映射错误，源端为sql_variant 0位	期望更改为text	实际备端为sql_variant 0位</t>
        </is>
      </c>
      <c r="EH1096" s="0" t="inlineStr">
        <is>
          <t>62行 10列，源：None 备：</t>
        </is>
      </c>
      <c r="ES1096" s="0" t="inlineStr">
        <is>
          <t>62行 14列，源：None 备：9999999999.99</t>
        </is>
      </c>
    </row>
    <row r="1097">
      <c r="B1097" s="0" t="inlineStr">
        <is>
          <t>NULL</t>
        </is>
      </c>
      <c r="C1097" s="0" t="inlineStr">
        <is>
          <t>NULL</t>
        </is>
      </c>
      <c r="D1097" s="0" t="inlineStr">
        <is>
          <t>NULL</t>
        </is>
      </c>
      <c r="E1097" s="0" t="inlineStr">
        <is>
          <t>NULL</t>
        </is>
      </c>
      <c r="F1097" s="0" t="inlineStr">
        <is>
          <t>NULL</t>
        </is>
      </c>
      <c r="G1097" s="0" t="inlineStr">
        <is>
          <t>NULL</t>
        </is>
      </c>
      <c r="H1097" s="0" t="inlineStr">
        <is>
          <t>NULL</t>
        </is>
      </c>
      <c r="I1097" s="0" t="inlineStr">
        <is>
          <t>NULL</t>
        </is>
      </c>
      <c r="J1097" s="0" t="inlineStr">
        <is>
          <t>NULL</t>
        </is>
      </c>
      <c r="K1097" s="0" t="inlineStr">
        <is>
          <t xml:space="preserve"> NO!  	 c_float列源备映射错误，源端为sql_variant 0位	期望更改为text	实际备端为sql_variant 0位</t>
        </is>
      </c>
      <c r="EH1097" s="0" t="inlineStr">
        <is>
          <t>62行 11列，源：None 备：</t>
        </is>
      </c>
      <c r="ES1097" s="0" t="inlineStr">
        <is>
          <t>62行 15列，源：nan 备：</t>
        </is>
      </c>
    </row>
    <row r="1098">
      <c r="B1098" s="0" t="inlineStr">
        <is>
          <t>NULL</t>
        </is>
      </c>
      <c r="C1098" s="0" t="inlineStr">
        <is>
          <t>NULL</t>
        </is>
      </c>
      <c r="D1098" s="0" t="inlineStr">
        <is>
          <t>NULL</t>
        </is>
      </c>
      <c r="E1098" s="0" t="inlineStr">
        <is>
          <t>NULL</t>
        </is>
      </c>
      <c r="F1098" s="0" t="inlineStr">
        <is>
          <t>NULL</t>
        </is>
      </c>
      <c r="G1098" s="0" t="inlineStr">
        <is>
          <t>NULL</t>
        </is>
      </c>
      <c r="H1098" s="0" t="inlineStr">
        <is>
          <t>NULL</t>
        </is>
      </c>
      <c r="I1098" s="0" t="inlineStr">
        <is>
          <t>NULL</t>
        </is>
      </c>
      <c r="J1098" s="0" t="inlineStr">
        <is>
          <t>NULL</t>
        </is>
      </c>
      <c r="K1098" s="0" t="inlineStr">
        <is>
          <t xml:space="preserve"> NO!  	 c_bit列源备映射错误，源端为sql_variant 0位	期望更改为text	实际备端为sql_variant 0位</t>
        </is>
      </c>
      <c r="EH1098" s="0" t="inlineStr">
        <is>
          <t>62行 12列，源：None 备：</t>
        </is>
      </c>
      <c r="ES1098" s="0" t="inlineStr">
        <is>
          <t>62行 16列，源：nan 备：</t>
        </is>
      </c>
    </row>
    <row r="1099">
      <c r="B1099" s="0" t="inlineStr">
        <is>
          <t>NULL</t>
        </is>
      </c>
      <c r="C1099" s="0" t="inlineStr">
        <is>
          <t>NULL</t>
        </is>
      </c>
      <c r="D1099" s="0" t="inlineStr">
        <is>
          <t>NULL</t>
        </is>
      </c>
      <c r="E1099" s="0" t="inlineStr">
        <is>
          <t>NULL</t>
        </is>
      </c>
      <c r="F1099" s="0" t="inlineStr">
        <is>
          <t>NULL</t>
        </is>
      </c>
      <c r="G1099" s="0" t="inlineStr">
        <is>
          <t>NULL</t>
        </is>
      </c>
      <c r="H1099" s="0" t="inlineStr">
        <is>
          <t>NULL</t>
        </is>
      </c>
      <c r="I1099" s="0" t="inlineStr">
        <is>
          <t>NULL</t>
        </is>
      </c>
      <c r="J1099" s="0" t="inlineStr">
        <is>
          <t>NULL</t>
        </is>
      </c>
      <c r="K1099" s="0" t="inlineStr">
        <is>
          <t xml:space="preserve"> NO!  	 c_decimal列源备映射错误，源端为sql_variant 0位	期望更改为text	实际备端为sql_variant 0位</t>
        </is>
      </c>
      <c r="EH1099" s="0" t="inlineStr">
        <is>
          <t>62行 13列，源：None 备：</t>
        </is>
      </c>
      <c r="ES1099" s="0" t="inlineStr">
        <is>
          <t>62行 17列，源：None 备：</t>
        </is>
      </c>
    </row>
    <row r="1100">
      <c r="B1100" s="0" t="inlineStr">
        <is>
          <t>NULL</t>
        </is>
      </c>
      <c r="C1100" s="0" t="inlineStr">
        <is>
          <t>NULL</t>
        </is>
      </c>
      <c r="D1100" s="0" t="inlineStr">
        <is>
          <t>NULL</t>
        </is>
      </c>
      <c r="E1100" s="0" t="inlineStr">
        <is>
          <t>NULL</t>
        </is>
      </c>
      <c r="F1100" s="0" t="inlineStr">
        <is>
          <t>NULL</t>
        </is>
      </c>
      <c r="G1100" s="0" t="inlineStr">
        <is>
          <t>NULL</t>
        </is>
      </c>
      <c r="H1100" s="0" t="inlineStr">
        <is>
          <t>NULL</t>
        </is>
      </c>
      <c r="I1100" s="0" t="inlineStr">
        <is>
          <t>NULL</t>
        </is>
      </c>
      <c r="J1100" s="0" t="inlineStr">
        <is>
          <t>NULL</t>
        </is>
      </c>
      <c r="K1100" s="0" t="inlineStr">
        <is>
          <t xml:space="preserve"> NO!  	 c_uniqueidentifier列源备映射错误，源端为sql_variant 0位	期望更改为text	实际备端为sql_variant 0位</t>
        </is>
      </c>
      <c r="EH1100" s="0" t="inlineStr">
        <is>
          <t>62行 14列，源：None 备：</t>
        </is>
      </c>
      <c r="ES1100" s="0" t="inlineStr">
        <is>
          <t>62行 18列，源：None 备：</t>
        </is>
      </c>
    </row>
    <row r="1101">
      <c r="B1101" s="0" t="inlineStr">
        <is>
          <t>NULL</t>
        </is>
      </c>
      <c r="C1101" s="0" t="inlineStr">
        <is>
          <t>NULL</t>
        </is>
      </c>
      <c r="D1101" s="0" t="inlineStr">
        <is>
          <t>NULL</t>
        </is>
      </c>
      <c r="E1101" s="0" t="inlineStr">
        <is>
          <t>NULL</t>
        </is>
      </c>
      <c r="F1101" s="0" t="inlineStr">
        <is>
          <t>NULL</t>
        </is>
      </c>
      <c r="G1101" s="0" t="inlineStr">
        <is>
          <t>NULL</t>
        </is>
      </c>
      <c r="H1101" s="0" t="inlineStr">
        <is>
          <t>NULL</t>
        </is>
      </c>
      <c r="I1101" s="0" t="inlineStr">
        <is>
          <t>NULL</t>
        </is>
      </c>
      <c r="J1101" s="0" t="inlineStr">
        <is>
          <t>NULL</t>
        </is>
      </c>
      <c r="K1101" s="0" t="inlineStr">
        <is>
          <t xml:space="preserve"> NO!  	 c_smallmoney列源备映射错误，源端为sql_variant 0位	期望更改为text	实际备端为sql_variant 0位</t>
        </is>
      </c>
      <c r="EH1101" s="0" t="inlineStr">
        <is>
          <t>62行 15列，源：nan 备：</t>
        </is>
      </c>
      <c r="ES1101" s="0" t="inlineStr">
        <is>
          <t>62行 19列，源：None 备：</t>
        </is>
      </c>
    </row>
    <row r="1102">
      <c r="B1102" s="0" t="inlineStr">
        <is>
          <t>NULL</t>
        </is>
      </c>
      <c r="C1102" s="0" t="inlineStr">
        <is>
          <t>NULL</t>
        </is>
      </c>
      <c r="D1102" s="0" t="inlineStr">
        <is>
          <t>NULL</t>
        </is>
      </c>
      <c r="E1102" s="0" t="inlineStr">
        <is>
          <t>NULL</t>
        </is>
      </c>
      <c r="F1102" s="0" t="inlineStr">
        <is>
          <t>NULL</t>
        </is>
      </c>
      <c r="G1102" s="0" t="inlineStr">
        <is>
          <t>NULL</t>
        </is>
      </c>
      <c r="H1102" s="0" t="inlineStr">
        <is>
          <t>NULL</t>
        </is>
      </c>
      <c r="I1102" s="0" t="inlineStr">
        <is>
          <t>NULL</t>
        </is>
      </c>
      <c r="J1102" s="0" t="inlineStr">
        <is>
          <t>NULL</t>
        </is>
      </c>
      <c r="K1102" s="0" t="inlineStr">
        <is>
          <t xml:space="preserve"> NO!  	 c_bigint列源备映射错误，源端为sql_variant 0位	期望更改为text	实际备端为sql_variant 0位</t>
        </is>
      </c>
      <c r="EH1102" s="0" t="inlineStr">
        <is>
          <t>62行 16列，源：nan 备：</t>
        </is>
      </c>
      <c r="ES1102" s="0" t="inlineStr">
        <is>
          <t>63行 0列，源：204 备：515</t>
        </is>
      </c>
    </row>
    <row r="1103">
      <c r="B1103" s="0" t="inlineStr">
        <is>
          <t>NULL</t>
        </is>
      </c>
      <c r="C1103" s="0" t="inlineStr">
        <is>
          <t>NULL</t>
        </is>
      </c>
      <c r="D1103" s="0" t="inlineStr">
        <is>
          <t>NULL</t>
        </is>
      </c>
      <c r="E1103" s="0" t="inlineStr">
        <is>
          <t>NULL</t>
        </is>
      </c>
      <c r="F1103" s="0" t="inlineStr">
        <is>
          <t>NULL</t>
        </is>
      </c>
      <c r="G1103" s="0" t="inlineStr">
        <is>
          <t>NULL</t>
        </is>
      </c>
      <c r="H1103" s="0" t="inlineStr">
        <is>
          <t>NULL</t>
        </is>
      </c>
      <c r="I1103" s="0" t="inlineStr">
        <is>
          <t>NULL</t>
        </is>
      </c>
      <c r="J1103" s="0" t="inlineStr">
        <is>
          <t>NULL</t>
        </is>
      </c>
      <c r="K1103" s="0" t="inlineStr">
        <is>
          <t xml:space="preserve"> NO!  	 c_varbinary_20列源备映射错误，源端为sql_variant 0位	期望更改为text	实际备端为sql_variant 0位</t>
        </is>
      </c>
      <c r="EH1103" s="0" t="inlineStr">
        <is>
          <t>62行 17列，源：None 备：</t>
        </is>
      </c>
      <c r="ES1103" s="0" t="inlineStr">
        <is>
          <t>63行 1列，源：nan 备：</t>
        </is>
      </c>
    </row>
    <row r="1104">
      <c r="B1104" s="0" t="inlineStr">
        <is>
          <t>NULL</t>
        </is>
      </c>
      <c r="C1104" s="0" t="inlineStr">
        <is>
          <t>NULL</t>
        </is>
      </c>
      <c r="D1104" s="0" t="inlineStr">
        <is>
          <t>NULL</t>
        </is>
      </c>
      <c r="E1104" s="0" t="inlineStr">
        <is>
          <t>NULL</t>
        </is>
      </c>
      <c r="F1104" s="0" t="inlineStr">
        <is>
          <t>NULL</t>
        </is>
      </c>
      <c r="G1104" s="0" t="inlineStr">
        <is>
          <t>NULL</t>
        </is>
      </c>
      <c r="H1104" s="0" t="inlineStr">
        <is>
          <t>NULL</t>
        </is>
      </c>
      <c r="I1104" s="0" t="inlineStr">
        <is>
          <t>NULL</t>
        </is>
      </c>
      <c r="J1104" s="0" t="inlineStr">
        <is>
          <t>NULL</t>
        </is>
      </c>
      <c r="K1104" s="0" t="inlineStr">
        <is>
          <t xml:space="preserve"> NO!  	 c_varchar_20列源备映射错误，源端为sql_variant 0位	期望更改为text	实际备端为sql_variant 0位</t>
        </is>
      </c>
      <c r="EH1104" s="0" t="inlineStr">
        <is>
          <t>62行 18列，源：None 备：</t>
        </is>
      </c>
      <c r="ES1104" s="0" t="inlineStr">
        <is>
          <t>63行 2列，源：nan 备：</t>
        </is>
      </c>
    </row>
    <row r="1105">
      <c r="B1105" s="0" t="inlineStr">
        <is>
          <t>NULL</t>
        </is>
      </c>
      <c r="C1105" s="0" t="inlineStr">
        <is>
          <t>NULL</t>
        </is>
      </c>
      <c r="D1105" s="0" t="inlineStr">
        <is>
          <t>NULL</t>
        </is>
      </c>
      <c r="E1105" s="0" t="inlineStr">
        <is>
          <t>NULL</t>
        </is>
      </c>
      <c r="F1105" s="0" t="inlineStr">
        <is>
          <t>NULL</t>
        </is>
      </c>
      <c r="G1105" s="0" t="inlineStr">
        <is>
          <t>NULL</t>
        </is>
      </c>
      <c r="H1105" s="0" t="inlineStr">
        <is>
          <t>NULL</t>
        </is>
      </c>
      <c r="I1105" s="0" t="inlineStr">
        <is>
          <t>NULL</t>
        </is>
      </c>
      <c r="J1105" s="0" t="inlineStr">
        <is>
          <t>NULL</t>
        </is>
      </c>
      <c r="K1105" s="0" t="inlineStr">
        <is>
          <t xml:space="preserve"> NO!  	 c_binary_20列源备映射错误，源端为sql_variant 0位	期望更改为text	实际备端为sql_variant 0位</t>
        </is>
      </c>
      <c r="EH1105" s="0" t="inlineStr">
        <is>
          <t>62行 19列，源：None 备：</t>
        </is>
      </c>
      <c r="ES1105" s="0" t="inlineStr">
        <is>
          <t>63行 3列，源：nan 备：</t>
        </is>
      </c>
    </row>
    <row r="1106">
      <c r="B1106" s="0" t="inlineStr">
        <is>
          <t>NULL</t>
        </is>
      </c>
      <c r="C1106" s="0" t="inlineStr">
        <is>
          <t>NULL</t>
        </is>
      </c>
      <c r="D1106" s="0" t="inlineStr">
        <is>
          <t>NULL</t>
        </is>
      </c>
      <c r="E1106" s="0" t="inlineStr">
        <is>
          <t>NULL</t>
        </is>
      </c>
      <c r="F1106" s="0" t="inlineStr">
        <is>
          <t>NULL</t>
        </is>
      </c>
      <c r="G1106" s="0" t="inlineStr">
        <is>
          <t>NULL</t>
        </is>
      </c>
      <c r="H1106" s="0" t="inlineStr">
        <is>
          <t>NULL</t>
        </is>
      </c>
      <c r="I1106" s="0" t="inlineStr">
        <is>
          <t>NULL</t>
        </is>
      </c>
      <c r="J1106" s="0" t="inlineStr">
        <is>
          <t>NULL</t>
        </is>
      </c>
      <c r="K1106" s="0" t="inlineStr">
        <is>
          <t xml:space="preserve"> NO!  	 c_char_20列源备映射错误，源端为sql_variant 0位	期望更改为text	实际备端为sql_variant 0位</t>
        </is>
      </c>
      <c r="EH1106" s="0" t="inlineStr">
        <is>
          <t>63行 0列，源：154 备：211</t>
        </is>
      </c>
      <c r="ES1106" s="0" t="inlineStr">
        <is>
          <t>63行 4列，源：nan 备：</t>
        </is>
      </c>
    </row>
    <row r="1107">
      <c r="B1107" s="0" t="inlineStr">
        <is>
          <t>NULL</t>
        </is>
      </c>
      <c r="C1107" s="0" t="inlineStr">
        <is>
          <t>NULL</t>
        </is>
      </c>
      <c r="D1107" s="0" t="inlineStr">
        <is>
          <t>NULL</t>
        </is>
      </c>
      <c r="E1107" s="0" t="inlineStr">
        <is>
          <t>NULL</t>
        </is>
      </c>
      <c r="F1107" s="0" t="inlineStr">
        <is>
          <t>NULL</t>
        </is>
      </c>
      <c r="G1107" s="0" t="inlineStr">
        <is>
          <t>NULL</t>
        </is>
      </c>
      <c r="H1107" s="0" t="inlineStr">
        <is>
          <t>NULL</t>
        </is>
      </c>
      <c r="I1107" s="0" t="inlineStr">
        <is>
          <t>NULL</t>
        </is>
      </c>
      <c r="J1107" s="0" t="inlineStr">
        <is>
          <t>NULL</t>
        </is>
      </c>
      <c r="K1107" s="0" t="inlineStr">
        <is>
          <t xml:space="preserve"> NO!  	 c_nvarchar_20列源备映射错误，源端为sql_variant 0位	期望更改为text	实际备端为sql_variant 0位</t>
        </is>
      </c>
      <c r="EH1107" s="0" t="inlineStr">
        <is>
          <t>63行 1列，源：nan 备：</t>
        </is>
      </c>
      <c r="ES1107" s="0" t="inlineStr">
        <is>
          <t>63行 5列，源：None 备：0</t>
        </is>
      </c>
    </row>
    <row r="1108">
      <c r="B1108" s="0" t="inlineStr">
        <is>
          <t>NULL</t>
        </is>
      </c>
      <c r="C1108" s="0" t="inlineStr">
        <is>
          <t>NULL</t>
        </is>
      </c>
      <c r="D1108" s="0" t="inlineStr">
        <is>
          <t>NULL</t>
        </is>
      </c>
      <c r="E1108" s="0" t="inlineStr">
        <is>
          <t>NULL</t>
        </is>
      </c>
      <c r="F1108" s="0" t="inlineStr">
        <is>
          <t>NULL</t>
        </is>
      </c>
      <c r="G1108" s="0" t="inlineStr">
        <is>
          <t>NULL</t>
        </is>
      </c>
      <c r="H1108" s="0" t="inlineStr">
        <is>
          <t>NULL</t>
        </is>
      </c>
      <c r="I1108" s="0" t="inlineStr">
        <is>
          <t>NULL</t>
        </is>
      </c>
      <c r="J1108" s="0" t="inlineStr">
        <is>
          <t>NULL</t>
        </is>
      </c>
      <c r="K1108" s="0" t="inlineStr">
        <is>
          <t xml:space="preserve"> NO!  	 c_nchar_20列源备映射错误，源端为sql_variant 0位	期望更改为text	实际备端为sql_variant 0位</t>
        </is>
      </c>
      <c r="EH1108" s="0" t="inlineStr">
        <is>
          <t>63行 2列，源：nan 备：</t>
        </is>
      </c>
      <c r="ES1108" s="0" t="inlineStr">
        <is>
          <t>63行 6列，源：None 备：1</t>
        </is>
      </c>
    </row>
    <row r="1109">
      <c r="B1109" s="0" t="inlineStr">
        <is>
          <t>NULL</t>
        </is>
      </c>
      <c r="C1109" s="0" t="inlineStr">
        <is>
          <t>NULL</t>
        </is>
      </c>
      <c r="D1109" s="0" t="inlineStr">
        <is>
          <t>NULL</t>
        </is>
      </c>
      <c r="E1109" s="0" t="inlineStr">
        <is>
          <t>NULL</t>
        </is>
      </c>
      <c r="F1109" s="0" t="inlineStr">
        <is>
          <t>NULL</t>
        </is>
      </c>
      <c r="G1109" s="0" t="inlineStr">
        <is>
          <t>NULL</t>
        </is>
      </c>
      <c r="H1109" s="0" t="inlineStr">
        <is>
          <t>NULL</t>
        </is>
      </c>
      <c r="I1109" s="0" t="inlineStr">
        <is>
          <t>NULL</t>
        </is>
      </c>
      <c r="J1109" s="0" t="inlineStr">
        <is>
          <t>NULL</t>
        </is>
      </c>
      <c r="K1109" s="0" t="inlineStr">
        <is>
          <t xml:space="preserve"> NO!  	 c_timestamp列源备映射错误，源端为timestamp None位	期望更改为text	实际备端为timestamp None位</t>
        </is>
      </c>
      <c r="EH1109" s="0" t="inlineStr">
        <is>
          <t>63行 3列，源：nan 备：</t>
        </is>
      </c>
      <c r="ES1109" s="0" t="inlineStr">
        <is>
          <t>63行 7列，源：None 备：0.00000000000000000000000000100000000000</t>
        </is>
      </c>
    </row>
    <row r="1110">
      <c r="A1110" s="0" t="inlineStr">
        <is>
          <t>info_int_dml_batch1_pk_irp1</t>
        </is>
      </c>
      <c r="K1110" s="0" t="inlineStr">
        <is>
          <t>[0;34m info_int_dml_batch1_pk_irp1 [0m源备字段数相同，源端字段：20 	备端字段20</t>
        </is>
      </c>
      <c r="W1110" s="2">
        <f>HYPERLINK("#2026041905hbase4!DX2","NO 源备存在差异，共313个")</f>
        <v/>
      </c>
      <c r="X1110" s="0">
        <f>A1110</f>
        <v/>
      </c>
      <c r="EH1110" s="0" t="inlineStr">
        <is>
          <t>63行 4列，源：nan 备：</t>
        </is>
      </c>
      <c r="ES1110" s="0" t="inlineStr">
        <is>
          <t>63行 8列，源：None 备：0.0000000010</t>
        </is>
      </c>
    </row>
    <row r="1111">
      <c r="B1111" s="0" t="inlineStr">
        <is>
          <t>YES</t>
        </is>
      </c>
      <c r="C1111" s="0" t="inlineStr">
        <is>
          <t>NULL</t>
        </is>
      </c>
      <c r="D1111" s="0" t="inlineStr">
        <is>
          <t>NULL</t>
        </is>
      </c>
      <c r="E1111" s="0" t="inlineStr">
        <is>
          <t>NULL</t>
        </is>
      </c>
      <c r="F1111" s="0" t="inlineStr">
        <is>
          <t>NULL</t>
        </is>
      </c>
      <c r="G1111" s="0" t="inlineStr">
        <is>
          <t>NULL</t>
        </is>
      </c>
      <c r="H1111" s="0" t="inlineStr">
        <is>
          <t>NULL</t>
        </is>
      </c>
      <c r="I1111" s="0" t="inlineStr">
        <is>
          <t>YES!PK__info_int__3213E83F272FD834</t>
        </is>
      </c>
      <c r="J1111" s="0" t="inlineStr">
        <is>
          <t>YES! 主键相关索引</t>
        </is>
      </c>
      <c r="K1111" s="0" t="inlineStr">
        <is>
          <t xml:space="preserve"> NO!  	 id列源备映射错误，源端为int None位	期望更改为text	实际备端为int None位</t>
        </is>
      </c>
      <c r="EH1111" s="0" t="inlineStr">
        <is>
          <t>63行 5列，源：None 备：</t>
        </is>
      </c>
      <c r="ES1111" s="0" t="inlineStr">
        <is>
          <t>63行 9列，源：None 备：0.0001</t>
        </is>
      </c>
    </row>
    <row r="1112">
      <c r="B1112" s="0" t="inlineStr">
        <is>
          <t>NULL</t>
        </is>
      </c>
      <c r="C1112" s="0" t="inlineStr">
        <is>
          <t>NULL</t>
        </is>
      </c>
      <c r="D1112" s="0" t="inlineStr">
        <is>
          <t>NULL</t>
        </is>
      </c>
      <c r="E1112" s="0" t="inlineStr">
        <is>
          <t>NULL</t>
        </is>
      </c>
      <c r="F1112" s="0" t="inlineStr">
        <is>
          <t>NULL</t>
        </is>
      </c>
      <c r="G1112" s="0" t="inlineStr">
        <is>
          <t>NULL</t>
        </is>
      </c>
      <c r="H1112" s="0" t="inlineStr">
        <is>
          <t>NULL</t>
        </is>
      </c>
      <c r="I1112" s="0" t="inlineStr">
        <is>
          <t>NULL</t>
        </is>
      </c>
      <c r="J1112" s="0" t="inlineStr">
        <is>
          <t>NULL</t>
        </is>
      </c>
      <c r="K1112" s="0" t="inlineStr">
        <is>
          <t xml:space="preserve"> NO!  	 c_tinyint列源备映射错误，源端为tinyint None位	期望更改为text	实际备端为tinyint None位</t>
        </is>
      </c>
      <c r="EH1112" s="0" t="inlineStr">
        <is>
          <t>63行 6列，源：None 备：</t>
        </is>
      </c>
      <c r="ES1112" s="0" t="inlineStr">
        <is>
          <t>63行 10列，源：None 备：0</t>
        </is>
      </c>
    </row>
    <row r="1113">
      <c r="B1113" s="0" t="inlineStr">
        <is>
          <t>NULL</t>
        </is>
      </c>
      <c r="C1113" s="0" t="inlineStr">
        <is>
          <t>NULL</t>
        </is>
      </c>
      <c r="D1113" s="0" t="inlineStr">
        <is>
          <t>NULL</t>
        </is>
      </c>
      <c r="E1113" s="0" t="inlineStr">
        <is>
          <t>NULL</t>
        </is>
      </c>
      <c r="F1113" s="0" t="inlineStr">
        <is>
          <t>NULL</t>
        </is>
      </c>
      <c r="G1113" s="0" t="inlineStr">
        <is>
          <t>NULL</t>
        </is>
      </c>
      <c r="H1113" s="0" t="inlineStr">
        <is>
          <t>NULL</t>
        </is>
      </c>
      <c r="I1113" s="0" t="inlineStr">
        <is>
          <t>NULL</t>
        </is>
      </c>
      <c r="J1113" s="0" t="inlineStr">
        <is>
          <t>NULL</t>
        </is>
      </c>
      <c r="K1113" s="0" t="inlineStr">
        <is>
          <t xml:space="preserve"> NO!  	 c_smallint列源备映射错误，源端为smallint None位	期望更改为text	实际备端为smallint None位</t>
        </is>
      </c>
      <c r="EH1113" s="0" t="inlineStr">
        <is>
          <t>63行 7列，源：None 备：</t>
        </is>
      </c>
      <c r="ES1113" s="0" t="inlineStr">
        <is>
          <t>63行 11列，源：None 备：1</t>
        </is>
      </c>
    </row>
    <row r="1114">
      <c r="B1114" s="0" t="inlineStr">
        <is>
          <t>NULL</t>
        </is>
      </c>
      <c r="C1114" s="0" t="inlineStr">
        <is>
          <t>NULL</t>
        </is>
      </c>
      <c r="D1114" s="0" t="inlineStr">
        <is>
          <t>NULL</t>
        </is>
      </c>
      <c r="E1114" s="0" t="inlineStr">
        <is>
          <t>NULL</t>
        </is>
      </c>
      <c r="F1114" s="0" t="inlineStr">
        <is>
          <t>NULL</t>
        </is>
      </c>
      <c r="G1114" s="0" t="inlineStr">
        <is>
          <t>NULL</t>
        </is>
      </c>
      <c r="H1114" s="0" t="inlineStr">
        <is>
          <t>NULL</t>
        </is>
      </c>
      <c r="I1114" s="0" t="inlineStr">
        <is>
          <t>NULL</t>
        </is>
      </c>
      <c r="J1114" s="0" t="inlineStr">
        <is>
          <t>NULL</t>
        </is>
      </c>
      <c r="K1114" s="0" t="inlineStr">
        <is>
          <t xml:space="preserve"> NO!  	 c_int列源备映射错误，源端为int None位	期望更改为text	实际备端为int None位</t>
        </is>
      </c>
      <c r="EH1114" s="0" t="inlineStr">
        <is>
          <t>63行 8列，源：None 备：</t>
        </is>
      </c>
      <c r="ES1114" s="0" t="inlineStr">
        <is>
          <t>63行 12列，源：None 备：0.00000000000000000000000000000100000000</t>
        </is>
      </c>
    </row>
    <row r="1115">
      <c r="B1115" s="0" t="inlineStr">
        <is>
          <t>NULL</t>
        </is>
      </c>
      <c r="C1115" s="0" t="inlineStr">
        <is>
          <t>NULL</t>
        </is>
      </c>
      <c r="D1115" s="0" t="inlineStr">
        <is>
          <t>NULL</t>
        </is>
      </c>
      <c r="E1115" s="0" t="inlineStr">
        <is>
          <t>NULL</t>
        </is>
      </c>
      <c r="F1115" s="0" t="inlineStr">
        <is>
          <t>NULL</t>
        </is>
      </c>
      <c r="G1115" s="0" t="inlineStr">
        <is>
          <t>NULL</t>
        </is>
      </c>
      <c r="H1115" s="0" t="inlineStr">
        <is>
          <t>NULL</t>
        </is>
      </c>
      <c r="I1115" s="0" t="inlineStr">
        <is>
          <t>NULL</t>
        </is>
      </c>
      <c r="J1115" s="0" t="inlineStr">
        <is>
          <t>NULL</t>
        </is>
      </c>
      <c r="K1115" s="0" t="inlineStr">
        <is>
          <t xml:space="preserve"> NO!  	 c_bigint列源备映射错误，源端为bigint None位	期望更改为text	实际备端为bigint None位</t>
        </is>
      </c>
      <c r="EH1115" s="0" t="inlineStr">
        <is>
          <t>63行 9列，源：None 备：</t>
        </is>
      </c>
      <c r="ES1115" s="0" t="inlineStr">
        <is>
          <t>63行 13列，源：None 备：0.0000010000</t>
        </is>
      </c>
    </row>
    <row r="1116">
      <c r="B1116" s="0" t="inlineStr">
        <is>
          <t>NULL</t>
        </is>
      </c>
      <c r="C1116" s="0" t="inlineStr">
        <is>
          <t>NULL</t>
        </is>
      </c>
      <c r="D1116" s="0" t="inlineStr">
        <is>
          <t>NULL</t>
        </is>
      </c>
      <c r="E1116" s="0" t="inlineStr">
        <is>
          <t>NULL</t>
        </is>
      </c>
      <c r="F1116" s="0" t="inlineStr">
        <is>
          <t>NULL</t>
        </is>
      </c>
      <c r="G1116" s="0" t="inlineStr">
        <is>
          <t>NULL</t>
        </is>
      </c>
      <c r="H1116" s="0" t="inlineStr">
        <is>
          <t>NULL</t>
        </is>
      </c>
      <c r="I1116" s="0" t="inlineStr">
        <is>
          <t>NULL</t>
        </is>
      </c>
      <c r="J1116" s="0" t="inlineStr">
        <is>
          <t>NULL</t>
        </is>
      </c>
      <c r="K1116" s="0" t="inlineStr">
        <is>
          <t xml:space="preserve"> NO!  	 c_decimal列源备映射错误，源端为decimal None位	期望更改为text	实际备端为decimal None位</t>
        </is>
      </c>
      <c r="EH1116" s="0" t="inlineStr">
        <is>
          <t>63行 10列，源：None 备：</t>
        </is>
      </c>
      <c r="ES1116" s="0" t="inlineStr">
        <is>
          <t>63行 14列，源：None 备：0.01</t>
        </is>
      </c>
    </row>
    <row r="1117">
      <c r="B1117" s="0" t="inlineStr">
        <is>
          <t>NULL</t>
        </is>
      </c>
      <c r="C1117" s="0" t="inlineStr">
        <is>
          <t>NULL</t>
        </is>
      </c>
      <c r="D1117" s="0" t="inlineStr">
        <is>
          <t>NULL</t>
        </is>
      </c>
      <c r="E1117" s="0" t="inlineStr">
        <is>
          <t>NULL</t>
        </is>
      </c>
      <c r="F1117" s="0" t="inlineStr">
        <is>
          <t>NULL</t>
        </is>
      </c>
      <c r="G1117" s="0" t="inlineStr">
        <is>
          <t>NULL</t>
        </is>
      </c>
      <c r="H1117" s="0" t="inlineStr">
        <is>
          <t>NULL</t>
        </is>
      </c>
      <c r="I1117" s="0" t="inlineStr">
        <is>
          <t>NULL</t>
        </is>
      </c>
      <c r="J1117" s="0" t="inlineStr">
        <is>
          <t>NULL</t>
        </is>
      </c>
      <c r="K1117" s="0" t="inlineStr">
        <is>
          <t xml:space="preserve"> NO!  	 c_decimal38列源备映射错误，源端为decimal None位	期望更改为text	实际备端为decimal None位</t>
        </is>
      </c>
      <c r="EH1117" s="0" t="inlineStr">
        <is>
          <t>63行 11列，源：None 备：</t>
        </is>
      </c>
      <c r="ES1117" s="0" t="inlineStr">
        <is>
          <t>63行 15列，源：6.62607015e-34 备：</t>
        </is>
      </c>
    </row>
    <row r="1118">
      <c r="B1118" s="0" t="inlineStr">
        <is>
          <t>NULL</t>
        </is>
      </c>
      <c r="C1118" s="0" t="inlineStr">
        <is>
          <t>NULL</t>
        </is>
      </c>
      <c r="D1118" s="0" t="inlineStr">
        <is>
          <t>NULL</t>
        </is>
      </c>
      <c r="E1118" s="0" t="inlineStr">
        <is>
          <t>NULL</t>
        </is>
      </c>
      <c r="F1118" s="0" t="inlineStr">
        <is>
          <t>NULL</t>
        </is>
      </c>
      <c r="G1118" s="0" t="inlineStr">
        <is>
          <t>NULL</t>
        </is>
      </c>
      <c r="H1118" s="0" t="inlineStr">
        <is>
          <t>NULL</t>
        </is>
      </c>
      <c r="I1118" s="0" t="inlineStr">
        <is>
          <t>NULL</t>
        </is>
      </c>
      <c r="J1118" s="0" t="inlineStr">
        <is>
          <t>NULL</t>
        </is>
      </c>
      <c r="K1118" s="0" t="inlineStr">
        <is>
          <t xml:space="preserve"> NO!  	 c_decimal38_38列源备映射错误，源端为decimal None位	期望更改为text	实际备端为decimal None位</t>
        </is>
      </c>
      <c r="EH1118" s="0" t="inlineStr">
        <is>
          <t>63行 12列，源：None 备：</t>
        </is>
      </c>
      <c r="ES1118" s="0" t="inlineStr">
        <is>
          <t>63行 16列，源：299792448.0 备：</t>
        </is>
      </c>
    </row>
    <row r="1119">
      <c r="B1119" s="0" t="inlineStr">
        <is>
          <t>NULL</t>
        </is>
      </c>
      <c r="C1119" s="0" t="inlineStr">
        <is>
          <t>NULL</t>
        </is>
      </c>
      <c r="D1119" s="0" t="inlineStr">
        <is>
          <t>NULL</t>
        </is>
      </c>
      <c r="E1119" s="0" t="inlineStr">
        <is>
          <t>NULL</t>
        </is>
      </c>
      <c r="F1119" s="0" t="inlineStr">
        <is>
          <t>NULL</t>
        </is>
      </c>
      <c r="G1119" s="0" t="inlineStr">
        <is>
          <t>NULL</t>
        </is>
      </c>
      <c r="H1119" s="0" t="inlineStr">
        <is>
          <t>NULL</t>
        </is>
      </c>
      <c r="I1119" s="0" t="inlineStr">
        <is>
          <t>NULL</t>
        </is>
      </c>
      <c r="J1119" s="0" t="inlineStr">
        <is>
          <t>NULL</t>
        </is>
      </c>
      <c r="K1119" s="0" t="inlineStr">
        <is>
          <t xml:space="preserve"> NO!  	 c_decimal38_10列源备映射错误，源端为decimal None位	期望更改为text	实际备端为decimal None位</t>
        </is>
      </c>
      <c r="EH1119" s="0" t="inlineStr">
        <is>
          <t>63行 13列，源：None 备：</t>
        </is>
      </c>
      <c r="ES1119" s="0" t="inlineStr">
        <is>
          <t>63行 19列，源：True 备：</t>
        </is>
      </c>
    </row>
    <row r="1120">
      <c r="B1120" s="0" t="inlineStr">
        <is>
          <t>NULL</t>
        </is>
      </c>
      <c r="C1120" s="0" t="inlineStr">
        <is>
          <t>NULL</t>
        </is>
      </c>
      <c r="D1120" s="0" t="inlineStr">
        <is>
          <t>NULL</t>
        </is>
      </c>
      <c r="E1120" s="0" t="inlineStr">
        <is>
          <t>NULL</t>
        </is>
      </c>
      <c r="F1120" s="0" t="inlineStr">
        <is>
          <t>NULL</t>
        </is>
      </c>
      <c r="G1120" s="0" t="inlineStr">
        <is>
          <t>NULL</t>
        </is>
      </c>
      <c r="H1120" s="0" t="inlineStr">
        <is>
          <t>NULL</t>
        </is>
      </c>
      <c r="I1120" s="0" t="inlineStr">
        <is>
          <t>NULL</t>
        </is>
      </c>
      <c r="J1120" s="0" t="inlineStr">
        <is>
          <t>NULL</t>
        </is>
      </c>
      <c r="K1120" s="0" t="inlineStr">
        <is>
          <t xml:space="preserve"> NO!  	 c_decimal19_4列源备映射错误，源端为decimal None位	期望更改为text	实际备端为decimal None位</t>
        </is>
      </c>
      <c r="EH1120" s="0" t="inlineStr">
        <is>
          <t>63行 14列，源：None 备：</t>
        </is>
      </c>
      <c r="ES1120" s="0" t="inlineStr">
        <is>
          <t>64行 0列，源：205 备：52</t>
        </is>
      </c>
    </row>
    <row r="1121">
      <c r="B1121" s="0" t="inlineStr">
        <is>
          <t>NULL</t>
        </is>
      </c>
      <c r="C1121" s="0" t="inlineStr">
        <is>
          <t>NULL</t>
        </is>
      </c>
      <c r="D1121" s="0" t="inlineStr">
        <is>
          <t>NULL</t>
        </is>
      </c>
      <c r="E1121" s="0" t="inlineStr">
        <is>
          <t>NULL</t>
        </is>
      </c>
      <c r="F1121" s="0" t="inlineStr">
        <is>
          <t>NULL</t>
        </is>
      </c>
      <c r="G1121" s="0" t="inlineStr">
        <is>
          <t>NULL</t>
        </is>
      </c>
      <c r="H1121" s="0" t="inlineStr">
        <is>
          <t>NULL</t>
        </is>
      </c>
      <c r="I1121" s="0" t="inlineStr">
        <is>
          <t>NULL</t>
        </is>
      </c>
      <c r="J1121" s="0" t="inlineStr">
        <is>
          <t>NULL</t>
        </is>
      </c>
      <c r="K1121" s="0" t="inlineStr">
        <is>
          <t xml:space="preserve"> NO!  	 c_numeric列源备映射错误，源端为numeric None位	期望更改为text	实际备端为numeric None位</t>
        </is>
      </c>
      <c r="EH1121" s="0" t="inlineStr">
        <is>
          <t>63行 15列，源：nan 备：</t>
        </is>
      </c>
      <c r="ES1121" s="0" t="inlineStr">
        <is>
          <t>64行 1列，源：nan 备：255</t>
        </is>
      </c>
    </row>
    <row r="1122">
      <c r="B1122" s="0" t="inlineStr">
        <is>
          <t>NULL</t>
        </is>
      </c>
      <c r="C1122" s="0" t="inlineStr">
        <is>
          <t>NULL</t>
        </is>
      </c>
      <c r="D1122" s="0" t="inlineStr">
        <is>
          <t>NULL</t>
        </is>
      </c>
      <c r="E1122" s="0" t="inlineStr">
        <is>
          <t>NULL</t>
        </is>
      </c>
      <c r="F1122" s="0" t="inlineStr">
        <is>
          <t>NULL</t>
        </is>
      </c>
      <c r="G1122" s="0" t="inlineStr">
        <is>
          <t>NULL</t>
        </is>
      </c>
      <c r="H1122" s="0" t="inlineStr">
        <is>
          <t>NULL</t>
        </is>
      </c>
      <c r="I1122" s="0" t="inlineStr">
        <is>
          <t>NULL</t>
        </is>
      </c>
      <c r="J1122" s="0" t="inlineStr">
        <is>
          <t>NULL</t>
        </is>
      </c>
      <c r="K1122" s="0" t="inlineStr">
        <is>
          <t xml:space="preserve"> NO!  	 c_numeric38列源备映射错误，源端为numeric None位	期望更改为text	实际备端为numeric None位</t>
        </is>
      </c>
      <c r="EH1122" s="0" t="inlineStr">
        <is>
          <t>63行 16列，源：nan 备：</t>
        </is>
      </c>
      <c r="ES1122" s="0" t="inlineStr">
        <is>
          <t>64行 2列，源：nan 备：32767</t>
        </is>
      </c>
    </row>
    <row r="1123">
      <c r="B1123" s="0" t="inlineStr">
        <is>
          <t>NULL</t>
        </is>
      </c>
      <c r="C1123" s="0" t="inlineStr">
        <is>
          <t>NULL</t>
        </is>
      </c>
      <c r="D1123" s="0" t="inlineStr">
        <is>
          <t>NULL</t>
        </is>
      </c>
      <c r="E1123" s="0" t="inlineStr">
        <is>
          <t>NULL</t>
        </is>
      </c>
      <c r="F1123" s="0" t="inlineStr">
        <is>
          <t>NULL</t>
        </is>
      </c>
      <c r="G1123" s="0" t="inlineStr">
        <is>
          <t>NULL</t>
        </is>
      </c>
      <c r="H1123" s="0" t="inlineStr">
        <is>
          <t>NULL</t>
        </is>
      </c>
      <c r="I1123" s="0" t="inlineStr">
        <is>
          <t>NULL</t>
        </is>
      </c>
      <c r="J1123" s="0" t="inlineStr">
        <is>
          <t>NULL</t>
        </is>
      </c>
      <c r="K1123" s="0" t="inlineStr">
        <is>
          <t xml:space="preserve"> NO!  	 c_numeric38_38列源备映射错误，源端为numeric None位	期望更改为text	实际备端为numeric None位</t>
        </is>
      </c>
      <c r="EH1123" s="0" t="inlineStr">
        <is>
          <t>63行 17列，源：None 备：</t>
        </is>
      </c>
      <c r="ES1123" s="0" t="inlineStr">
        <is>
          <t>64行 3列，源：nan 备：2147483647</t>
        </is>
      </c>
    </row>
    <row r="1124">
      <c r="B1124" s="0" t="inlineStr">
        <is>
          <t>NULL</t>
        </is>
      </c>
      <c r="C1124" s="0" t="inlineStr">
        <is>
          <t>NULL</t>
        </is>
      </c>
      <c r="D1124" s="0" t="inlineStr">
        <is>
          <t>NULL</t>
        </is>
      </c>
      <c r="E1124" s="0" t="inlineStr">
        <is>
          <t>NULL</t>
        </is>
      </c>
      <c r="F1124" s="0" t="inlineStr">
        <is>
          <t>NULL</t>
        </is>
      </c>
      <c r="G1124" s="0" t="inlineStr">
        <is>
          <t>NULL</t>
        </is>
      </c>
      <c r="H1124" s="0" t="inlineStr">
        <is>
          <t>NULL</t>
        </is>
      </c>
      <c r="I1124" s="0" t="inlineStr">
        <is>
          <t>NULL</t>
        </is>
      </c>
      <c r="J1124" s="0" t="inlineStr">
        <is>
          <t>NULL</t>
        </is>
      </c>
      <c r="K1124" s="0" t="inlineStr">
        <is>
          <t xml:space="preserve"> NO!  	 c_numeric38_10列源备映射错误，源端为numeric None位	期望更改为text	实际备端为numeric None位</t>
        </is>
      </c>
      <c r="EH1124" s="0" t="inlineStr">
        <is>
          <t>63行 18列，源：None 备：</t>
        </is>
      </c>
      <c r="ES1124" s="0" t="inlineStr">
        <is>
          <t>64行 4列，源：nan 备：9223372036854775807</t>
        </is>
      </c>
    </row>
    <row r="1125">
      <c r="B1125" s="0" t="inlineStr">
        <is>
          <t>NULL</t>
        </is>
      </c>
      <c r="C1125" s="0" t="inlineStr">
        <is>
          <t>NULL</t>
        </is>
      </c>
      <c r="D1125" s="0" t="inlineStr">
        <is>
          <t>NULL</t>
        </is>
      </c>
      <c r="E1125" s="0" t="inlineStr">
        <is>
          <t>NULL</t>
        </is>
      </c>
      <c r="F1125" s="0" t="inlineStr">
        <is>
          <t>NULL</t>
        </is>
      </c>
      <c r="G1125" s="0" t="inlineStr">
        <is>
          <t>NULL</t>
        </is>
      </c>
      <c r="H1125" s="0" t="inlineStr">
        <is>
          <t>NULL</t>
        </is>
      </c>
      <c r="I1125" s="0" t="inlineStr">
        <is>
          <t>NULL</t>
        </is>
      </c>
      <c r="J1125" s="0" t="inlineStr">
        <is>
          <t>NULL</t>
        </is>
      </c>
      <c r="K1125" s="0" t="inlineStr">
        <is>
          <t xml:space="preserve"> NO!  	 c_numeric18_2列源备映射错误，源端为numeric None位	期望更改为text	实际备端为numeric None位</t>
        </is>
      </c>
      <c r="EH1125" s="0" t="inlineStr">
        <is>
          <t>63行 19列，源：None 备：</t>
        </is>
      </c>
      <c r="ES1125" s="0" t="inlineStr">
        <is>
          <t>64行 5列，源：None 备：</t>
        </is>
      </c>
    </row>
    <row r="1126">
      <c r="B1126" s="0" t="inlineStr">
        <is>
          <t>NULL</t>
        </is>
      </c>
      <c r="C1126" s="0" t="inlineStr">
        <is>
          <t>NULL</t>
        </is>
      </c>
      <c r="D1126" s="0" t="inlineStr">
        <is>
          <t>NULL</t>
        </is>
      </c>
      <c r="E1126" s="0" t="inlineStr">
        <is>
          <t>NULL</t>
        </is>
      </c>
      <c r="F1126" s="0" t="inlineStr">
        <is>
          <t>NULL</t>
        </is>
      </c>
      <c r="G1126" s="0" t="inlineStr">
        <is>
          <t>NULL</t>
        </is>
      </c>
      <c r="H1126" s="0" t="inlineStr">
        <is>
          <t>NULL</t>
        </is>
      </c>
      <c r="I1126" s="0" t="inlineStr">
        <is>
          <t>NULL</t>
        </is>
      </c>
      <c r="J1126" s="0" t="inlineStr">
        <is>
          <t>NULL</t>
        </is>
      </c>
      <c r="K1126" s="0" t="inlineStr">
        <is>
          <t xml:space="preserve"> NO!  	 c_float列源备映射错误，源端为float None位	期望更改为text	实际备端为float None位</t>
        </is>
      </c>
      <c r="EH1126" s="0" t="inlineStr">
        <is>
          <t>64行 0列，源：155 备：212</t>
        </is>
      </c>
      <c r="ES1126" s="0" t="inlineStr">
        <is>
          <t>64行 6列，源：None 备：</t>
        </is>
      </c>
    </row>
    <row r="1127">
      <c r="B1127" s="0" t="inlineStr">
        <is>
          <t>NULL</t>
        </is>
      </c>
      <c r="C1127" s="0" t="inlineStr">
        <is>
          <t>NULL</t>
        </is>
      </c>
      <c r="D1127" s="0" t="inlineStr">
        <is>
          <t>NULL</t>
        </is>
      </c>
      <c r="E1127" s="0" t="inlineStr">
        <is>
          <t>NULL</t>
        </is>
      </c>
      <c r="F1127" s="0" t="inlineStr">
        <is>
          <t>NULL</t>
        </is>
      </c>
      <c r="G1127" s="0" t="inlineStr">
        <is>
          <t>NULL</t>
        </is>
      </c>
      <c r="H1127" s="0" t="inlineStr">
        <is>
          <t>NULL</t>
        </is>
      </c>
      <c r="I1127" s="0" t="inlineStr">
        <is>
          <t>NULL</t>
        </is>
      </c>
      <c r="J1127" s="0" t="inlineStr">
        <is>
          <t>NULL</t>
        </is>
      </c>
      <c r="K1127" s="0" t="inlineStr">
        <is>
          <t xml:space="preserve"> NO!  	 c_real列源备映射错误，源端为real None位	期望更改为text	实际备端为real None位</t>
        </is>
      </c>
      <c r="EH1127" s="0" t="inlineStr">
        <is>
          <t>64行 1列，源：nan 备：</t>
        </is>
      </c>
      <c r="ES1127" s="0" t="inlineStr">
        <is>
          <t>64行 7列，源：None 备：</t>
        </is>
      </c>
    </row>
    <row r="1128">
      <c r="B1128" s="0" t="inlineStr">
        <is>
          <t>NULL</t>
        </is>
      </c>
      <c r="C1128" s="0" t="inlineStr">
        <is>
          <t>NULL</t>
        </is>
      </c>
      <c r="D1128" s="0" t="inlineStr">
        <is>
          <t>NULL</t>
        </is>
      </c>
      <c r="E1128" s="0" t="inlineStr">
        <is>
          <t>NULL</t>
        </is>
      </c>
      <c r="F1128" s="0" t="inlineStr">
        <is>
          <t>NULL</t>
        </is>
      </c>
      <c r="G1128" s="0" t="inlineStr">
        <is>
          <t>NULL</t>
        </is>
      </c>
      <c r="H1128" s="0" t="inlineStr">
        <is>
          <t>NULL</t>
        </is>
      </c>
      <c r="I1128" s="0" t="inlineStr">
        <is>
          <t>NULL</t>
        </is>
      </c>
      <c r="J1128" s="0" t="inlineStr">
        <is>
          <t>NULL</t>
        </is>
      </c>
      <c r="K1128" s="0" t="inlineStr">
        <is>
          <t xml:space="preserve"> NO!  	 c_money列源备映射错误，源端为money None位	期望更改为text	实际备端为money None位</t>
        </is>
      </c>
      <c r="EH1128" s="0" t="inlineStr">
        <is>
          <t>64行 2列，源：nan 备：</t>
        </is>
      </c>
      <c r="ES1128" s="0" t="inlineStr">
        <is>
          <t>64行 8列，源：None 备：</t>
        </is>
      </c>
    </row>
    <row r="1129">
      <c r="B1129" s="0" t="inlineStr">
        <is>
          <t>NULL</t>
        </is>
      </c>
      <c r="C1129" s="0" t="inlineStr">
        <is>
          <t>NULL</t>
        </is>
      </c>
      <c r="D1129" s="0" t="inlineStr">
        <is>
          <t>NULL</t>
        </is>
      </c>
      <c r="E1129" s="0" t="inlineStr">
        <is>
          <t>NULL</t>
        </is>
      </c>
      <c r="F1129" s="0" t="inlineStr">
        <is>
          <t>NULL</t>
        </is>
      </c>
      <c r="G1129" s="0" t="inlineStr">
        <is>
          <t>NULL</t>
        </is>
      </c>
      <c r="H1129" s="0" t="inlineStr">
        <is>
          <t>NULL</t>
        </is>
      </c>
      <c r="I1129" s="0" t="inlineStr">
        <is>
          <t>NULL</t>
        </is>
      </c>
      <c r="J1129" s="0" t="inlineStr">
        <is>
          <t>NULL</t>
        </is>
      </c>
      <c r="K1129" s="0" t="inlineStr">
        <is>
          <t xml:space="preserve"> NO!  	 c_smallmoney列源备映射错误，源端为smallmoney None位	期望更改为text	实际备端为smallmoney None位</t>
        </is>
      </c>
      <c r="EH1129" s="0" t="inlineStr">
        <is>
          <t>64行 3列，源：nan 备：</t>
        </is>
      </c>
      <c r="ES1129" s="0" t="inlineStr">
        <is>
          <t>64行 9列，源：None 备：</t>
        </is>
      </c>
    </row>
    <row r="1130">
      <c r="B1130" s="0" t="inlineStr">
        <is>
          <t>NULL</t>
        </is>
      </c>
      <c r="C1130" s="0" t="inlineStr">
        <is>
          <t>NULL</t>
        </is>
      </c>
      <c r="D1130" s="0" t="inlineStr">
        <is>
          <t>NULL</t>
        </is>
      </c>
      <c r="E1130" s="0" t="inlineStr">
        <is>
          <t>NULL</t>
        </is>
      </c>
      <c r="F1130" s="0" t="inlineStr">
        <is>
          <t>NULL</t>
        </is>
      </c>
      <c r="G1130" s="0" t="inlineStr">
        <is>
          <t>NULL</t>
        </is>
      </c>
      <c r="H1130" s="0" t="inlineStr">
        <is>
          <t>NULL</t>
        </is>
      </c>
      <c r="I1130" s="0" t="inlineStr">
        <is>
          <t>NULL</t>
        </is>
      </c>
      <c r="J1130" s="0" t="inlineStr">
        <is>
          <t>NULL</t>
        </is>
      </c>
      <c r="K1130" s="0" t="inlineStr">
        <is>
          <t xml:space="preserve"> NO!  	 c_bit列源备映射错误，源端为bit None位	期望更改为text	实际备端为bit None位</t>
        </is>
      </c>
      <c r="EH1130" s="0" t="inlineStr">
        <is>
          <t>64行 4列，源：nan 备：</t>
        </is>
      </c>
      <c r="ES1130" s="0" t="inlineStr">
        <is>
          <t>64行 10列，源：None 备：</t>
        </is>
      </c>
    </row>
    <row r="1131">
      <c r="A1131" s="0" t="inlineStr">
        <is>
          <t>info_nvarchar_dml_batch2_pk_irp1</t>
        </is>
      </c>
      <c r="K1131" s="0" t="inlineStr">
        <is>
          <t>[0;34m info_nvarchar_dml_batch2_pk_irp1 [0m源备字段数相同，源端字段：4 	备端字段4</t>
        </is>
      </c>
      <c r="W1131" s="2">
        <f>HYPERLINK("#2026041905hbase4!DY2","NO 源备存在差异，共3个")</f>
        <v/>
      </c>
      <c r="X1131" s="0">
        <f>A1131</f>
        <v/>
      </c>
      <c r="EH1131" s="0" t="inlineStr">
        <is>
          <t>64行 5列，源：None 备：</t>
        </is>
      </c>
      <c r="ES1131" s="0" t="inlineStr">
        <is>
          <t>64行 11列，源：None 备：</t>
        </is>
      </c>
    </row>
    <row r="1132">
      <c r="B1132" s="0" t="inlineStr">
        <is>
          <t>YES</t>
        </is>
      </c>
      <c r="C1132" s="0" t="inlineStr">
        <is>
          <t>NULL</t>
        </is>
      </c>
      <c r="D1132" s="0" t="inlineStr">
        <is>
          <t>NULL</t>
        </is>
      </c>
      <c r="E1132" s="0" t="inlineStr">
        <is>
          <t>NULL</t>
        </is>
      </c>
      <c r="F1132" s="0" t="inlineStr">
        <is>
          <t>NULL</t>
        </is>
      </c>
      <c r="G1132" s="0" t="inlineStr">
        <is>
          <t>NULL</t>
        </is>
      </c>
      <c r="H1132" s="0" t="inlineStr">
        <is>
          <t>NULL</t>
        </is>
      </c>
      <c r="I1132" s="0" t="inlineStr">
        <is>
          <t>YES!PK__info_nva__3213E83FB9640613</t>
        </is>
      </c>
      <c r="J1132" s="0" t="inlineStr">
        <is>
          <t>YES! 主键相关索引</t>
        </is>
      </c>
      <c r="K1132" s="0" t="inlineStr">
        <is>
          <t xml:space="preserve"> NO!  	 id列源备映射错误，源端为int None位	期望更改为text	实际备端为int None位</t>
        </is>
      </c>
      <c r="EH1132" s="0" t="inlineStr">
        <is>
          <t>64行 6列，源：None 备：</t>
        </is>
      </c>
      <c r="ES1132" s="0" t="inlineStr">
        <is>
          <t>64行 12列，源：None 备：</t>
        </is>
      </c>
    </row>
    <row r="1133">
      <c r="B1133" s="0" t="inlineStr">
        <is>
          <t>NULL</t>
        </is>
      </c>
      <c r="C1133" s="0" t="inlineStr">
        <is>
          <t>NULL</t>
        </is>
      </c>
      <c r="D1133" s="0" t="inlineStr">
        <is>
          <t>NULL</t>
        </is>
      </c>
      <c r="E1133" s="0" t="inlineStr">
        <is>
          <t>NULL</t>
        </is>
      </c>
      <c r="F1133" s="0" t="inlineStr">
        <is>
          <t>NULL</t>
        </is>
      </c>
      <c r="G1133" s="0" t="inlineStr">
        <is>
          <t>NULL</t>
        </is>
      </c>
      <c r="H1133" s="0" t="inlineStr">
        <is>
          <t>NULL</t>
        </is>
      </c>
      <c r="I1133" s="0" t="inlineStr">
        <is>
          <t>NULL</t>
        </is>
      </c>
      <c r="J1133" s="0" t="inlineStr">
        <is>
          <t>NULL</t>
        </is>
      </c>
      <c r="K1133" s="0" t="inlineStr">
        <is>
          <t xml:space="preserve"> NO!  	 c_nvarchar列源备映射错误，源端为nvarchar 2位	期望更改为text	实际备端为nvarchar 2位</t>
        </is>
      </c>
      <c r="EH1133" s="0" t="inlineStr">
        <is>
          <t>64行 7列，源：None 备：</t>
        </is>
      </c>
      <c r="ES1133" s="0" t="inlineStr">
        <is>
          <t>64行 13列，源：None 备：</t>
        </is>
      </c>
    </row>
    <row r="1134">
      <c r="B1134" s="0" t="inlineStr">
        <is>
          <t>NULL</t>
        </is>
      </c>
      <c r="C1134" s="0" t="inlineStr">
        <is>
          <t>NULL</t>
        </is>
      </c>
      <c r="D1134" s="0" t="inlineStr">
        <is>
          <t>NULL</t>
        </is>
      </c>
      <c r="E1134" s="0" t="inlineStr">
        <is>
          <t>NULL</t>
        </is>
      </c>
      <c r="F1134" s="0" t="inlineStr">
        <is>
          <t>NULL</t>
        </is>
      </c>
      <c r="G1134" s="0" t="inlineStr">
        <is>
          <t>NULL</t>
        </is>
      </c>
      <c r="H1134" s="0" t="inlineStr">
        <is>
          <t>NULL</t>
        </is>
      </c>
      <c r="I1134" s="0" t="inlineStr">
        <is>
          <t>NULL</t>
        </is>
      </c>
      <c r="J1134" s="0" t="inlineStr">
        <is>
          <t>NULL</t>
        </is>
      </c>
      <c r="K1134" s="0" t="inlineStr">
        <is>
          <t xml:space="preserve"> NO!  	 c_nvarchar20列源备映射错误，源端为nvarchar 40位	期望更改为text	实际备端为nvarchar 40位</t>
        </is>
      </c>
      <c r="EH1134" s="0" t="inlineStr">
        <is>
          <t>64行 8列，源：None 备：</t>
        </is>
      </c>
      <c r="ES1134" s="0" t="inlineStr">
        <is>
          <t>64行 14列，源：None 备：</t>
        </is>
      </c>
    </row>
    <row r="1135">
      <c r="B1135" s="0" t="inlineStr">
        <is>
          <t>NULL</t>
        </is>
      </c>
      <c r="C1135" s="0" t="inlineStr">
        <is>
          <t>NULL</t>
        </is>
      </c>
      <c r="D1135" s="0" t="inlineStr">
        <is>
          <t>NULL</t>
        </is>
      </c>
      <c r="E1135" s="0" t="inlineStr">
        <is>
          <t>NULL</t>
        </is>
      </c>
      <c r="F1135" s="0" t="inlineStr">
        <is>
          <t>NULL</t>
        </is>
      </c>
      <c r="G1135" s="0" t="inlineStr">
        <is>
          <t>NULL</t>
        </is>
      </c>
      <c r="H1135" s="0" t="inlineStr">
        <is>
          <t>NULL</t>
        </is>
      </c>
      <c r="I1135" s="0" t="inlineStr">
        <is>
          <t>NULL</t>
        </is>
      </c>
      <c r="J1135" s="0" t="inlineStr">
        <is>
          <t>NULL</t>
        </is>
      </c>
      <c r="K1135" s="0" t="inlineStr">
        <is>
          <t xml:space="preserve"> NO!  	 c_nvarchar3500列源备映射错误，源端为nvarchar 7000位	期望更改为text	实际备端为nvarchar 7000位</t>
        </is>
      </c>
      <c r="EH1135" s="0" t="inlineStr">
        <is>
          <t>64行 9列，源：None 备：</t>
        </is>
      </c>
      <c r="ES1135" s="0" t="inlineStr">
        <is>
          <t>64行 15列，源：nan 备：</t>
        </is>
      </c>
    </row>
    <row r="1136">
      <c r="A1136" s="0" t="inlineStr">
        <is>
          <t>info_uniqueidentifier_dml_single_pk_urp</t>
        </is>
      </c>
      <c r="K1136" s="0" t="inlineStr">
        <is>
          <t>[0;34m info_uniqueidentifier_dml_single_pk_urp [0m源备字段数相同，源端字段：2 	备端字段2</t>
        </is>
      </c>
      <c r="W1136" s="2">
        <f>HYPERLINK("#2026041905hbase4!DZ2","NO 源备存在差异，共1个")</f>
        <v/>
      </c>
      <c r="X1136" s="0">
        <f>A1136</f>
        <v/>
      </c>
      <c r="EH1136" s="0" t="inlineStr">
        <is>
          <t>64行 10列，源：None 备：</t>
        </is>
      </c>
      <c r="ES1136" s="0" t="inlineStr">
        <is>
          <t>64行 16列，源：nan 备：</t>
        </is>
      </c>
    </row>
    <row r="1137">
      <c r="B1137" s="0" t="inlineStr">
        <is>
          <t>YES</t>
        </is>
      </c>
      <c r="C1137" s="0" t="inlineStr">
        <is>
          <t>NULL</t>
        </is>
      </c>
      <c r="D1137" s="0" t="inlineStr">
        <is>
          <t>NULL</t>
        </is>
      </c>
      <c r="E1137" s="0" t="inlineStr">
        <is>
          <t>NULL</t>
        </is>
      </c>
      <c r="F1137" s="0" t="inlineStr">
        <is>
          <t>NULL</t>
        </is>
      </c>
      <c r="G1137" s="0" t="inlineStr">
        <is>
          <t>NULL</t>
        </is>
      </c>
      <c r="H1137" s="0" t="inlineStr">
        <is>
          <t>NULL</t>
        </is>
      </c>
      <c r="I1137" s="0" t="inlineStr">
        <is>
          <t>YES!PK__info_uni__3213E83F2D128DE1</t>
        </is>
      </c>
      <c r="J1137" s="0" t="inlineStr">
        <is>
          <t>YES! 主键相关索引</t>
        </is>
      </c>
      <c r="K1137" s="0" t="inlineStr">
        <is>
          <t xml:space="preserve"> NO!  	 id列源备映射错误，源端为int None位	期望更改为text	实际备端为int None位</t>
        </is>
      </c>
      <c r="EH1137" s="0" t="inlineStr">
        <is>
          <t>64行 11列，源：None 备：</t>
        </is>
      </c>
      <c r="ES1137" s="0" t="inlineStr">
        <is>
          <t>64行 17列，源：None 备：</t>
        </is>
      </c>
    </row>
    <row r="1138">
      <c r="B1138" s="0" t="inlineStr">
        <is>
          <t>NULL</t>
        </is>
      </c>
      <c r="C1138" s="0" t="inlineStr">
        <is>
          <t>NULL</t>
        </is>
      </c>
      <c r="D1138" s="0" t="inlineStr">
        <is>
          <t>NULL</t>
        </is>
      </c>
      <c r="E1138" s="0" t="inlineStr">
        <is>
          <t>NULL</t>
        </is>
      </c>
      <c r="F1138" s="0" t="inlineStr">
        <is>
          <t>NULL</t>
        </is>
      </c>
      <c r="G1138" s="0" t="inlineStr">
        <is>
          <t>NULL</t>
        </is>
      </c>
      <c r="H1138" s="0" t="inlineStr">
        <is>
          <t>NULL</t>
        </is>
      </c>
      <c r="I1138" s="0" t="inlineStr">
        <is>
          <t>NULL</t>
        </is>
      </c>
      <c r="J1138" s="0" t="inlineStr">
        <is>
          <t>NULL</t>
        </is>
      </c>
      <c r="K1138" s="0" t="inlineStr">
        <is>
          <t xml:space="preserve"> NO!  	 c_uniqueidentifier列源备映射错误，源端为uniqueidentifier None位	期望更改为text	实际备端为uniqueidentifier None位</t>
        </is>
      </c>
      <c r="EH1138" s="0" t="inlineStr">
        <is>
          <t>64行 12列，源：None 备：</t>
        </is>
      </c>
      <c r="ES1138" s="0" t="inlineStr">
        <is>
          <t>64行 18列，源：None 备：</t>
        </is>
      </c>
    </row>
    <row r="1139">
      <c r="A1139" s="0" t="inlineStr">
        <is>
          <t>info_datetime2_dml_single_pk_urp</t>
        </is>
      </c>
      <c r="K1139" s="0" t="inlineStr">
        <is>
          <t>[0;34m info_datetime2_dml_single_pk_urp [0m源备字段数相同，源端字段：9 	备端字段9</t>
        </is>
      </c>
      <c r="W1139" s="2">
        <f>HYPERLINK("#2026041905hbase4!EA2","NO 源备存在差异，共18个")</f>
        <v/>
      </c>
      <c r="X1139" s="0">
        <f>A1139</f>
        <v/>
      </c>
      <c r="EH1139" s="0" t="inlineStr">
        <is>
          <t>64行 13列，源：None 备：</t>
        </is>
      </c>
      <c r="ES1139" s="0" t="inlineStr">
        <is>
          <t>64行 19列，源：None 备：</t>
        </is>
      </c>
    </row>
    <row r="1140">
      <c r="B1140" s="0" t="inlineStr">
        <is>
          <t>YES</t>
        </is>
      </c>
      <c r="C1140" s="0" t="inlineStr">
        <is>
          <t>NULL</t>
        </is>
      </c>
      <c r="D1140" s="0" t="inlineStr">
        <is>
          <t>NULL</t>
        </is>
      </c>
      <c r="E1140" s="0" t="inlineStr">
        <is>
          <t>NULL</t>
        </is>
      </c>
      <c r="F1140" s="0" t="inlineStr">
        <is>
          <t>NULL</t>
        </is>
      </c>
      <c r="G1140" s="0" t="inlineStr">
        <is>
          <t>NULL</t>
        </is>
      </c>
      <c r="H1140" s="0" t="inlineStr">
        <is>
          <t>NULL</t>
        </is>
      </c>
      <c r="I1140" s="0" t="inlineStr">
        <is>
          <t>YES!PK__info_dat__3213E83F9A1514A8</t>
        </is>
      </c>
      <c r="J1140" s="0" t="inlineStr">
        <is>
          <t>YES! 主键相关索引</t>
        </is>
      </c>
      <c r="K1140" s="0" t="inlineStr">
        <is>
          <t xml:space="preserve"> NO!  	 id列源备映射错误，源端为int None位	期望更改为text	实际备端为int None位</t>
        </is>
      </c>
      <c r="EH1140" s="0" t="inlineStr">
        <is>
          <t>64行 14列，源：None 备：</t>
        </is>
      </c>
      <c r="ES1140" s="0" t="inlineStr">
        <is>
          <t>65行 0列，源：206 备：53</t>
        </is>
      </c>
    </row>
    <row r="1141">
      <c r="B1141" s="0" t="inlineStr">
        <is>
          <t>NULL</t>
        </is>
      </c>
      <c r="C1141" s="0" t="inlineStr">
        <is>
          <t>NULL</t>
        </is>
      </c>
      <c r="D1141" s="0" t="inlineStr">
        <is>
          <t>NULL</t>
        </is>
      </c>
      <c r="E1141" s="0" t="inlineStr">
        <is>
          <t>NULL</t>
        </is>
      </c>
      <c r="F1141" s="0" t="inlineStr">
        <is>
          <t>NULL</t>
        </is>
      </c>
      <c r="G1141" s="0" t="inlineStr">
        <is>
          <t>NULL</t>
        </is>
      </c>
      <c r="H1141" s="0" t="inlineStr">
        <is>
          <t>NULL</t>
        </is>
      </c>
      <c r="I1141" s="0" t="inlineStr">
        <is>
          <t>NULL</t>
        </is>
      </c>
      <c r="J1141" s="0" t="inlineStr">
        <is>
          <t>NULL</t>
        </is>
      </c>
      <c r="K1141" s="0" t="inlineStr">
        <is>
          <t xml:space="preserve"> NO!  	 c_dt2_0列源备映射错误，源端为datetime2 None位	期望更改为text	实际备端为datetime2 None位</t>
        </is>
      </c>
      <c r="EH1141" s="0" t="inlineStr">
        <is>
          <t>64行 15列，源：nan 备：</t>
        </is>
      </c>
      <c r="ES1141" s="0" t="inlineStr">
        <is>
          <t>65行 1列，源：nan 备：</t>
        </is>
      </c>
    </row>
    <row r="1142">
      <c r="B1142" s="0" t="inlineStr">
        <is>
          <t>NULL</t>
        </is>
      </c>
      <c r="C1142" s="0" t="inlineStr">
        <is>
          <t>NULL</t>
        </is>
      </c>
      <c r="D1142" s="0" t="inlineStr">
        <is>
          <t>NULL</t>
        </is>
      </c>
      <c r="E1142" s="0" t="inlineStr">
        <is>
          <t>NULL</t>
        </is>
      </c>
      <c r="F1142" s="0" t="inlineStr">
        <is>
          <t>NULL</t>
        </is>
      </c>
      <c r="G1142" s="0" t="inlineStr">
        <is>
          <t>NULL</t>
        </is>
      </c>
      <c r="H1142" s="0" t="inlineStr">
        <is>
          <t>NULL</t>
        </is>
      </c>
      <c r="I1142" s="0" t="inlineStr">
        <is>
          <t>NULL</t>
        </is>
      </c>
      <c r="J1142" s="0" t="inlineStr">
        <is>
          <t>NULL</t>
        </is>
      </c>
      <c r="K1142" s="0" t="inlineStr">
        <is>
          <t xml:space="preserve"> NO!  	 c_dt2_1列源备映射错误，源端为datetime2 None位	期望更改为text	实际备端为datetime2 None位</t>
        </is>
      </c>
      <c r="EH1142" s="0" t="inlineStr">
        <is>
          <t>64行 16列，源：nan 备：</t>
        </is>
      </c>
      <c r="ES1142" s="0" t="inlineStr">
        <is>
          <t>65行 2列，源：nan 备：</t>
        </is>
      </c>
    </row>
    <row r="1143">
      <c r="B1143" s="0" t="inlineStr">
        <is>
          <t>NULL</t>
        </is>
      </c>
      <c r="C1143" s="0" t="inlineStr">
        <is>
          <t>NULL</t>
        </is>
      </c>
      <c r="D1143" s="0" t="inlineStr">
        <is>
          <t>NULL</t>
        </is>
      </c>
      <c r="E1143" s="0" t="inlineStr">
        <is>
          <t>NULL</t>
        </is>
      </c>
      <c r="F1143" s="0" t="inlineStr">
        <is>
          <t>NULL</t>
        </is>
      </c>
      <c r="G1143" s="0" t="inlineStr">
        <is>
          <t>NULL</t>
        </is>
      </c>
      <c r="H1143" s="0" t="inlineStr">
        <is>
          <t>NULL</t>
        </is>
      </c>
      <c r="I1143" s="0" t="inlineStr">
        <is>
          <t>NULL</t>
        </is>
      </c>
      <c r="J1143" s="0" t="inlineStr">
        <is>
          <t>NULL</t>
        </is>
      </c>
      <c r="K1143" s="0" t="inlineStr">
        <is>
          <t xml:space="preserve"> NO!  	 c_dt2_2列源备映射错误，源端为datetime2 None位	期望更改为text	实际备端为datetime2 None位</t>
        </is>
      </c>
      <c r="EH1143" s="0" t="inlineStr">
        <is>
          <t>64行 17列，源：None 备：</t>
        </is>
      </c>
      <c r="ES1143" s="0" t="inlineStr">
        <is>
          <t>65行 3列，源：nan 备：</t>
        </is>
      </c>
    </row>
    <row r="1144">
      <c r="B1144" s="0" t="inlineStr">
        <is>
          <t>NULL</t>
        </is>
      </c>
      <c r="C1144" s="0" t="inlineStr">
        <is>
          <t>NULL</t>
        </is>
      </c>
      <c r="D1144" s="0" t="inlineStr">
        <is>
          <t>NULL</t>
        </is>
      </c>
      <c r="E1144" s="0" t="inlineStr">
        <is>
          <t>NULL</t>
        </is>
      </c>
      <c r="F1144" s="0" t="inlineStr">
        <is>
          <t>NULL</t>
        </is>
      </c>
      <c r="G1144" s="0" t="inlineStr">
        <is>
          <t>NULL</t>
        </is>
      </c>
      <c r="H1144" s="0" t="inlineStr">
        <is>
          <t>NULL</t>
        </is>
      </c>
      <c r="I1144" s="0" t="inlineStr">
        <is>
          <t>NULL</t>
        </is>
      </c>
      <c r="J1144" s="0" t="inlineStr">
        <is>
          <t>NULL</t>
        </is>
      </c>
      <c r="K1144" s="0" t="inlineStr">
        <is>
          <t xml:space="preserve"> NO!  	 c_dt2_3列源备映射错误，源端为datetime2 None位	期望更改为text	实际备端为datetime2 None位</t>
        </is>
      </c>
      <c r="EH1144" s="0" t="inlineStr">
        <is>
          <t>64行 18列，源：None 备：</t>
        </is>
      </c>
      <c r="ES1144" s="0" t="inlineStr">
        <is>
          <t>65行 4列，源：nan 备：</t>
        </is>
      </c>
    </row>
    <row r="1145">
      <c r="B1145" s="0" t="inlineStr">
        <is>
          <t>NULL</t>
        </is>
      </c>
      <c r="C1145" s="0" t="inlineStr">
        <is>
          <t>NULL</t>
        </is>
      </c>
      <c r="D1145" s="0" t="inlineStr">
        <is>
          <t>NULL</t>
        </is>
      </c>
      <c r="E1145" s="0" t="inlineStr">
        <is>
          <t>NULL</t>
        </is>
      </c>
      <c r="F1145" s="0" t="inlineStr">
        <is>
          <t>NULL</t>
        </is>
      </c>
      <c r="G1145" s="0" t="inlineStr">
        <is>
          <t>NULL</t>
        </is>
      </c>
      <c r="H1145" s="0" t="inlineStr">
        <is>
          <t>NULL</t>
        </is>
      </c>
      <c r="I1145" s="0" t="inlineStr">
        <is>
          <t>NULL</t>
        </is>
      </c>
      <c r="J1145" s="0" t="inlineStr">
        <is>
          <t>NULL</t>
        </is>
      </c>
      <c r="K1145" s="0" t="inlineStr">
        <is>
          <t xml:space="preserve"> NO!  	 c_dt2_4列源备映射错误，源端为datetime2 None位	期望更改为text	实际备端为datetime2 None位</t>
        </is>
      </c>
      <c r="EH1145" s="0" t="inlineStr">
        <is>
          <t>64行 19列，源：None 备：</t>
        </is>
      </c>
      <c r="ES1145" s="0" t="inlineStr">
        <is>
          <t>65行 5列，源：None 备：</t>
        </is>
      </c>
    </row>
    <row r="1146">
      <c r="B1146" s="0" t="inlineStr">
        <is>
          <t>NULL</t>
        </is>
      </c>
      <c r="C1146" s="0" t="inlineStr">
        <is>
          <t>NULL</t>
        </is>
      </c>
      <c r="D1146" s="0" t="inlineStr">
        <is>
          <t>NULL</t>
        </is>
      </c>
      <c r="E1146" s="0" t="inlineStr">
        <is>
          <t>NULL</t>
        </is>
      </c>
      <c r="F1146" s="0" t="inlineStr">
        <is>
          <t>NULL</t>
        </is>
      </c>
      <c r="G1146" s="0" t="inlineStr">
        <is>
          <t>NULL</t>
        </is>
      </c>
      <c r="H1146" s="0" t="inlineStr">
        <is>
          <t>NULL</t>
        </is>
      </c>
      <c r="I1146" s="0" t="inlineStr">
        <is>
          <t>NULL</t>
        </is>
      </c>
      <c r="J1146" s="0" t="inlineStr">
        <is>
          <t>NULL</t>
        </is>
      </c>
      <c r="K1146" s="0" t="inlineStr">
        <is>
          <t xml:space="preserve"> NO!  	 c_dt2_5列源备映射错误，源端为datetime2 None位	期望更改为text	实际备端为datetime2 None位</t>
        </is>
      </c>
      <c r="EH1146" s="0" t="inlineStr">
        <is>
          <t>65行 0列，源：156 备：213</t>
        </is>
      </c>
      <c r="ES1146" s="0" t="inlineStr">
        <is>
          <t>65行 6列，源：None 备：</t>
        </is>
      </c>
    </row>
    <row r="1147">
      <c r="B1147" s="0" t="inlineStr">
        <is>
          <t>NULL</t>
        </is>
      </c>
      <c r="C1147" s="0" t="inlineStr">
        <is>
          <t>NULL</t>
        </is>
      </c>
      <c r="D1147" s="0" t="inlineStr">
        <is>
          <t>NULL</t>
        </is>
      </c>
      <c r="E1147" s="0" t="inlineStr">
        <is>
          <t>NULL</t>
        </is>
      </c>
      <c r="F1147" s="0" t="inlineStr">
        <is>
          <t>NULL</t>
        </is>
      </c>
      <c r="G1147" s="0" t="inlineStr">
        <is>
          <t>NULL</t>
        </is>
      </c>
      <c r="H1147" s="0" t="inlineStr">
        <is>
          <t>NULL</t>
        </is>
      </c>
      <c r="I1147" s="0" t="inlineStr">
        <is>
          <t>NULL</t>
        </is>
      </c>
      <c r="J1147" s="0" t="inlineStr">
        <is>
          <t>NULL</t>
        </is>
      </c>
      <c r="K1147" s="0" t="inlineStr">
        <is>
          <t xml:space="preserve"> NO!  	 c_dt2_6列源备映射错误，源端为datetime2 None位	期望更改为text	实际备端为datetime2 None位</t>
        </is>
      </c>
      <c r="EH1147" s="0" t="inlineStr">
        <is>
          <t>65行 1列，源：nan 备：</t>
        </is>
      </c>
      <c r="ES1147" s="0" t="inlineStr">
        <is>
          <t>65行 7列，源：None 备：</t>
        </is>
      </c>
    </row>
    <row r="1148">
      <c r="B1148" s="0" t="inlineStr">
        <is>
          <t>NULL</t>
        </is>
      </c>
      <c r="C1148" s="0" t="inlineStr">
        <is>
          <t>NULL</t>
        </is>
      </c>
      <c r="D1148" s="0" t="inlineStr">
        <is>
          <t>NULL</t>
        </is>
      </c>
      <c r="E1148" s="0" t="inlineStr">
        <is>
          <t>NULL</t>
        </is>
      </c>
      <c r="F1148" s="0" t="inlineStr">
        <is>
          <t>NULL</t>
        </is>
      </c>
      <c r="G1148" s="0" t="inlineStr">
        <is>
          <t>NULL</t>
        </is>
      </c>
      <c r="H1148" s="0" t="inlineStr">
        <is>
          <t>NULL</t>
        </is>
      </c>
      <c r="I1148" s="0" t="inlineStr">
        <is>
          <t>NULL</t>
        </is>
      </c>
      <c r="J1148" s="0" t="inlineStr">
        <is>
          <t>NULL</t>
        </is>
      </c>
      <c r="K1148" s="0" t="inlineStr">
        <is>
          <t xml:space="preserve"> NO!  	 c_dt2列源备映射错误，源端为datetime2 None位	期望更改为text	实际备端为datetime2 None位</t>
        </is>
      </c>
      <c r="EH1148" s="0" t="inlineStr">
        <is>
          <t>65行 2列，源：nan 备：</t>
        </is>
      </c>
      <c r="ES1148" s="0" t="inlineStr">
        <is>
          <t>65行 8列，源：None 备：</t>
        </is>
      </c>
    </row>
    <row r="1149">
      <c r="A1149" s="0" t="inlineStr">
        <is>
          <t>info_geography_dml_single_pk_urp</t>
        </is>
      </c>
      <c r="K1149" s="0" t="inlineStr">
        <is>
          <t>[0;34m info_geography_dml_single_pk_urp [0m源备字段数相同，源端字段：2 	备端字段2</t>
        </is>
      </c>
      <c r="W1149" s="2">
        <f>HYPERLINK("#2026041905hbase4!EB2","NO 源备存在差异，共5个")</f>
        <v/>
      </c>
      <c r="X1149" s="0">
        <f>A1149</f>
        <v/>
      </c>
      <c r="EH1149" s="0" t="inlineStr">
        <is>
          <t>65行 3列，源：nan 备：</t>
        </is>
      </c>
      <c r="ES1149" s="0" t="inlineStr">
        <is>
          <t>65行 9列，源：None 备：</t>
        </is>
      </c>
    </row>
    <row r="1150">
      <c r="B1150" s="0" t="inlineStr">
        <is>
          <t>YES</t>
        </is>
      </c>
      <c r="C1150" s="0" t="inlineStr">
        <is>
          <t>NULL</t>
        </is>
      </c>
      <c r="D1150" s="0" t="inlineStr">
        <is>
          <t>NULL</t>
        </is>
      </c>
      <c r="E1150" s="0" t="inlineStr">
        <is>
          <t>NULL</t>
        </is>
      </c>
      <c r="F1150" s="0" t="inlineStr">
        <is>
          <t>NULL</t>
        </is>
      </c>
      <c r="G1150" s="0" t="inlineStr">
        <is>
          <t>NULL</t>
        </is>
      </c>
      <c r="H1150" s="0" t="inlineStr">
        <is>
          <t>NULL</t>
        </is>
      </c>
      <c r="I1150" s="0" t="inlineStr">
        <is>
          <t>YES!PK__info_geo__3213E83FFA697EAF</t>
        </is>
      </c>
      <c r="J1150" s="0" t="inlineStr">
        <is>
          <t>YES! 主键相关索引</t>
        </is>
      </c>
      <c r="K1150" s="0" t="inlineStr">
        <is>
          <t xml:space="preserve"> NO!  	 id列源备映射错误，源端为int None位	期望更改为text	实际备端为int None位</t>
        </is>
      </c>
      <c r="EH1150" s="0" t="inlineStr">
        <is>
          <t>65行 4列，源：nan 备：</t>
        </is>
      </c>
      <c r="ES1150" s="0" t="inlineStr">
        <is>
          <t>65行 10列，源：None 备：</t>
        </is>
      </c>
    </row>
    <row r="1151">
      <c r="B1151" s="0" t="inlineStr">
        <is>
          <t>NULL</t>
        </is>
      </c>
      <c r="C1151" s="0" t="inlineStr">
        <is>
          <t>NULL</t>
        </is>
      </c>
      <c r="D1151" s="0" t="inlineStr">
        <is>
          <t>NULL</t>
        </is>
      </c>
      <c r="E1151" s="0" t="inlineStr">
        <is>
          <t>NULL</t>
        </is>
      </c>
      <c r="F1151" s="0" t="inlineStr">
        <is>
          <t>NULL</t>
        </is>
      </c>
      <c r="G1151" s="0" t="inlineStr">
        <is>
          <t>NULL</t>
        </is>
      </c>
      <c r="H1151" s="0" t="inlineStr">
        <is>
          <t>NULL</t>
        </is>
      </c>
      <c r="I1151" s="0" t="inlineStr">
        <is>
          <t>NULL</t>
        </is>
      </c>
      <c r="J1151" s="0" t="inlineStr">
        <is>
          <t>NULL</t>
        </is>
      </c>
      <c r="K1151" s="0" t="inlineStr">
        <is>
          <t xml:space="preserve"> NO!  	 c_geography列源备映射错误，源端为geography -1位	期望更改为text	实际备端为geography -1位</t>
        </is>
      </c>
      <c r="EH1151" s="0" t="inlineStr">
        <is>
          <t>65行 5列，源：None 备：</t>
        </is>
      </c>
      <c r="ES1151" s="0" t="inlineStr">
        <is>
          <t>65行 11列，源：None 备：</t>
        </is>
      </c>
    </row>
    <row r="1152">
      <c r="A1152" s="0" t="inlineStr">
        <is>
          <t>info_time_dml_batch2_pk_irp2</t>
        </is>
      </c>
      <c r="K1152" s="0" t="inlineStr">
        <is>
          <t>[0;34m info_time_dml_batch2_pk_irp2 [0m源备字段数相同，源端字段：9 	备端字段9</t>
        </is>
      </c>
      <c r="W1152" s="2">
        <f>HYPERLINK("#2026041905hbase4!EC2","NO 源备存在差异，共202个")</f>
        <v/>
      </c>
      <c r="X1152" s="0">
        <f>A1152</f>
        <v/>
      </c>
      <c r="EH1152" s="0" t="inlineStr">
        <is>
          <t>65行 6列，源：None 备：</t>
        </is>
      </c>
      <c r="ES1152" s="0" t="inlineStr">
        <is>
          <t>65行 12列，源：None 备：</t>
        </is>
      </c>
    </row>
    <row r="1153">
      <c r="B1153" s="0" t="inlineStr">
        <is>
          <t>YES</t>
        </is>
      </c>
      <c r="C1153" s="0" t="inlineStr">
        <is>
          <t>NULL</t>
        </is>
      </c>
      <c r="D1153" s="0" t="inlineStr">
        <is>
          <t>NULL</t>
        </is>
      </c>
      <c r="E1153" s="0" t="inlineStr">
        <is>
          <t>NULL</t>
        </is>
      </c>
      <c r="F1153" s="0" t="inlineStr">
        <is>
          <t>NULL</t>
        </is>
      </c>
      <c r="G1153" s="0" t="inlineStr">
        <is>
          <t>NULL</t>
        </is>
      </c>
      <c r="H1153" s="0" t="inlineStr">
        <is>
          <t>NULL</t>
        </is>
      </c>
      <c r="I1153" s="0" t="inlineStr">
        <is>
          <t>YES!PK__info_tim__3213E83FDF9DF9D2</t>
        </is>
      </c>
      <c r="J1153" s="0" t="inlineStr">
        <is>
          <t>YES! 主键相关索引</t>
        </is>
      </c>
      <c r="K1153" s="0" t="inlineStr">
        <is>
          <t xml:space="preserve"> NO!  	 id列源备映射错误，源端为int None位	期望更改为text	实际备端为int None位</t>
        </is>
      </c>
      <c r="EH1153" s="0" t="inlineStr">
        <is>
          <t>65行 7列，源：None 备：</t>
        </is>
      </c>
      <c r="ES1153" s="0" t="inlineStr">
        <is>
          <t>65行 13列，源：None 备：</t>
        </is>
      </c>
    </row>
    <row r="1154">
      <c r="B1154" s="0" t="inlineStr">
        <is>
          <t>NULL</t>
        </is>
      </c>
      <c r="C1154" s="0" t="inlineStr">
        <is>
          <t>NULL</t>
        </is>
      </c>
      <c r="D1154" s="0" t="inlineStr">
        <is>
          <t>NULL</t>
        </is>
      </c>
      <c r="E1154" s="0" t="inlineStr">
        <is>
          <t>NULL</t>
        </is>
      </c>
      <c r="F1154" s="0" t="inlineStr">
        <is>
          <t>NULL</t>
        </is>
      </c>
      <c r="G1154" s="0" t="inlineStr">
        <is>
          <t>NULL</t>
        </is>
      </c>
      <c r="H1154" s="0" t="inlineStr">
        <is>
          <t>NULL</t>
        </is>
      </c>
      <c r="I1154" s="0" t="inlineStr">
        <is>
          <t>NULL</t>
        </is>
      </c>
      <c r="J1154" s="0" t="inlineStr">
        <is>
          <t>NULL</t>
        </is>
      </c>
      <c r="K1154" s="0" t="inlineStr">
        <is>
          <t xml:space="preserve"> NO!  	 c_time0列源备映射错误，源端为time None位	期望更改为text	实际备端为time None位</t>
        </is>
      </c>
      <c r="EH1154" s="0" t="inlineStr">
        <is>
          <t>65行 8列，源：None 备：</t>
        </is>
      </c>
      <c r="ES1154" s="0" t="inlineStr">
        <is>
          <t>65行 14列，源：None 备：</t>
        </is>
      </c>
    </row>
    <row r="1155">
      <c r="B1155" s="0" t="inlineStr">
        <is>
          <t>NULL</t>
        </is>
      </c>
      <c r="C1155" s="0" t="inlineStr">
        <is>
          <t>NULL</t>
        </is>
      </c>
      <c r="D1155" s="0" t="inlineStr">
        <is>
          <t>NULL</t>
        </is>
      </c>
      <c r="E1155" s="0" t="inlineStr">
        <is>
          <t>NULL</t>
        </is>
      </c>
      <c r="F1155" s="0" t="inlineStr">
        <is>
          <t>NULL</t>
        </is>
      </c>
      <c r="G1155" s="0" t="inlineStr">
        <is>
          <t>NULL</t>
        </is>
      </c>
      <c r="H1155" s="0" t="inlineStr">
        <is>
          <t>NULL</t>
        </is>
      </c>
      <c r="I1155" s="0" t="inlineStr">
        <is>
          <t>NULL</t>
        </is>
      </c>
      <c r="J1155" s="0" t="inlineStr">
        <is>
          <t>NULL</t>
        </is>
      </c>
      <c r="K1155" s="0" t="inlineStr">
        <is>
          <t xml:space="preserve"> NO!  	 c_time1列源备映射错误，源端为time None位	期望更改为text	实际备端为time None位</t>
        </is>
      </c>
      <c r="EH1155" s="0" t="inlineStr">
        <is>
          <t>65行 9列，源：None 备：</t>
        </is>
      </c>
      <c r="ES1155" s="0" t="inlineStr">
        <is>
          <t>65行 15列，源：nan 备：</t>
        </is>
      </c>
    </row>
    <row r="1156">
      <c r="B1156" s="0" t="inlineStr">
        <is>
          <t>NULL</t>
        </is>
      </c>
      <c r="C1156" s="0" t="inlineStr">
        <is>
          <t>NULL</t>
        </is>
      </c>
      <c r="D1156" s="0" t="inlineStr">
        <is>
          <t>NULL</t>
        </is>
      </c>
      <c r="E1156" s="0" t="inlineStr">
        <is>
          <t>NULL</t>
        </is>
      </c>
      <c r="F1156" s="0" t="inlineStr">
        <is>
          <t>NULL</t>
        </is>
      </c>
      <c r="G1156" s="0" t="inlineStr">
        <is>
          <t>NULL</t>
        </is>
      </c>
      <c r="H1156" s="0" t="inlineStr">
        <is>
          <t>NULL</t>
        </is>
      </c>
      <c r="I1156" s="0" t="inlineStr">
        <is>
          <t>NULL</t>
        </is>
      </c>
      <c r="J1156" s="0" t="inlineStr">
        <is>
          <t>NULL</t>
        </is>
      </c>
      <c r="K1156" s="0" t="inlineStr">
        <is>
          <t xml:space="preserve"> NO!  	 c_time2列源备映射错误，源端为time None位	期望更改为text	实际备端为time None位</t>
        </is>
      </c>
      <c r="EH1156" s="0" t="inlineStr">
        <is>
          <t>65行 10列，源：None 备：</t>
        </is>
      </c>
      <c r="ES1156" s="0" t="inlineStr">
        <is>
          <t>65行 16列，源：nan 备：</t>
        </is>
      </c>
    </row>
    <row r="1157">
      <c r="B1157" s="0" t="inlineStr">
        <is>
          <t>NULL</t>
        </is>
      </c>
      <c r="C1157" s="0" t="inlineStr">
        <is>
          <t>NULL</t>
        </is>
      </c>
      <c r="D1157" s="0" t="inlineStr">
        <is>
          <t>NULL</t>
        </is>
      </c>
      <c r="E1157" s="0" t="inlineStr">
        <is>
          <t>NULL</t>
        </is>
      </c>
      <c r="F1157" s="0" t="inlineStr">
        <is>
          <t>NULL</t>
        </is>
      </c>
      <c r="G1157" s="0" t="inlineStr">
        <is>
          <t>NULL</t>
        </is>
      </c>
      <c r="H1157" s="0" t="inlineStr">
        <is>
          <t>NULL</t>
        </is>
      </c>
      <c r="I1157" s="0" t="inlineStr">
        <is>
          <t>NULL</t>
        </is>
      </c>
      <c r="J1157" s="0" t="inlineStr">
        <is>
          <t>NULL</t>
        </is>
      </c>
      <c r="K1157" s="0" t="inlineStr">
        <is>
          <t xml:space="preserve"> NO!  	 c_time3列源备映射错误，源端为time None位	期望更改为text	实际备端为time None位</t>
        </is>
      </c>
      <c r="EH1157" s="0" t="inlineStr">
        <is>
          <t>65行 11列，源：None 备：</t>
        </is>
      </c>
      <c r="ES1157" s="0" t="inlineStr">
        <is>
          <t>65行 17列，源：None 备：</t>
        </is>
      </c>
    </row>
    <row r="1158">
      <c r="B1158" s="0" t="inlineStr">
        <is>
          <t>NULL</t>
        </is>
      </c>
      <c r="C1158" s="0" t="inlineStr">
        <is>
          <t>NULL</t>
        </is>
      </c>
      <c r="D1158" s="0" t="inlineStr">
        <is>
          <t>NULL</t>
        </is>
      </c>
      <c r="E1158" s="0" t="inlineStr">
        <is>
          <t>NULL</t>
        </is>
      </c>
      <c r="F1158" s="0" t="inlineStr">
        <is>
          <t>NULL</t>
        </is>
      </c>
      <c r="G1158" s="0" t="inlineStr">
        <is>
          <t>NULL</t>
        </is>
      </c>
      <c r="H1158" s="0" t="inlineStr">
        <is>
          <t>NULL</t>
        </is>
      </c>
      <c r="I1158" s="0" t="inlineStr">
        <is>
          <t>NULL</t>
        </is>
      </c>
      <c r="J1158" s="0" t="inlineStr">
        <is>
          <t>NULL</t>
        </is>
      </c>
      <c r="K1158" s="0" t="inlineStr">
        <is>
          <t xml:space="preserve"> NO!  	 c_time4列源备映射错误，源端为time None位	期望更改为text	实际备端为time None位</t>
        </is>
      </c>
      <c r="EH1158" s="0" t="inlineStr">
        <is>
          <t>65行 12列，源：None 备：</t>
        </is>
      </c>
      <c r="ES1158" s="0" t="inlineStr">
        <is>
          <t>65行 18列，源：None 备：</t>
        </is>
      </c>
    </row>
    <row r="1159">
      <c r="B1159" s="0" t="inlineStr">
        <is>
          <t>NULL</t>
        </is>
      </c>
      <c r="C1159" s="0" t="inlineStr">
        <is>
          <t>NULL</t>
        </is>
      </c>
      <c r="D1159" s="0" t="inlineStr">
        <is>
          <t>NULL</t>
        </is>
      </c>
      <c r="E1159" s="0" t="inlineStr">
        <is>
          <t>NULL</t>
        </is>
      </c>
      <c r="F1159" s="0" t="inlineStr">
        <is>
          <t>NULL</t>
        </is>
      </c>
      <c r="G1159" s="0" t="inlineStr">
        <is>
          <t>NULL</t>
        </is>
      </c>
      <c r="H1159" s="0" t="inlineStr">
        <is>
          <t>NULL</t>
        </is>
      </c>
      <c r="I1159" s="0" t="inlineStr">
        <is>
          <t>NULL</t>
        </is>
      </c>
      <c r="J1159" s="0" t="inlineStr">
        <is>
          <t>NULL</t>
        </is>
      </c>
      <c r="K1159" s="0" t="inlineStr">
        <is>
          <t xml:space="preserve"> NO!  	 c_time5列源备映射错误，源端为time None位	期望更改为text	实际备端为time None位</t>
        </is>
      </c>
      <c r="EH1159" s="0" t="inlineStr">
        <is>
          <t>65行 13列，源：None 备：</t>
        </is>
      </c>
      <c r="ES1159" s="0" t="inlineStr">
        <is>
          <t>65行 19列，源：None 备：</t>
        </is>
      </c>
    </row>
    <row r="1160">
      <c r="B1160" s="0" t="inlineStr">
        <is>
          <t>NULL</t>
        </is>
      </c>
      <c r="C1160" s="0" t="inlineStr">
        <is>
          <t>NULL</t>
        </is>
      </c>
      <c r="D1160" s="0" t="inlineStr">
        <is>
          <t>NULL</t>
        </is>
      </c>
      <c r="E1160" s="0" t="inlineStr">
        <is>
          <t>NULL</t>
        </is>
      </c>
      <c r="F1160" s="0" t="inlineStr">
        <is>
          <t>NULL</t>
        </is>
      </c>
      <c r="G1160" s="0" t="inlineStr">
        <is>
          <t>NULL</t>
        </is>
      </c>
      <c r="H1160" s="0" t="inlineStr">
        <is>
          <t>NULL</t>
        </is>
      </c>
      <c r="I1160" s="0" t="inlineStr">
        <is>
          <t>NULL</t>
        </is>
      </c>
      <c r="J1160" s="0" t="inlineStr">
        <is>
          <t>NULL</t>
        </is>
      </c>
      <c r="K1160" s="0" t="inlineStr">
        <is>
          <t xml:space="preserve"> NO!  	 c_time6列源备映射错误，源端为time None位	期望更改为text	实际备端为time None位</t>
        </is>
      </c>
      <c r="EH1160" s="0" t="inlineStr">
        <is>
          <t>65行 14列，源：None 备：</t>
        </is>
      </c>
      <c r="ES1160" s="0" t="inlineStr">
        <is>
          <t>66行 0列，源：207 备：54</t>
        </is>
      </c>
    </row>
    <row r="1161">
      <c r="B1161" s="0" t="inlineStr">
        <is>
          <t>NULL</t>
        </is>
      </c>
      <c r="C1161" s="0" t="inlineStr">
        <is>
          <t>NULL</t>
        </is>
      </c>
      <c r="D1161" s="0" t="inlineStr">
        <is>
          <t>NULL</t>
        </is>
      </c>
      <c r="E1161" s="0" t="inlineStr">
        <is>
          <t>NULL</t>
        </is>
      </c>
      <c r="F1161" s="0" t="inlineStr">
        <is>
          <t>NULL</t>
        </is>
      </c>
      <c r="G1161" s="0" t="inlineStr">
        <is>
          <t>NULL</t>
        </is>
      </c>
      <c r="H1161" s="0" t="inlineStr">
        <is>
          <t>NULL</t>
        </is>
      </c>
      <c r="I1161" s="0" t="inlineStr">
        <is>
          <t>NULL</t>
        </is>
      </c>
      <c r="J1161" s="0" t="inlineStr">
        <is>
          <t>NULL</t>
        </is>
      </c>
      <c r="K1161" s="0" t="inlineStr">
        <is>
          <t xml:space="preserve"> NO!  	 c_time列源备映射错误，源端为time None位	期望更改为text	实际备端为time None位</t>
        </is>
      </c>
      <c r="EH1161" s="0" t="inlineStr">
        <is>
          <t>65行 15列，源：nan 备：</t>
        </is>
      </c>
      <c r="ES1161" s="0" t="inlineStr">
        <is>
          <t>66行 1列，源：nan 备：123</t>
        </is>
      </c>
    </row>
    <row r="1162">
      <c r="A1162" s="0" t="inlineStr">
        <is>
          <t>info_varbinary_dml_batch2_pk_irp1</t>
        </is>
      </c>
      <c r="K1162" s="0" t="inlineStr">
        <is>
          <t>[0;34m info_varbinary_dml_batch2_pk_irp1 [0m源备字段数相同，源端字段：4 	备端字段4</t>
        </is>
      </c>
      <c r="W1162" s="2">
        <f>HYPERLINK("#2026041905hbase4!ED2","NO 源备存在差异，共39个")</f>
        <v/>
      </c>
      <c r="X1162" s="0">
        <f>A1162</f>
        <v/>
      </c>
      <c r="EH1162" s="0" t="inlineStr">
        <is>
          <t>65行 16列，源：nan 备：</t>
        </is>
      </c>
      <c r="ES1162" s="0" t="inlineStr">
        <is>
          <t>66行 2列，源：nan 备：12345</t>
        </is>
      </c>
    </row>
    <row r="1163">
      <c r="B1163" s="0" t="inlineStr">
        <is>
          <t>YES</t>
        </is>
      </c>
      <c r="C1163" s="0" t="inlineStr">
        <is>
          <t>NULL</t>
        </is>
      </c>
      <c r="D1163" s="0" t="inlineStr">
        <is>
          <t>NULL</t>
        </is>
      </c>
      <c r="E1163" s="0" t="inlineStr">
        <is>
          <t>NULL</t>
        </is>
      </c>
      <c r="F1163" s="0" t="inlineStr">
        <is>
          <t>NULL</t>
        </is>
      </c>
      <c r="G1163" s="0" t="inlineStr">
        <is>
          <t>NULL</t>
        </is>
      </c>
      <c r="H1163" s="0" t="inlineStr">
        <is>
          <t>NULL</t>
        </is>
      </c>
      <c r="I1163" s="0" t="inlineStr">
        <is>
          <t>YES!PK__info_var__3213E83FAC1CD13D</t>
        </is>
      </c>
      <c r="J1163" s="0" t="inlineStr">
        <is>
          <t>YES! 主键相关索引</t>
        </is>
      </c>
      <c r="K1163" s="0" t="inlineStr">
        <is>
          <t xml:space="preserve"> NO!  	 id列源备映射错误，源端为int None位	期望更改为text	实际备端为int None位</t>
        </is>
      </c>
      <c r="EH1163" s="0" t="inlineStr">
        <is>
          <t>65行 17列，源：None 备：</t>
        </is>
      </c>
      <c r="ES1163" s="0" t="inlineStr">
        <is>
          <t>66行 3列，源：nan 备：1234567890</t>
        </is>
      </c>
    </row>
    <row r="1164">
      <c r="B1164" s="0" t="inlineStr">
        <is>
          <t>NULL</t>
        </is>
      </c>
      <c r="C1164" s="0" t="inlineStr">
        <is>
          <t>NULL</t>
        </is>
      </c>
      <c r="D1164" s="0" t="inlineStr">
        <is>
          <t>NULL</t>
        </is>
      </c>
      <c r="E1164" s="0" t="inlineStr">
        <is>
          <t>NULL</t>
        </is>
      </c>
      <c r="F1164" s="0" t="inlineStr">
        <is>
          <t>NULL</t>
        </is>
      </c>
      <c r="G1164" s="0" t="inlineStr">
        <is>
          <t>NULL</t>
        </is>
      </c>
      <c r="H1164" s="0" t="inlineStr">
        <is>
          <t>NULL</t>
        </is>
      </c>
      <c r="I1164" s="0" t="inlineStr">
        <is>
          <t>NULL</t>
        </is>
      </c>
      <c r="J1164" s="0" t="inlineStr">
        <is>
          <t>NULL</t>
        </is>
      </c>
      <c r="K1164" s="0" t="inlineStr">
        <is>
          <t xml:space="preserve"> NO!  	 c_varbinary列源备映射错误，源端为varbinary 1位	期望更改为text	实际备端为varbinary 1位</t>
        </is>
      </c>
      <c r="EH1164" s="0" t="inlineStr">
        <is>
          <t>65行 18列，源：None 备：</t>
        </is>
      </c>
      <c r="ES1164" s="0" t="inlineStr">
        <is>
          <t>66行 4列，源：nan 备：1234567890123456</t>
        </is>
      </c>
    </row>
    <row r="1165">
      <c r="B1165" s="0" t="inlineStr">
        <is>
          <t>NULL</t>
        </is>
      </c>
      <c r="C1165" s="0" t="inlineStr">
        <is>
          <t>NULL</t>
        </is>
      </c>
      <c r="D1165" s="0" t="inlineStr">
        <is>
          <t>NULL</t>
        </is>
      </c>
      <c r="E1165" s="0" t="inlineStr">
        <is>
          <t>NULL</t>
        </is>
      </c>
      <c r="F1165" s="0" t="inlineStr">
        <is>
          <t>NULL</t>
        </is>
      </c>
      <c r="G1165" s="0" t="inlineStr">
        <is>
          <t>NULL</t>
        </is>
      </c>
      <c r="H1165" s="0" t="inlineStr">
        <is>
          <t>NULL</t>
        </is>
      </c>
      <c r="I1165" s="0" t="inlineStr">
        <is>
          <t>NULL</t>
        </is>
      </c>
      <c r="J1165" s="0" t="inlineStr">
        <is>
          <t>NULL</t>
        </is>
      </c>
      <c r="K1165" s="0" t="inlineStr">
        <is>
          <t xml:space="preserve"> NO!  	 c_varbinary_100列源备映射错误，源端为varbinary 100位	期望更改为text	实际备端为varbinary 100位</t>
        </is>
      </c>
      <c r="EH1165" s="0" t="inlineStr">
        <is>
          <t>65行 19列，源：None 备：</t>
        </is>
      </c>
      <c r="ES1165" s="0" t="inlineStr">
        <is>
          <t>66行 5列，源：None 备：</t>
        </is>
      </c>
    </row>
    <row r="1166">
      <c r="B1166" s="0" t="inlineStr">
        <is>
          <t>NULL</t>
        </is>
      </c>
      <c r="C1166" s="0" t="inlineStr">
        <is>
          <t>NULL</t>
        </is>
      </c>
      <c r="D1166" s="0" t="inlineStr">
        <is>
          <t>NULL</t>
        </is>
      </c>
      <c r="E1166" s="0" t="inlineStr">
        <is>
          <t>NULL</t>
        </is>
      </c>
      <c r="F1166" s="0" t="inlineStr">
        <is>
          <t>NULL</t>
        </is>
      </c>
      <c r="G1166" s="0" t="inlineStr">
        <is>
          <t>NULL</t>
        </is>
      </c>
      <c r="H1166" s="0" t="inlineStr">
        <is>
          <t>NULL</t>
        </is>
      </c>
      <c r="I1166" s="0" t="inlineStr">
        <is>
          <t>NULL</t>
        </is>
      </c>
      <c r="J1166" s="0" t="inlineStr">
        <is>
          <t>NULL</t>
        </is>
      </c>
      <c r="K1166" s="0" t="inlineStr">
        <is>
          <t xml:space="preserve"> NO!  	 c_varbinary_200列源备映射错误，源端为varbinary 200位	期望更改为text	实际备端为varbinary 200位</t>
        </is>
      </c>
      <c r="EH1166" s="0" t="inlineStr">
        <is>
          <t>66行 0列，源：157 备：214</t>
        </is>
      </c>
      <c r="ES1166" s="0" t="inlineStr">
        <is>
          <t>66行 6列，源：None 备：</t>
        </is>
      </c>
    </row>
    <row r="1167">
      <c r="A1167" s="0" t="inlineStr">
        <is>
          <t>info_time_dml_batch1_pk_urp1</t>
        </is>
      </c>
      <c r="K1167" s="0" t="inlineStr">
        <is>
          <t>[0;34m info_time_dml_batch1_pk_urp1 [0m源备字段数相同，源端字段：9 	备端字段9</t>
        </is>
      </c>
      <c r="W1167" s="2">
        <f>HYPERLINK("#2026041905hbase4!EE2","NO 源备存在差异，共15个")</f>
        <v/>
      </c>
      <c r="X1167" s="0">
        <f>A1167</f>
        <v/>
      </c>
      <c r="EH1167" s="0" t="inlineStr">
        <is>
          <t>66行 1列，源：nan 备：</t>
        </is>
      </c>
      <c r="ES1167" s="0" t="inlineStr">
        <is>
          <t>66行 7列，源：None 备：</t>
        </is>
      </c>
    </row>
    <row r="1168">
      <c r="B1168" s="0" t="inlineStr">
        <is>
          <t>YES</t>
        </is>
      </c>
      <c r="C1168" s="0" t="inlineStr">
        <is>
          <t>NULL</t>
        </is>
      </c>
      <c r="D1168" s="0" t="inlineStr">
        <is>
          <t>NULL</t>
        </is>
      </c>
      <c r="E1168" s="0" t="inlineStr">
        <is>
          <t>NULL</t>
        </is>
      </c>
      <c r="F1168" s="0" t="inlineStr">
        <is>
          <t>NULL</t>
        </is>
      </c>
      <c r="G1168" s="0" t="inlineStr">
        <is>
          <t>NULL</t>
        </is>
      </c>
      <c r="H1168" s="0" t="inlineStr">
        <is>
          <t>NULL</t>
        </is>
      </c>
      <c r="I1168" s="0" t="inlineStr">
        <is>
          <t>YES!PK__info_tim__3213E83FFDCF86F6</t>
        </is>
      </c>
      <c r="J1168" s="0" t="inlineStr">
        <is>
          <t>YES! 主键相关索引</t>
        </is>
      </c>
      <c r="K1168" s="0" t="inlineStr">
        <is>
          <t xml:space="preserve"> NO!  	 id列源备映射错误，源端为int None位	期望更改为text	实际备端为int None位</t>
        </is>
      </c>
      <c r="EH1168" s="0" t="inlineStr">
        <is>
          <t>66行 2列，源：nan 备：</t>
        </is>
      </c>
      <c r="ES1168" s="0" t="inlineStr">
        <is>
          <t>66行 8列，源：None 备：</t>
        </is>
      </c>
    </row>
    <row r="1169">
      <c r="B1169" s="0" t="inlineStr">
        <is>
          <t>NULL</t>
        </is>
      </c>
      <c r="C1169" s="0" t="inlineStr">
        <is>
          <t>NULL</t>
        </is>
      </c>
      <c r="D1169" s="0" t="inlineStr">
        <is>
          <t>NULL</t>
        </is>
      </c>
      <c r="E1169" s="0" t="inlineStr">
        <is>
          <t>NULL</t>
        </is>
      </c>
      <c r="F1169" s="0" t="inlineStr">
        <is>
          <t>NULL</t>
        </is>
      </c>
      <c r="G1169" s="0" t="inlineStr">
        <is>
          <t>NULL</t>
        </is>
      </c>
      <c r="H1169" s="0" t="inlineStr">
        <is>
          <t>NULL</t>
        </is>
      </c>
      <c r="I1169" s="0" t="inlineStr">
        <is>
          <t>NULL</t>
        </is>
      </c>
      <c r="J1169" s="0" t="inlineStr">
        <is>
          <t>NULL</t>
        </is>
      </c>
      <c r="K1169" s="0" t="inlineStr">
        <is>
          <t xml:space="preserve"> NO!  	 c_time0列源备映射错误，源端为time None位	期望更改为text	实际备端为time None位</t>
        </is>
      </c>
      <c r="EH1169" s="0" t="inlineStr">
        <is>
          <t>66行 3列，源：nan 备：</t>
        </is>
      </c>
      <c r="ES1169" s="0" t="inlineStr">
        <is>
          <t>66行 9列，源：None 备：</t>
        </is>
      </c>
    </row>
    <row r="1170">
      <c r="B1170" s="0" t="inlineStr">
        <is>
          <t>NULL</t>
        </is>
      </c>
      <c r="C1170" s="0" t="inlineStr">
        <is>
          <t>NULL</t>
        </is>
      </c>
      <c r="D1170" s="0" t="inlineStr">
        <is>
          <t>NULL</t>
        </is>
      </c>
      <c r="E1170" s="0" t="inlineStr">
        <is>
          <t>NULL</t>
        </is>
      </c>
      <c r="F1170" s="0" t="inlineStr">
        <is>
          <t>NULL</t>
        </is>
      </c>
      <c r="G1170" s="0" t="inlineStr">
        <is>
          <t>NULL</t>
        </is>
      </c>
      <c r="H1170" s="0" t="inlineStr">
        <is>
          <t>NULL</t>
        </is>
      </c>
      <c r="I1170" s="0" t="inlineStr">
        <is>
          <t>NULL</t>
        </is>
      </c>
      <c r="J1170" s="0" t="inlineStr">
        <is>
          <t>NULL</t>
        </is>
      </c>
      <c r="K1170" s="0" t="inlineStr">
        <is>
          <t xml:space="preserve"> NO!  	 c_time1列源备映射错误，源端为time None位	期望更改为text	实际备端为time None位</t>
        </is>
      </c>
      <c r="EH1170" s="0" t="inlineStr">
        <is>
          <t>66行 4列，源：nan 备：</t>
        </is>
      </c>
      <c r="ES1170" s="0" t="inlineStr">
        <is>
          <t>66行 10列，源：None 备：</t>
        </is>
      </c>
    </row>
    <row r="1171">
      <c r="B1171" s="0" t="inlineStr">
        <is>
          <t>NULL</t>
        </is>
      </c>
      <c r="C1171" s="0" t="inlineStr">
        <is>
          <t>NULL</t>
        </is>
      </c>
      <c r="D1171" s="0" t="inlineStr">
        <is>
          <t>NULL</t>
        </is>
      </c>
      <c r="E1171" s="0" t="inlineStr">
        <is>
          <t>NULL</t>
        </is>
      </c>
      <c r="F1171" s="0" t="inlineStr">
        <is>
          <t>NULL</t>
        </is>
      </c>
      <c r="G1171" s="0" t="inlineStr">
        <is>
          <t>NULL</t>
        </is>
      </c>
      <c r="H1171" s="0" t="inlineStr">
        <is>
          <t>NULL</t>
        </is>
      </c>
      <c r="I1171" s="0" t="inlineStr">
        <is>
          <t>NULL</t>
        </is>
      </c>
      <c r="J1171" s="0" t="inlineStr">
        <is>
          <t>NULL</t>
        </is>
      </c>
      <c r="K1171" s="0" t="inlineStr">
        <is>
          <t xml:space="preserve"> NO!  	 c_time2列源备映射错误，源端为time None位	期望更改为text	实际备端为time None位</t>
        </is>
      </c>
      <c r="EH1171" s="0" t="inlineStr">
        <is>
          <t>66行 5列，源：None 备：</t>
        </is>
      </c>
      <c r="ES1171" s="0" t="inlineStr">
        <is>
          <t>66行 11列，源：None 备：</t>
        </is>
      </c>
    </row>
    <row r="1172">
      <c r="B1172" s="0" t="inlineStr">
        <is>
          <t>NULL</t>
        </is>
      </c>
      <c r="C1172" s="0" t="inlineStr">
        <is>
          <t>NULL</t>
        </is>
      </c>
      <c r="D1172" s="0" t="inlineStr">
        <is>
          <t>NULL</t>
        </is>
      </c>
      <c r="E1172" s="0" t="inlineStr">
        <is>
          <t>NULL</t>
        </is>
      </c>
      <c r="F1172" s="0" t="inlineStr">
        <is>
          <t>NULL</t>
        </is>
      </c>
      <c r="G1172" s="0" t="inlineStr">
        <is>
          <t>NULL</t>
        </is>
      </c>
      <c r="H1172" s="0" t="inlineStr">
        <is>
          <t>NULL</t>
        </is>
      </c>
      <c r="I1172" s="0" t="inlineStr">
        <is>
          <t>NULL</t>
        </is>
      </c>
      <c r="J1172" s="0" t="inlineStr">
        <is>
          <t>NULL</t>
        </is>
      </c>
      <c r="K1172" s="0" t="inlineStr">
        <is>
          <t xml:space="preserve"> NO!  	 c_time3列源备映射错误，源端为time None位	期望更改为text	实际备端为time None位</t>
        </is>
      </c>
      <c r="EH1172" s="0" t="inlineStr">
        <is>
          <t>66行 6列，源：None 备：</t>
        </is>
      </c>
      <c r="ES1172" s="0" t="inlineStr">
        <is>
          <t>66行 12列，源：None 备：</t>
        </is>
      </c>
    </row>
    <row r="1173">
      <c r="B1173" s="0" t="inlineStr">
        <is>
          <t>NULL</t>
        </is>
      </c>
      <c r="C1173" s="0" t="inlineStr">
        <is>
          <t>NULL</t>
        </is>
      </c>
      <c r="D1173" s="0" t="inlineStr">
        <is>
          <t>NULL</t>
        </is>
      </c>
      <c r="E1173" s="0" t="inlineStr">
        <is>
          <t>NULL</t>
        </is>
      </c>
      <c r="F1173" s="0" t="inlineStr">
        <is>
          <t>NULL</t>
        </is>
      </c>
      <c r="G1173" s="0" t="inlineStr">
        <is>
          <t>NULL</t>
        </is>
      </c>
      <c r="H1173" s="0" t="inlineStr">
        <is>
          <t>NULL</t>
        </is>
      </c>
      <c r="I1173" s="0" t="inlineStr">
        <is>
          <t>NULL</t>
        </is>
      </c>
      <c r="J1173" s="0" t="inlineStr">
        <is>
          <t>NULL</t>
        </is>
      </c>
      <c r="K1173" s="0" t="inlineStr">
        <is>
          <t xml:space="preserve"> NO!  	 c_time4列源备映射错误，源端为time None位	期望更改为text	实际备端为time None位</t>
        </is>
      </c>
      <c r="EH1173" s="0" t="inlineStr">
        <is>
          <t>66行 7列，源：None 备：</t>
        </is>
      </c>
      <c r="ES1173" s="0" t="inlineStr">
        <is>
          <t>66行 13列，源：None 备：</t>
        </is>
      </c>
    </row>
    <row r="1174">
      <c r="B1174" s="0" t="inlineStr">
        <is>
          <t>NULL</t>
        </is>
      </c>
      <c r="C1174" s="0" t="inlineStr">
        <is>
          <t>NULL</t>
        </is>
      </c>
      <c r="D1174" s="0" t="inlineStr">
        <is>
          <t>NULL</t>
        </is>
      </c>
      <c r="E1174" s="0" t="inlineStr">
        <is>
          <t>NULL</t>
        </is>
      </c>
      <c r="F1174" s="0" t="inlineStr">
        <is>
          <t>NULL</t>
        </is>
      </c>
      <c r="G1174" s="0" t="inlineStr">
        <is>
          <t>NULL</t>
        </is>
      </c>
      <c r="H1174" s="0" t="inlineStr">
        <is>
          <t>NULL</t>
        </is>
      </c>
      <c r="I1174" s="0" t="inlineStr">
        <is>
          <t>NULL</t>
        </is>
      </c>
      <c r="J1174" s="0" t="inlineStr">
        <is>
          <t>NULL</t>
        </is>
      </c>
      <c r="K1174" s="0" t="inlineStr">
        <is>
          <t xml:space="preserve"> NO!  	 c_time5列源备映射错误，源端为time None位	期望更改为text	实际备端为time None位</t>
        </is>
      </c>
      <c r="EH1174" s="0" t="inlineStr">
        <is>
          <t>66行 8列，源：None 备：</t>
        </is>
      </c>
      <c r="ES1174" s="0" t="inlineStr">
        <is>
          <t>66行 14列，源：None 备：</t>
        </is>
      </c>
    </row>
    <row r="1175">
      <c r="B1175" s="0" t="inlineStr">
        <is>
          <t>NULL</t>
        </is>
      </c>
      <c r="C1175" s="0" t="inlineStr">
        <is>
          <t>NULL</t>
        </is>
      </c>
      <c r="D1175" s="0" t="inlineStr">
        <is>
          <t>NULL</t>
        </is>
      </c>
      <c r="E1175" s="0" t="inlineStr">
        <is>
          <t>NULL</t>
        </is>
      </c>
      <c r="F1175" s="0" t="inlineStr">
        <is>
          <t>NULL</t>
        </is>
      </c>
      <c r="G1175" s="0" t="inlineStr">
        <is>
          <t>NULL</t>
        </is>
      </c>
      <c r="H1175" s="0" t="inlineStr">
        <is>
          <t>NULL</t>
        </is>
      </c>
      <c r="I1175" s="0" t="inlineStr">
        <is>
          <t>NULL</t>
        </is>
      </c>
      <c r="J1175" s="0" t="inlineStr">
        <is>
          <t>NULL</t>
        </is>
      </c>
      <c r="K1175" s="0" t="inlineStr">
        <is>
          <t xml:space="preserve"> NO!  	 c_time6列源备映射错误，源端为time None位	期望更改为text	实际备端为time None位</t>
        </is>
      </c>
      <c r="EH1175" s="0" t="inlineStr">
        <is>
          <t>66行 9列，源：None 备：</t>
        </is>
      </c>
      <c r="ES1175" s="0" t="inlineStr">
        <is>
          <t>66行 15列，源：nan 备：</t>
        </is>
      </c>
    </row>
    <row r="1176">
      <c r="B1176" s="0" t="inlineStr">
        <is>
          <t>NULL</t>
        </is>
      </c>
      <c r="C1176" s="0" t="inlineStr">
        <is>
          <t>NULL</t>
        </is>
      </c>
      <c r="D1176" s="0" t="inlineStr">
        <is>
          <t>NULL</t>
        </is>
      </c>
      <c r="E1176" s="0" t="inlineStr">
        <is>
          <t>NULL</t>
        </is>
      </c>
      <c r="F1176" s="0" t="inlineStr">
        <is>
          <t>NULL</t>
        </is>
      </c>
      <c r="G1176" s="0" t="inlineStr">
        <is>
          <t>NULL</t>
        </is>
      </c>
      <c r="H1176" s="0" t="inlineStr">
        <is>
          <t>NULL</t>
        </is>
      </c>
      <c r="I1176" s="0" t="inlineStr">
        <is>
          <t>NULL</t>
        </is>
      </c>
      <c r="J1176" s="0" t="inlineStr">
        <is>
          <t>NULL</t>
        </is>
      </c>
      <c r="K1176" s="0" t="inlineStr">
        <is>
          <t xml:space="preserve"> NO!  	 c_time列源备映射错误，源端为time None位	期望更改为text	实际备端为time None位</t>
        </is>
      </c>
      <c r="EH1176" s="0" t="inlineStr">
        <is>
          <t>66行 10列，源：None 备：</t>
        </is>
      </c>
      <c r="ES1176" s="0" t="inlineStr">
        <is>
          <t>66行 16列，源：nan 备：</t>
        </is>
      </c>
    </row>
    <row r="1177">
      <c r="A1177" s="0" t="inlineStr">
        <is>
          <t>info_sql_variant_dml_single_pk</t>
        </is>
      </c>
      <c r="K1177" s="0" t="inlineStr">
        <is>
          <t>[0;34m info_sql_variant_dml_single_pk [0m源备字段数相同，源端字段：25 	备端字段25</t>
        </is>
      </c>
      <c r="W1177" s="2">
        <f>HYPERLINK("#2026041905hbase4!EF2","NO 源备存在差异，共3个")</f>
        <v/>
      </c>
      <c r="X1177" s="0">
        <f>A1177</f>
        <v/>
      </c>
      <c r="EH1177" s="0" t="inlineStr">
        <is>
          <t>66行 11列，源：None 备：</t>
        </is>
      </c>
      <c r="ES1177" s="0" t="inlineStr">
        <is>
          <t>66行 17列，源：None 备：</t>
        </is>
      </c>
    </row>
    <row r="1178">
      <c r="B1178" s="0" t="inlineStr">
        <is>
          <t>YES</t>
        </is>
      </c>
      <c r="C1178" s="0" t="inlineStr">
        <is>
          <t>NULL</t>
        </is>
      </c>
      <c r="D1178" s="0" t="inlineStr">
        <is>
          <t>NULL</t>
        </is>
      </c>
      <c r="E1178" s="0" t="inlineStr">
        <is>
          <t>NULL</t>
        </is>
      </c>
      <c r="F1178" s="0" t="inlineStr">
        <is>
          <t>NULL</t>
        </is>
      </c>
      <c r="G1178" s="0" t="inlineStr">
        <is>
          <t>NULL</t>
        </is>
      </c>
      <c r="H1178" s="0" t="inlineStr">
        <is>
          <t>NULL</t>
        </is>
      </c>
      <c r="I1178" s="0" t="inlineStr">
        <is>
          <t>YES!PK__info_sql__3213E83FD874E961</t>
        </is>
      </c>
      <c r="J1178" s="0" t="inlineStr">
        <is>
          <t>YES! 主键相关索引</t>
        </is>
      </c>
      <c r="K1178" s="0" t="inlineStr">
        <is>
          <t xml:space="preserve"> NO!  	 id列源备映射错误，源端为int None位	期望更改为text	实际备端为int None位</t>
        </is>
      </c>
      <c r="EH1178" s="0" t="inlineStr">
        <is>
          <t>66行 12列，源：None 备：</t>
        </is>
      </c>
      <c r="ES1178" s="0" t="inlineStr">
        <is>
          <t>66行 18列，源：None 备：</t>
        </is>
      </c>
    </row>
    <row r="1179">
      <c r="B1179" s="0" t="inlineStr">
        <is>
          <t>NULL</t>
        </is>
      </c>
      <c r="C1179" s="0" t="inlineStr">
        <is>
          <t>NULL</t>
        </is>
      </c>
      <c r="D1179" s="0" t="inlineStr">
        <is>
          <t>NULL</t>
        </is>
      </c>
      <c r="E1179" s="0" t="inlineStr">
        <is>
          <t>NULL</t>
        </is>
      </c>
      <c r="F1179" s="0" t="inlineStr">
        <is>
          <t>NULL</t>
        </is>
      </c>
      <c r="G1179" s="0" t="inlineStr">
        <is>
          <t>NULL</t>
        </is>
      </c>
      <c r="H1179" s="0" t="inlineStr">
        <is>
          <t>NULL</t>
        </is>
      </c>
      <c r="I1179" s="0" t="inlineStr">
        <is>
          <t>NULL</t>
        </is>
      </c>
      <c r="J1179" s="0" t="inlineStr">
        <is>
          <t>NULL</t>
        </is>
      </c>
      <c r="K1179" s="0" t="inlineStr">
        <is>
          <t xml:space="preserve"> NO!  	 c_date列源备映射错误，源端为sql_variant 0位	期望更改为text	实际备端为sql_variant 0位</t>
        </is>
      </c>
      <c r="EH1179" s="0" t="inlineStr">
        <is>
          <t>66行 13列，源：None 备：</t>
        </is>
      </c>
      <c r="ES1179" s="0" t="inlineStr">
        <is>
          <t>66行 19列，源：None 备：</t>
        </is>
      </c>
    </row>
    <row r="1180">
      <c r="B1180" s="0" t="inlineStr">
        <is>
          <t>NULL</t>
        </is>
      </c>
      <c r="C1180" s="0" t="inlineStr">
        <is>
          <t>NULL</t>
        </is>
      </c>
      <c r="D1180" s="0" t="inlineStr">
        <is>
          <t>NULL</t>
        </is>
      </c>
      <c r="E1180" s="0" t="inlineStr">
        <is>
          <t>NULL</t>
        </is>
      </c>
      <c r="F1180" s="0" t="inlineStr">
        <is>
          <t>NULL</t>
        </is>
      </c>
      <c r="G1180" s="0" t="inlineStr">
        <is>
          <t>NULL</t>
        </is>
      </c>
      <c r="H1180" s="0" t="inlineStr">
        <is>
          <t>NULL</t>
        </is>
      </c>
      <c r="I1180" s="0" t="inlineStr">
        <is>
          <t>NULL</t>
        </is>
      </c>
      <c r="J1180" s="0" t="inlineStr">
        <is>
          <t>NULL</t>
        </is>
      </c>
      <c r="K1180" s="0" t="inlineStr">
        <is>
          <t xml:space="preserve"> NO!  	 c_time列源备映射错误，源端为sql_variant 0位	期望更改为text	实际备端为sql_variant 0位</t>
        </is>
      </c>
      <c r="EH1180" s="0" t="inlineStr">
        <is>
          <t>66行 14列，源：None 备：</t>
        </is>
      </c>
      <c r="ES1180" s="0" t="inlineStr">
        <is>
          <t>67行 0列，源：208 备：55</t>
        </is>
      </c>
    </row>
    <row r="1181">
      <c r="B1181" s="0" t="inlineStr">
        <is>
          <t>NULL</t>
        </is>
      </c>
      <c r="C1181" s="0" t="inlineStr">
        <is>
          <t>NULL</t>
        </is>
      </c>
      <c r="D1181" s="0" t="inlineStr">
        <is>
          <t>NULL</t>
        </is>
      </c>
      <c r="E1181" s="0" t="inlineStr">
        <is>
          <t>NULL</t>
        </is>
      </c>
      <c r="F1181" s="0" t="inlineStr">
        <is>
          <t>NULL</t>
        </is>
      </c>
      <c r="G1181" s="0" t="inlineStr">
        <is>
          <t>NULL</t>
        </is>
      </c>
      <c r="H1181" s="0" t="inlineStr">
        <is>
          <t>NULL</t>
        </is>
      </c>
      <c r="I1181" s="0" t="inlineStr">
        <is>
          <t>NULL</t>
        </is>
      </c>
      <c r="J1181" s="0" t="inlineStr">
        <is>
          <t>NULL</t>
        </is>
      </c>
      <c r="K1181" s="0" t="inlineStr">
        <is>
          <t xml:space="preserve"> NO!  	 c_datetime2列源备映射错误，源端为sql_variant 0位	期望更改为text	实际备端为sql_variant 0位</t>
        </is>
      </c>
      <c r="EH1181" s="0" t="inlineStr">
        <is>
          <t>66行 15列，源：nan 备：</t>
        </is>
      </c>
      <c r="ES1181" s="0" t="inlineStr">
        <is>
          <t>67行 1列，源：nan 备：0</t>
        </is>
      </c>
    </row>
    <row r="1182">
      <c r="B1182" s="0" t="inlineStr">
        <is>
          <t>NULL</t>
        </is>
      </c>
      <c r="C1182" s="0" t="inlineStr">
        <is>
          <t>NULL</t>
        </is>
      </c>
      <c r="D1182" s="0" t="inlineStr">
        <is>
          <t>NULL</t>
        </is>
      </c>
      <c r="E1182" s="0" t="inlineStr">
        <is>
          <t>NULL</t>
        </is>
      </c>
      <c r="F1182" s="0" t="inlineStr">
        <is>
          <t>NULL</t>
        </is>
      </c>
      <c r="G1182" s="0" t="inlineStr">
        <is>
          <t>NULL</t>
        </is>
      </c>
      <c r="H1182" s="0" t="inlineStr">
        <is>
          <t>NULL</t>
        </is>
      </c>
      <c r="I1182" s="0" t="inlineStr">
        <is>
          <t>NULL</t>
        </is>
      </c>
      <c r="J1182" s="0" t="inlineStr">
        <is>
          <t>NULL</t>
        </is>
      </c>
      <c r="K1182" s="0" t="inlineStr">
        <is>
          <t xml:space="preserve"> NO!  	 c_datetimeoffset列源备映射错误，源端为sql_variant 0位	期望更改为text	实际备端为sql_variant 0位</t>
        </is>
      </c>
      <c r="EH1182" s="0" t="inlineStr">
        <is>
          <t>66行 16列，源：nan 备：</t>
        </is>
      </c>
      <c r="ES1182" s="0" t="inlineStr">
        <is>
          <t>67行 2列，源：nan 备：0</t>
        </is>
      </c>
    </row>
    <row r="1183">
      <c r="B1183" s="0" t="inlineStr">
        <is>
          <t>NULL</t>
        </is>
      </c>
      <c r="C1183" s="0" t="inlineStr">
        <is>
          <t>NULL</t>
        </is>
      </c>
      <c r="D1183" s="0" t="inlineStr">
        <is>
          <t>NULL</t>
        </is>
      </c>
      <c r="E1183" s="0" t="inlineStr">
        <is>
          <t>NULL</t>
        </is>
      </c>
      <c r="F1183" s="0" t="inlineStr">
        <is>
          <t>NULL</t>
        </is>
      </c>
      <c r="G1183" s="0" t="inlineStr">
        <is>
          <t>NULL</t>
        </is>
      </c>
      <c r="H1183" s="0" t="inlineStr">
        <is>
          <t>NULL</t>
        </is>
      </c>
      <c r="I1183" s="0" t="inlineStr">
        <is>
          <t>NULL</t>
        </is>
      </c>
      <c r="J1183" s="0" t="inlineStr">
        <is>
          <t>NULL</t>
        </is>
      </c>
      <c r="K1183" s="0" t="inlineStr">
        <is>
          <t xml:space="preserve"> NO!  	 c_tinyint列源备映射错误，源端为sql_variant 0位	期望更改为text	实际备端为sql_variant 0位</t>
        </is>
      </c>
      <c r="EH1183" s="0" t="inlineStr">
        <is>
          <t>66行 17列，源：None 备：</t>
        </is>
      </c>
      <c r="ES1183" s="0" t="inlineStr">
        <is>
          <t>67行 3列，源：nan 备：0</t>
        </is>
      </c>
    </row>
    <row r="1184">
      <c r="B1184" s="0" t="inlineStr">
        <is>
          <t>NULL</t>
        </is>
      </c>
      <c r="C1184" s="0" t="inlineStr">
        <is>
          <t>NULL</t>
        </is>
      </c>
      <c r="D1184" s="0" t="inlineStr">
        <is>
          <t>NULL</t>
        </is>
      </c>
      <c r="E1184" s="0" t="inlineStr">
        <is>
          <t>NULL</t>
        </is>
      </c>
      <c r="F1184" s="0" t="inlineStr">
        <is>
          <t>NULL</t>
        </is>
      </c>
      <c r="G1184" s="0" t="inlineStr">
        <is>
          <t>NULL</t>
        </is>
      </c>
      <c r="H1184" s="0" t="inlineStr">
        <is>
          <t>NULL</t>
        </is>
      </c>
      <c r="I1184" s="0" t="inlineStr">
        <is>
          <t>NULL</t>
        </is>
      </c>
      <c r="J1184" s="0" t="inlineStr">
        <is>
          <t>NULL</t>
        </is>
      </c>
      <c r="K1184" s="0" t="inlineStr">
        <is>
          <t xml:space="preserve"> NO!  	 c_smallint列源备映射错误，源端为sql_variant 0位	期望更改为text	实际备端为sql_variant 0位</t>
        </is>
      </c>
      <c r="EH1184" s="0" t="inlineStr">
        <is>
          <t>66行 18列，源：None 备：</t>
        </is>
      </c>
      <c r="ES1184" s="0" t="inlineStr">
        <is>
          <t>67行 4列，源：nan 备：0</t>
        </is>
      </c>
    </row>
    <row r="1185">
      <c r="B1185" s="0" t="inlineStr">
        <is>
          <t>NULL</t>
        </is>
      </c>
      <c r="C1185" s="0" t="inlineStr">
        <is>
          <t>NULL</t>
        </is>
      </c>
      <c r="D1185" s="0" t="inlineStr">
        <is>
          <t>NULL</t>
        </is>
      </c>
      <c r="E1185" s="0" t="inlineStr">
        <is>
          <t>NULL</t>
        </is>
      </c>
      <c r="F1185" s="0" t="inlineStr">
        <is>
          <t>NULL</t>
        </is>
      </c>
      <c r="G1185" s="0" t="inlineStr">
        <is>
          <t>NULL</t>
        </is>
      </c>
      <c r="H1185" s="0" t="inlineStr">
        <is>
          <t>NULL</t>
        </is>
      </c>
      <c r="I1185" s="0" t="inlineStr">
        <is>
          <t>NULL</t>
        </is>
      </c>
      <c r="J1185" s="0" t="inlineStr">
        <is>
          <t>NULL</t>
        </is>
      </c>
      <c r="K1185" s="0" t="inlineStr">
        <is>
          <t xml:space="preserve"> NO!  	 c_int列源备映射错误，源端为sql_variant 0位	期望更改为text	实际备端为sql_variant 0位</t>
        </is>
      </c>
      <c r="EH1185" s="0" t="inlineStr">
        <is>
          <t>66行 19列，源：None 备：</t>
        </is>
      </c>
      <c r="ES1185" s="0" t="inlineStr">
        <is>
          <t>67行 5列，源：None 备：</t>
        </is>
      </c>
    </row>
    <row r="1186">
      <c r="B1186" s="0" t="inlineStr">
        <is>
          <t>NULL</t>
        </is>
      </c>
      <c r="C1186" s="0" t="inlineStr">
        <is>
          <t>NULL</t>
        </is>
      </c>
      <c r="D1186" s="0" t="inlineStr">
        <is>
          <t>NULL</t>
        </is>
      </c>
      <c r="E1186" s="0" t="inlineStr">
        <is>
          <t>NULL</t>
        </is>
      </c>
      <c r="F1186" s="0" t="inlineStr">
        <is>
          <t>NULL</t>
        </is>
      </c>
      <c r="G1186" s="0" t="inlineStr">
        <is>
          <t>NULL</t>
        </is>
      </c>
      <c r="H1186" s="0" t="inlineStr">
        <is>
          <t>NULL</t>
        </is>
      </c>
      <c r="I1186" s="0" t="inlineStr">
        <is>
          <t>NULL</t>
        </is>
      </c>
      <c r="J1186" s="0" t="inlineStr">
        <is>
          <t>NULL</t>
        </is>
      </c>
      <c r="K1186" s="0" t="inlineStr">
        <is>
          <t xml:space="preserve"> NO!  	 c_sdt列源备映射错误，源端为sql_variant 0位	期望更改为text	实际备端为sql_variant 0位</t>
        </is>
      </c>
      <c r="EH1186" s="0" t="inlineStr">
        <is>
          <t>67行 0列，源：158 备：215</t>
        </is>
      </c>
      <c r="ES1186" s="0" t="inlineStr">
        <is>
          <t>67行 6列，源：None 备：</t>
        </is>
      </c>
    </row>
    <row r="1187">
      <c r="B1187" s="0" t="inlineStr">
        <is>
          <t>NULL</t>
        </is>
      </c>
      <c r="C1187" s="0" t="inlineStr">
        <is>
          <t>NULL</t>
        </is>
      </c>
      <c r="D1187" s="0" t="inlineStr">
        <is>
          <t>NULL</t>
        </is>
      </c>
      <c r="E1187" s="0" t="inlineStr">
        <is>
          <t>NULL</t>
        </is>
      </c>
      <c r="F1187" s="0" t="inlineStr">
        <is>
          <t>NULL</t>
        </is>
      </c>
      <c r="G1187" s="0" t="inlineStr">
        <is>
          <t>NULL</t>
        </is>
      </c>
      <c r="H1187" s="0" t="inlineStr">
        <is>
          <t>NULL</t>
        </is>
      </c>
      <c r="I1187" s="0" t="inlineStr">
        <is>
          <t>NULL</t>
        </is>
      </c>
      <c r="J1187" s="0" t="inlineStr">
        <is>
          <t>NULL</t>
        </is>
      </c>
      <c r="K1187" s="0" t="inlineStr">
        <is>
          <t xml:space="preserve"> NO!  	 c_real列源备映射错误，源端为sql_variant 0位	期望更改为text	实际备端为sql_variant 0位</t>
        </is>
      </c>
      <c r="EH1187" s="0" t="inlineStr">
        <is>
          <t>67行 1列，源：nan 备：</t>
        </is>
      </c>
      <c r="ES1187" s="0" t="inlineStr">
        <is>
          <t>67行 7列，源：None 备：</t>
        </is>
      </c>
    </row>
    <row r="1188">
      <c r="B1188" s="0" t="inlineStr">
        <is>
          <t>NULL</t>
        </is>
      </c>
      <c r="C1188" s="0" t="inlineStr">
        <is>
          <t>NULL</t>
        </is>
      </c>
      <c r="D1188" s="0" t="inlineStr">
        <is>
          <t>NULL</t>
        </is>
      </c>
      <c r="E1188" s="0" t="inlineStr">
        <is>
          <t>NULL</t>
        </is>
      </c>
      <c r="F1188" s="0" t="inlineStr">
        <is>
          <t>NULL</t>
        </is>
      </c>
      <c r="G1188" s="0" t="inlineStr">
        <is>
          <t>NULL</t>
        </is>
      </c>
      <c r="H1188" s="0" t="inlineStr">
        <is>
          <t>NULL</t>
        </is>
      </c>
      <c r="I1188" s="0" t="inlineStr">
        <is>
          <t>NULL</t>
        </is>
      </c>
      <c r="J1188" s="0" t="inlineStr">
        <is>
          <t>NULL</t>
        </is>
      </c>
      <c r="K1188" s="0" t="inlineStr">
        <is>
          <t xml:space="preserve"> NO!  	 c_money列源备映射错误，源端为sql_variant 0位	期望更改为text	实际备端为sql_variant 0位</t>
        </is>
      </c>
      <c r="EH1188" s="0" t="inlineStr">
        <is>
          <t>67行 2列，源：nan 备：</t>
        </is>
      </c>
      <c r="ES1188" s="0" t="inlineStr">
        <is>
          <t>67行 8列，源：None 备：</t>
        </is>
      </c>
    </row>
    <row r="1189">
      <c r="B1189" s="0" t="inlineStr">
        <is>
          <t>NULL</t>
        </is>
      </c>
      <c r="C1189" s="0" t="inlineStr">
        <is>
          <t>NULL</t>
        </is>
      </c>
      <c r="D1189" s="0" t="inlineStr">
        <is>
          <t>NULL</t>
        </is>
      </c>
      <c r="E1189" s="0" t="inlineStr">
        <is>
          <t>NULL</t>
        </is>
      </c>
      <c r="F1189" s="0" t="inlineStr">
        <is>
          <t>NULL</t>
        </is>
      </c>
      <c r="G1189" s="0" t="inlineStr">
        <is>
          <t>NULL</t>
        </is>
      </c>
      <c r="H1189" s="0" t="inlineStr">
        <is>
          <t>NULL</t>
        </is>
      </c>
      <c r="I1189" s="0" t="inlineStr">
        <is>
          <t>NULL</t>
        </is>
      </c>
      <c r="J1189" s="0" t="inlineStr">
        <is>
          <t>NULL</t>
        </is>
      </c>
      <c r="K1189" s="0" t="inlineStr">
        <is>
          <t xml:space="preserve"> NO!  	 c_datetime列源备映射错误，源端为sql_variant 0位	期望更改为text	实际备端为sql_variant 0位</t>
        </is>
      </c>
      <c r="EH1189" s="0" t="inlineStr">
        <is>
          <t>67行 3列，源：nan 备：</t>
        </is>
      </c>
      <c r="ES1189" s="0" t="inlineStr">
        <is>
          <t>67行 9列，源：None 备：</t>
        </is>
      </c>
    </row>
    <row r="1190">
      <c r="B1190" s="0" t="inlineStr">
        <is>
          <t>NULL</t>
        </is>
      </c>
      <c r="C1190" s="0" t="inlineStr">
        <is>
          <t>NULL</t>
        </is>
      </c>
      <c r="D1190" s="0" t="inlineStr">
        <is>
          <t>NULL</t>
        </is>
      </c>
      <c r="E1190" s="0" t="inlineStr">
        <is>
          <t>NULL</t>
        </is>
      </c>
      <c r="F1190" s="0" t="inlineStr">
        <is>
          <t>NULL</t>
        </is>
      </c>
      <c r="G1190" s="0" t="inlineStr">
        <is>
          <t>NULL</t>
        </is>
      </c>
      <c r="H1190" s="0" t="inlineStr">
        <is>
          <t>NULL</t>
        </is>
      </c>
      <c r="I1190" s="0" t="inlineStr">
        <is>
          <t>NULL</t>
        </is>
      </c>
      <c r="J1190" s="0" t="inlineStr">
        <is>
          <t>NULL</t>
        </is>
      </c>
      <c r="K1190" s="0" t="inlineStr">
        <is>
          <t xml:space="preserve"> NO!  	 c_float列源备映射错误，源端为sql_variant 0位	期望更改为text	实际备端为sql_variant 0位</t>
        </is>
      </c>
      <c r="EH1190" s="0" t="inlineStr">
        <is>
          <t>67行 4列，源：nan 备：</t>
        </is>
      </c>
      <c r="ES1190" s="0" t="inlineStr">
        <is>
          <t>67行 10列，源：None 备：</t>
        </is>
      </c>
    </row>
    <row r="1191">
      <c r="B1191" s="0" t="inlineStr">
        <is>
          <t>NULL</t>
        </is>
      </c>
      <c r="C1191" s="0" t="inlineStr">
        <is>
          <t>NULL</t>
        </is>
      </c>
      <c r="D1191" s="0" t="inlineStr">
        <is>
          <t>NULL</t>
        </is>
      </c>
      <c r="E1191" s="0" t="inlineStr">
        <is>
          <t>NULL</t>
        </is>
      </c>
      <c r="F1191" s="0" t="inlineStr">
        <is>
          <t>NULL</t>
        </is>
      </c>
      <c r="G1191" s="0" t="inlineStr">
        <is>
          <t>NULL</t>
        </is>
      </c>
      <c r="H1191" s="0" t="inlineStr">
        <is>
          <t>NULL</t>
        </is>
      </c>
      <c r="I1191" s="0" t="inlineStr">
        <is>
          <t>NULL</t>
        </is>
      </c>
      <c r="J1191" s="0" t="inlineStr">
        <is>
          <t>NULL</t>
        </is>
      </c>
      <c r="K1191" s="0" t="inlineStr">
        <is>
          <t xml:space="preserve"> NO!  	 c_bit列源备映射错误，源端为sql_variant 0位	期望更改为text	实际备端为sql_variant 0位</t>
        </is>
      </c>
      <c r="EH1191" s="0" t="inlineStr">
        <is>
          <t>67行 5列，源：None 备：</t>
        </is>
      </c>
      <c r="ES1191" s="0" t="inlineStr">
        <is>
          <t>67行 11列，源：None 备：</t>
        </is>
      </c>
    </row>
    <row r="1192">
      <c r="B1192" s="0" t="inlineStr">
        <is>
          <t>NULL</t>
        </is>
      </c>
      <c r="C1192" s="0" t="inlineStr">
        <is>
          <t>NULL</t>
        </is>
      </c>
      <c r="D1192" s="0" t="inlineStr">
        <is>
          <t>NULL</t>
        </is>
      </c>
      <c r="E1192" s="0" t="inlineStr">
        <is>
          <t>NULL</t>
        </is>
      </c>
      <c r="F1192" s="0" t="inlineStr">
        <is>
          <t>NULL</t>
        </is>
      </c>
      <c r="G1192" s="0" t="inlineStr">
        <is>
          <t>NULL</t>
        </is>
      </c>
      <c r="H1192" s="0" t="inlineStr">
        <is>
          <t>NULL</t>
        </is>
      </c>
      <c r="I1192" s="0" t="inlineStr">
        <is>
          <t>NULL</t>
        </is>
      </c>
      <c r="J1192" s="0" t="inlineStr">
        <is>
          <t>NULL</t>
        </is>
      </c>
      <c r="K1192" s="0" t="inlineStr">
        <is>
          <t xml:space="preserve"> NO!  	 c_decimal列源备映射错误，源端为sql_variant 0位	期望更改为text	实际备端为sql_variant 0位</t>
        </is>
      </c>
      <c r="EH1192" s="0" t="inlineStr">
        <is>
          <t>67行 6列，源：None 备：</t>
        </is>
      </c>
      <c r="ES1192" s="0" t="inlineStr">
        <is>
          <t>67行 12列，源：None 备：</t>
        </is>
      </c>
    </row>
    <row r="1193">
      <c r="B1193" s="0" t="inlineStr">
        <is>
          <t>NULL</t>
        </is>
      </c>
      <c r="C1193" s="0" t="inlineStr">
        <is>
          <t>NULL</t>
        </is>
      </c>
      <c r="D1193" s="0" t="inlineStr">
        <is>
          <t>NULL</t>
        </is>
      </c>
      <c r="E1193" s="0" t="inlineStr">
        <is>
          <t>NULL</t>
        </is>
      </c>
      <c r="F1193" s="0" t="inlineStr">
        <is>
          <t>NULL</t>
        </is>
      </c>
      <c r="G1193" s="0" t="inlineStr">
        <is>
          <t>NULL</t>
        </is>
      </c>
      <c r="H1193" s="0" t="inlineStr">
        <is>
          <t>NULL</t>
        </is>
      </c>
      <c r="I1193" s="0" t="inlineStr">
        <is>
          <t>NULL</t>
        </is>
      </c>
      <c r="J1193" s="0" t="inlineStr">
        <is>
          <t>NULL</t>
        </is>
      </c>
      <c r="K1193" s="0" t="inlineStr">
        <is>
          <t xml:space="preserve"> NO!  	 c_uniqueidentifier列源备映射错误，源端为sql_variant 0位	期望更改为text	实际备端为sql_variant 0位</t>
        </is>
      </c>
      <c r="EH1193" s="0" t="inlineStr">
        <is>
          <t>67行 7列，源：None 备：</t>
        </is>
      </c>
      <c r="ES1193" s="0" t="inlineStr">
        <is>
          <t>67行 13列，源：None 备：</t>
        </is>
      </c>
    </row>
    <row r="1194">
      <c r="B1194" s="0" t="inlineStr">
        <is>
          <t>NULL</t>
        </is>
      </c>
      <c r="C1194" s="0" t="inlineStr">
        <is>
          <t>NULL</t>
        </is>
      </c>
      <c r="D1194" s="0" t="inlineStr">
        <is>
          <t>NULL</t>
        </is>
      </c>
      <c r="E1194" s="0" t="inlineStr">
        <is>
          <t>NULL</t>
        </is>
      </c>
      <c r="F1194" s="0" t="inlineStr">
        <is>
          <t>NULL</t>
        </is>
      </c>
      <c r="G1194" s="0" t="inlineStr">
        <is>
          <t>NULL</t>
        </is>
      </c>
      <c r="H1194" s="0" t="inlineStr">
        <is>
          <t>NULL</t>
        </is>
      </c>
      <c r="I1194" s="0" t="inlineStr">
        <is>
          <t>NULL</t>
        </is>
      </c>
      <c r="J1194" s="0" t="inlineStr">
        <is>
          <t>NULL</t>
        </is>
      </c>
      <c r="K1194" s="0" t="inlineStr">
        <is>
          <t xml:space="preserve"> NO!  	 c_smallmoney列源备映射错误，源端为sql_variant 0位	期望更改为text	实际备端为sql_variant 0位</t>
        </is>
      </c>
      <c r="EH1194" s="0" t="inlineStr">
        <is>
          <t>67行 8列，源：None 备：</t>
        </is>
      </c>
      <c r="ES1194" s="0" t="inlineStr">
        <is>
          <t>67行 14列，源：None 备：</t>
        </is>
      </c>
    </row>
    <row r="1195">
      <c r="B1195" s="0" t="inlineStr">
        <is>
          <t>NULL</t>
        </is>
      </c>
      <c r="C1195" s="0" t="inlineStr">
        <is>
          <t>NULL</t>
        </is>
      </c>
      <c r="D1195" s="0" t="inlineStr">
        <is>
          <t>NULL</t>
        </is>
      </c>
      <c r="E1195" s="0" t="inlineStr">
        <is>
          <t>NULL</t>
        </is>
      </c>
      <c r="F1195" s="0" t="inlineStr">
        <is>
          <t>NULL</t>
        </is>
      </c>
      <c r="G1195" s="0" t="inlineStr">
        <is>
          <t>NULL</t>
        </is>
      </c>
      <c r="H1195" s="0" t="inlineStr">
        <is>
          <t>NULL</t>
        </is>
      </c>
      <c r="I1195" s="0" t="inlineStr">
        <is>
          <t>NULL</t>
        </is>
      </c>
      <c r="J1195" s="0" t="inlineStr">
        <is>
          <t>NULL</t>
        </is>
      </c>
      <c r="K1195" s="0" t="inlineStr">
        <is>
          <t xml:space="preserve"> NO!  	 c_bigint列源备映射错误，源端为sql_variant 0位	期望更改为text	实际备端为sql_variant 0位</t>
        </is>
      </c>
      <c r="EH1195" s="0" t="inlineStr">
        <is>
          <t>67行 9列，源：None 备：</t>
        </is>
      </c>
      <c r="ES1195" s="0" t="inlineStr">
        <is>
          <t>67行 15列，源：nan 备：</t>
        </is>
      </c>
    </row>
    <row r="1196">
      <c r="B1196" s="0" t="inlineStr">
        <is>
          <t>NULL</t>
        </is>
      </c>
      <c r="C1196" s="0" t="inlineStr">
        <is>
          <t>NULL</t>
        </is>
      </c>
      <c r="D1196" s="0" t="inlineStr">
        <is>
          <t>NULL</t>
        </is>
      </c>
      <c r="E1196" s="0" t="inlineStr">
        <is>
          <t>NULL</t>
        </is>
      </c>
      <c r="F1196" s="0" t="inlineStr">
        <is>
          <t>NULL</t>
        </is>
      </c>
      <c r="G1196" s="0" t="inlineStr">
        <is>
          <t>NULL</t>
        </is>
      </c>
      <c r="H1196" s="0" t="inlineStr">
        <is>
          <t>NULL</t>
        </is>
      </c>
      <c r="I1196" s="0" t="inlineStr">
        <is>
          <t>NULL</t>
        </is>
      </c>
      <c r="J1196" s="0" t="inlineStr">
        <is>
          <t>NULL</t>
        </is>
      </c>
      <c r="K1196" s="0" t="inlineStr">
        <is>
          <t xml:space="preserve"> NO!  	 c_varbinary_20列源备映射错误，源端为sql_variant 0位	期望更改为text	实际备端为sql_variant 0位</t>
        </is>
      </c>
      <c r="EH1196" s="0" t="inlineStr">
        <is>
          <t>67行 10列，源：None 备：</t>
        </is>
      </c>
      <c r="ES1196" s="0" t="inlineStr">
        <is>
          <t>67行 16列，源：nan 备：</t>
        </is>
      </c>
    </row>
    <row r="1197">
      <c r="B1197" s="0" t="inlineStr">
        <is>
          <t>NULL</t>
        </is>
      </c>
      <c r="C1197" s="0" t="inlineStr">
        <is>
          <t>NULL</t>
        </is>
      </c>
      <c r="D1197" s="0" t="inlineStr">
        <is>
          <t>NULL</t>
        </is>
      </c>
      <c r="E1197" s="0" t="inlineStr">
        <is>
          <t>NULL</t>
        </is>
      </c>
      <c r="F1197" s="0" t="inlineStr">
        <is>
          <t>NULL</t>
        </is>
      </c>
      <c r="G1197" s="0" t="inlineStr">
        <is>
          <t>NULL</t>
        </is>
      </c>
      <c r="H1197" s="0" t="inlineStr">
        <is>
          <t>NULL</t>
        </is>
      </c>
      <c r="I1197" s="0" t="inlineStr">
        <is>
          <t>NULL</t>
        </is>
      </c>
      <c r="J1197" s="0" t="inlineStr">
        <is>
          <t>NULL</t>
        </is>
      </c>
      <c r="K1197" s="0" t="inlineStr">
        <is>
          <t xml:space="preserve"> NO!  	 c_varchar_20列源备映射错误，源端为sql_variant 0位	期望更改为text	实际备端为sql_variant 0位</t>
        </is>
      </c>
      <c r="EH1197" s="0" t="inlineStr">
        <is>
          <t>67行 11列，源：None 备：</t>
        </is>
      </c>
      <c r="ES1197" s="0" t="inlineStr">
        <is>
          <t>67行 17列，源：None 备：</t>
        </is>
      </c>
    </row>
    <row r="1198">
      <c r="B1198" s="0" t="inlineStr">
        <is>
          <t>NULL</t>
        </is>
      </c>
      <c r="C1198" s="0" t="inlineStr">
        <is>
          <t>NULL</t>
        </is>
      </c>
      <c r="D1198" s="0" t="inlineStr">
        <is>
          <t>NULL</t>
        </is>
      </c>
      <c r="E1198" s="0" t="inlineStr">
        <is>
          <t>NULL</t>
        </is>
      </c>
      <c r="F1198" s="0" t="inlineStr">
        <is>
          <t>NULL</t>
        </is>
      </c>
      <c r="G1198" s="0" t="inlineStr">
        <is>
          <t>NULL</t>
        </is>
      </c>
      <c r="H1198" s="0" t="inlineStr">
        <is>
          <t>NULL</t>
        </is>
      </c>
      <c r="I1198" s="0" t="inlineStr">
        <is>
          <t>NULL</t>
        </is>
      </c>
      <c r="J1198" s="0" t="inlineStr">
        <is>
          <t>NULL</t>
        </is>
      </c>
      <c r="K1198" s="0" t="inlineStr">
        <is>
          <t xml:space="preserve"> NO!  	 c_binary_20列源备映射错误，源端为sql_variant 0位	期望更改为text	实际备端为sql_variant 0位</t>
        </is>
      </c>
      <c r="EH1198" s="0" t="inlineStr">
        <is>
          <t>67行 12列，源：None 备：</t>
        </is>
      </c>
      <c r="ES1198" s="0" t="inlineStr">
        <is>
          <t>67行 18列，源：None 备：</t>
        </is>
      </c>
    </row>
    <row r="1199">
      <c r="B1199" s="0" t="inlineStr">
        <is>
          <t>NULL</t>
        </is>
      </c>
      <c r="C1199" s="0" t="inlineStr">
        <is>
          <t>NULL</t>
        </is>
      </c>
      <c r="D1199" s="0" t="inlineStr">
        <is>
          <t>NULL</t>
        </is>
      </c>
      <c r="E1199" s="0" t="inlineStr">
        <is>
          <t>NULL</t>
        </is>
      </c>
      <c r="F1199" s="0" t="inlineStr">
        <is>
          <t>NULL</t>
        </is>
      </c>
      <c r="G1199" s="0" t="inlineStr">
        <is>
          <t>NULL</t>
        </is>
      </c>
      <c r="H1199" s="0" t="inlineStr">
        <is>
          <t>NULL</t>
        </is>
      </c>
      <c r="I1199" s="0" t="inlineStr">
        <is>
          <t>NULL</t>
        </is>
      </c>
      <c r="J1199" s="0" t="inlineStr">
        <is>
          <t>NULL</t>
        </is>
      </c>
      <c r="K1199" s="0" t="inlineStr">
        <is>
          <t xml:space="preserve"> NO!  	 c_char_20列源备映射错误，源端为sql_variant 0位	期望更改为text	实际备端为sql_variant 0位</t>
        </is>
      </c>
      <c r="EH1199" s="0" t="inlineStr">
        <is>
          <t>67行 13列，源：None 备：</t>
        </is>
      </c>
      <c r="ES1199" s="0" t="inlineStr">
        <is>
          <t>67行 19列，源：None 备：</t>
        </is>
      </c>
    </row>
    <row r="1200">
      <c r="B1200" s="0" t="inlineStr">
        <is>
          <t>NULL</t>
        </is>
      </c>
      <c r="C1200" s="0" t="inlineStr">
        <is>
          <t>NULL</t>
        </is>
      </c>
      <c r="D1200" s="0" t="inlineStr">
        <is>
          <t>NULL</t>
        </is>
      </c>
      <c r="E1200" s="0" t="inlineStr">
        <is>
          <t>NULL</t>
        </is>
      </c>
      <c r="F1200" s="0" t="inlineStr">
        <is>
          <t>NULL</t>
        </is>
      </c>
      <c r="G1200" s="0" t="inlineStr">
        <is>
          <t>NULL</t>
        </is>
      </c>
      <c r="H1200" s="0" t="inlineStr">
        <is>
          <t>NULL</t>
        </is>
      </c>
      <c r="I1200" s="0" t="inlineStr">
        <is>
          <t>NULL</t>
        </is>
      </c>
      <c r="J1200" s="0" t="inlineStr">
        <is>
          <t>NULL</t>
        </is>
      </c>
      <c r="K1200" s="0" t="inlineStr">
        <is>
          <t xml:space="preserve"> NO!  	 c_nvarchar_20列源备映射错误，源端为sql_variant 0位	期望更改为text	实际备端为sql_variant 0位</t>
        </is>
      </c>
      <c r="EH1200" s="0" t="inlineStr">
        <is>
          <t>67行 14列，源：None 备：</t>
        </is>
      </c>
      <c r="ES1200" s="0" t="inlineStr">
        <is>
          <t>68行 0列，源：209 备：56</t>
        </is>
      </c>
    </row>
    <row r="1201">
      <c r="B1201" s="0" t="inlineStr">
        <is>
          <t>NULL</t>
        </is>
      </c>
      <c r="C1201" s="0" t="inlineStr">
        <is>
          <t>NULL</t>
        </is>
      </c>
      <c r="D1201" s="0" t="inlineStr">
        <is>
          <t>NULL</t>
        </is>
      </c>
      <c r="E1201" s="0" t="inlineStr">
        <is>
          <t>NULL</t>
        </is>
      </c>
      <c r="F1201" s="0" t="inlineStr">
        <is>
          <t>NULL</t>
        </is>
      </c>
      <c r="G1201" s="0" t="inlineStr">
        <is>
          <t>NULL</t>
        </is>
      </c>
      <c r="H1201" s="0" t="inlineStr">
        <is>
          <t>NULL</t>
        </is>
      </c>
      <c r="I1201" s="0" t="inlineStr">
        <is>
          <t>NULL</t>
        </is>
      </c>
      <c r="J1201" s="0" t="inlineStr">
        <is>
          <t>NULL</t>
        </is>
      </c>
      <c r="K1201" s="0" t="inlineStr">
        <is>
          <t xml:space="preserve"> NO!  	 c_nchar_20列源备映射错误，源端为sql_variant 0位	期望更改为text	实际备端为sql_variant 0位</t>
        </is>
      </c>
      <c r="EH1201" s="0" t="inlineStr">
        <is>
          <t>67行 15列，源：nan 备：</t>
        </is>
      </c>
      <c r="ES1201" s="0" t="inlineStr">
        <is>
          <t>68行 1列，源：nan 备：127</t>
        </is>
      </c>
    </row>
    <row r="1202">
      <c r="B1202" s="0" t="inlineStr">
        <is>
          <t>NULL</t>
        </is>
      </c>
      <c r="C1202" s="0" t="inlineStr">
        <is>
          <t>NULL</t>
        </is>
      </c>
      <c r="D1202" s="0" t="inlineStr">
        <is>
          <t>NULL</t>
        </is>
      </c>
      <c r="E1202" s="0" t="inlineStr">
        <is>
          <t>NULL</t>
        </is>
      </c>
      <c r="F1202" s="0" t="inlineStr">
        <is>
          <t>NULL</t>
        </is>
      </c>
      <c r="G1202" s="0" t="inlineStr">
        <is>
          <t>NULL</t>
        </is>
      </c>
      <c r="H1202" s="0" t="inlineStr">
        <is>
          <t>NULL</t>
        </is>
      </c>
      <c r="I1202" s="0" t="inlineStr">
        <is>
          <t>NULL</t>
        </is>
      </c>
      <c r="J1202" s="0" t="inlineStr">
        <is>
          <t>NULL</t>
        </is>
      </c>
      <c r="K1202" s="0" t="inlineStr">
        <is>
          <t xml:space="preserve"> NO!  	 c_timestamp列源备映射错误，源端为timestamp None位	期望更改为text	实际备端为timestamp None位</t>
        </is>
      </c>
      <c r="EH1202" s="0" t="inlineStr">
        <is>
          <t>67行 16列，源：nan 备：</t>
        </is>
      </c>
      <c r="ES1202" s="0" t="inlineStr">
        <is>
          <t>68行 2列，源：nan 备：255</t>
        </is>
      </c>
    </row>
    <row r="1203">
      <c r="A1203" s="0" t="inlineStr">
        <is>
          <t>info_time_dml_batch1_pk_urp2</t>
        </is>
      </c>
      <c r="K1203" s="0" t="inlineStr">
        <is>
          <t>[0;34m info_time_dml_batch1_pk_urp2 [0m源备字段数相同，源端字段：9 	备端字段9</t>
        </is>
      </c>
      <c r="W1203" s="2">
        <f>HYPERLINK("#2026041905hbase4!EG2","NO 源备存在差异，共131个")</f>
        <v/>
      </c>
      <c r="X1203" s="0">
        <f>A1203</f>
        <v/>
      </c>
      <c r="EH1203" s="0" t="inlineStr">
        <is>
          <t>67行 17列，源：None 备：</t>
        </is>
      </c>
      <c r="ES1203" s="0" t="inlineStr">
        <is>
          <t>68行 3列，源：nan 备：65535</t>
        </is>
      </c>
    </row>
    <row r="1204">
      <c r="B1204" s="0" t="inlineStr">
        <is>
          <t>YES</t>
        </is>
      </c>
      <c r="C1204" s="0" t="inlineStr">
        <is>
          <t>NULL</t>
        </is>
      </c>
      <c r="D1204" s="0" t="inlineStr">
        <is>
          <t>NULL</t>
        </is>
      </c>
      <c r="E1204" s="0" t="inlineStr">
        <is>
          <t>NULL</t>
        </is>
      </c>
      <c r="F1204" s="0" t="inlineStr">
        <is>
          <t>NULL</t>
        </is>
      </c>
      <c r="G1204" s="0" t="inlineStr">
        <is>
          <t>NULL</t>
        </is>
      </c>
      <c r="H1204" s="0" t="inlineStr">
        <is>
          <t>NULL</t>
        </is>
      </c>
      <c r="I1204" s="0" t="inlineStr">
        <is>
          <t>YES!PK__info_tim__3213E83FD9A9CAB1</t>
        </is>
      </c>
      <c r="J1204" s="0" t="inlineStr">
        <is>
          <t>YES! 主键相关索引</t>
        </is>
      </c>
      <c r="K1204" s="0" t="inlineStr">
        <is>
          <t xml:space="preserve"> NO!  	 id列源备映射错误，源端为int None位	期望更改为text	实际备端为int None位</t>
        </is>
      </c>
      <c r="EH1204" s="0" t="inlineStr">
        <is>
          <t>67行 18列，源：None 备：</t>
        </is>
      </c>
      <c r="ES1204" s="0" t="inlineStr">
        <is>
          <t>68行 4列，源：nan 备：4294967295</t>
        </is>
      </c>
    </row>
    <row r="1205">
      <c r="B1205" s="0" t="inlineStr">
        <is>
          <t>NULL</t>
        </is>
      </c>
      <c r="C1205" s="0" t="inlineStr">
        <is>
          <t>NULL</t>
        </is>
      </c>
      <c r="D1205" s="0" t="inlineStr">
        <is>
          <t>NULL</t>
        </is>
      </c>
      <c r="E1205" s="0" t="inlineStr">
        <is>
          <t>NULL</t>
        </is>
      </c>
      <c r="F1205" s="0" t="inlineStr">
        <is>
          <t>NULL</t>
        </is>
      </c>
      <c r="G1205" s="0" t="inlineStr">
        <is>
          <t>NULL</t>
        </is>
      </c>
      <c r="H1205" s="0" t="inlineStr">
        <is>
          <t>NULL</t>
        </is>
      </c>
      <c r="I1205" s="0" t="inlineStr">
        <is>
          <t>NULL</t>
        </is>
      </c>
      <c r="J1205" s="0" t="inlineStr">
        <is>
          <t>NULL</t>
        </is>
      </c>
      <c r="K1205" s="0" t="inlineStr">
        <is>
          <t xml:space="preserve"> NO!  	 c_time0列源备映射错误，源端为time None位	期望更改为text	实际备端为time None位</t>
        </is>
      </c>
      <c r="EH1205" s="0" t="inlineStr">
        <is>
          <t>67行 19列，源：None 备：</t>
        </is>
      </c>
      <c r="ES1205" s="0" t="inlineStr">
        <is>
          <t>68行 5列，源：None 备：</t>
        </is>
      </c>
    </row>
    <row r="1206">
      <c r="B1206" s="0" t="inlineStr">
        <is>
          <t>NULL</t>
        </is>
      </c>
      <c r="C1206" s="0" t="inlineStr">
        <is>
          <t>NULL</t>
        </is>
      </c>
      <c r="D1206" s="0" t="inlineStr">
        <is>
          <t>NULL</t>
        </is>
      </c>
      <c r="E1206" s="0" t="inlineStr">
        <is>
          <t>NULL</t>
        </is>
      </c>
      <c r="F1206" s="0" t="inlineStr">
        <is>
          <t>NULL</t>
        </is>
      </c>
      <c r="G1206" s="0" t="inlineStr">
        <is>
          <t>NULL</t>
        </is>
      </c>
      <c r="H1206" s="0" t="inlineStr">
        <is>
          <t>NULL</t>
        </is>
      </c>
      <c r="I1206" s="0" t="inlineStr">
        <is>
          <t>NULL</t>
        </is>
      </c>
      <c r="J1206" s="0" t="inlineStr">
        <is>
          <t>NULL</t>
        </is>
      </c>
      <c r="K1206" s="0" t="inlineStr">
        <is>
          <t xml:space="preserve"> NO!  	 c_time1列源备映射错误，源端为time None位	期望更改为text	实际备端为time None位</t>
        </is>
      </c>
      <c r="EH1206" s="0" t="inlineStr">
        <is>
          <t>68行 0列，源：159 备：216</t>
        </is>
      </c>
      <c r="ES1206" s="0" t="inlineStr">
        <is>
          <t>68行 6列，源：None 备：</t>
        </is>
      </c>
    </row>
    <row r="1207">
      <c r="B1207" s="0" t="inlineStr">
        <is>
          <t>NULL</t>
        </is>
      </c>
      <c r="C1207" s="0" t="inlineStr">
        <is>
          <t>NULL</t>
        </is>
      </c>
      <c r="D1207" s="0" t="inlineStr">
        <is>
          <t>NULL</t>
        </is>
      </c>
      <c r="E1207" s="0" t="inlineStr">
        <is>
          <t>NULL</t>
        </is>
      </c>
      <c r="F1207" s="0" t="inlineStr">
        <is>
          <t>NULL</t>
        </is>
      </c>
      <c r="G1207" s="0" t="inlineStr">
        <is>
          <t>NULL</t>
        </is>
      </c>
      <c r="H1207" s="0" t="inlineStr">
        <is>
          <t>NULL</t>
        </is>
      </c>
      <c r="I1207" s="0" t="inlineStr">
        <is>
          <t>NULL</t>
        </is>
      </c>
      <c r="J1207" s="0" t="inlineStr">
        <is>
          <t>NULL</t>
        </is>
      </c>
      <c r="K1207" s="0" t="inlineStr">
        <is>
          <t xml:space="preserve"> NO!  	 c_time2列源备映射错误，源端为time None位	期望更改为text	实际备端为time None位</t>
        </is>
      </c>
      <c r="EH1207" s="0" t="inlineStr">
        <is>
          <t>68行 1列，源：nan 备：</t>
        </is>
      </c>
      <c r="ES1207" s="0" t="inlineStr">
        <is>
          <t>68行 7列，源：None 备：</t>
        </is>
      </c>
    </row>
    <row r="1208">
      <c r="B1208" s="0" t="inlineStr">
        <is>
          <t>NULL</t>
        </is>
      </c>
      <c r="C1208" s="0" t="inlineStr">
        <is>
          <t>NULL</t>
        </is>
      </c>
      <c r="D1208" s="0" t="inlineStr">
        <is>
          <t>NULL</t>
        </is>
      </c>
      <c r="E1208" s="0" t="inlineStr">
        <is>
          <t>NULL</t>
        </is>
      </c>
      <c r="F1208" s="0" t="inlineStr">
        <is>
          <t>NULL</t>
        </is>
      </c>
      <c r="G1208" s="0" t="inlineStr">
        <is>
          <t>NULL</t>
        </is>
      </c>
      <c r="H1208" s="0" t="inlineStr">
        <is>
          <t>NULL</t>
        </is>
      </c>
      <c r="I1208" s="0" t="inlineStr">
        <is>
          <t>NULL</t>
        </is>
      </c>
      <c r="J1208" s="0" t="inlineStr">
        <is>
          <t>NULL</t>
        </is>
      </c>
      <c r="K1208" s="0" t="inlineStr">
        <is>
          <t xml:space="preserve"> NO!  	 c_time3列源备映射错误，源端为time None位	期望更改为text	实际备端为time None位</t>
        </is>
      </c>
      <c r="EH1208" s="0" t="inlineStr">
        <is>
          <t>68行 2列，源：nan 备：</t>
        </is>
      </c>
      <c r="ES1208" s="0" t="inlineStr">
        <is>
          <t>68行 8列，源：None 备：</t>
        </is>
      </c>
    </row>
    <row r="1209">
      <c r="B1209" s="0" t="inlineStr">
        <is>
          <t>NULL</t>
        </is>
      </c>
      <c r="C1209" s="0" t="inlineStr">
        <is>
          <t>NULL</t>
        </is>
      </c>
      <c r="D1209" s="0" t="inlineStr">
        <is>
          <t>NULL</t>
        </is>
      </c>
      <c r="E1209" s="0" t="inlineStr">
        <is>
          <t>NULL</t>
        </is>
      </c>
      <c r="F1209" s="0" t="inlineStr">
        <is>
          <t>NULL</t>
        </is>
      </c>
      <c r="G1209" s="0" t="inlineStr">
        <is>
          <t>NULL</t>
        </is>
      </c>
      <c r="H1209" s="0" t="inlineStr">
        <is>
          <t>NULL</t>
        </is>
      </c>
      <c r="I1209" s="0" t="inlineStr">
        <is>
          <t>NULL</t>
        </is>
      </c>
      <c r="J1209" s="0" t="inlineStr">
        <is>
          <t>NULL</t>
        </is>
      </c>
      <c r="K1209" s="0" t="inlineStr">
        <is>
          <t xml:space="preserve"> NO!  	 c_time4列源备映射错误，源端为time None位	期望更改为text	实际备端为time None位</t>
        </is>
      </c>
      <c r="EH1209" s="0" t="inlineStr">
        <is>
          <t>68行 3列，源：nan 备：</t>
        </is>
      </c>
      <c r="ES1209" s="0" t="inlineStr">
        <is>
          <t>68行 9列，源：None 备：</t>
        </is>
      </c>
    </row>
    <row r="1210">
      <c r="B1210" s="0" t="inlineStr">
        <is>
          <t>NULL</t>
        </is>
      </c>
      <c r="C1210" s="0" t="inlineStr">
        <is>
          <t>NULL</t>
        </is>
      </c>
      <c r="D1210" s="0" t="inlineStr">
        <is>
          <t>NULL</t>
        </is>
      </c>
      <c r="E1210" s="0" t="inlineStr">
        <is>
          <t>NULL</t>
        </is>
      </c>
      <c r="F1210" s="0" t="inlineStr">
        <is>
          <t>NULL</t>
        </is>
      </c>
      <c r="G1210" s="0" t="inlineStr">
        <is>
          <t>NULL</t>
        </is>
      </c>
      <c r="H1210" s="0" t="inlineStr">
        <is>
          <t>NULL</t>
        </is>
      </c>
      <c r="I1210" s="0" t="inlineStr">
        <is>
          <t>NULL</t>
        </is>
      </c>
      <c r="J1210" s="0" t="inlineStr">
        <is>
          <t>NULL</t>
        </is>
      </c>
      <c r="K1210" s="0" t="inlineStr">
        <is>
          <t xml:space="preserve"> NO!  	 c_time5列源备映射错误，源端为time None位	期望更改为text	实际备端为time None位</t>
        </is>
      </c>
      <c r="EH1210" s="0" t="inlineStr">
        <is>
          <t>68行 4列，源：nan 备：</t>
        </is>
      </c>
      <c r="ES1210" s="0" t="inlineStr">
        <is>
          <t>68行 10列，源：None 备：</t>
        </is>
      </c>
    </row>
    <row r="1211">
      <c r="B1211" s="0" t="inlineStr">
        <is>
          <t>NULL</t>
        </is>
      </c>
      <c r="C1211" s="0" t="inlineStr">
        <is>
          <t>NULL</t>
        </is>
      </c>
      <c r="D1211" s="0" t="inlineStr">
        <is>
          <t>NULL</t>
        </is>
      </c>
      <c r="E1211" s="0" t="inlineStr">
        <is>
          <t>NULL</t>
        </is>
      </c>
      <c r="F1211" s="0" t="inlineStr">
        <is>
          <t>NULL</t>
        </is>
      </c>
      <c r="G1211" s="0" t="inlineStr">
        <is>
          <t>NULL</t>
        </is>
      </c>
      <c r="H1211" s="0" t="inlineStr">
        <is>
          <t>NULL</t>
        </is>
      </c>
      <c r="I1211" s="0" t="inlineStr">
        <is>
          <t>NULL</t>
        </is>
      </c>
      <c r="J1211" s="0" t="inlineStr">
        <is>
          <t>NULL</t>
        </is>
      </c>
      <c r="K1211" s="0" t="inlineStr">
        <is>
          <t xml:space="preserve"> NO!  	 c_time6列源备映射错误，源端为time None位	期望更改为text	实际备端为time None位</t>
        </is>
      </c>
      <c r="EH1211" s="0" t="inlineStr">
        <is>
          <t>68行 5列，源：None 备：</t>
        </is>
      </c>
      <c r="ES1211" s="0" t="inlineStr">
        <is>
          <t>68行 11列，源：None 备：</t>
        </is>
      </c>
    </row>
    <row r="1212">
      <c r="B1212" s="0" t="inlineStr">
        <is>
          <t>NULL</t>
        </is>
      </c>
      <c r="C1212" s="0" t="inlineStr">
        <is>
          <t>NULL</t>
        </is>
      </c>
      <c r="D1212" s="0" t="inlineStr">
        <is>
          <t>NULL</t>
        </is>
      </c>
      <c r="E1212" s="0" t="inlineStr">
        <is>
          <t>NULL</t>
        </is>
      </c>
      <c r="F1212" s="0" t="inlineStr">
        <is>
          <t>NULL</t>
        </is>
      </c>
      <c r="G1212" s="0" t="inlineStr">
        <is>
          <t>NULL</t>
        </is>
      </c>
      <c r="H1212" s="0" t="inlineStr">
        <is>
          <t>NULL</t>
        </is>
      </c>
      <c r="I1212" s="0" t="inlineStr">
        <is>
          <t>NULL</t>
        </is>
      </c>
      <c r="J1212" s="0" t="inlineStr">
        <is>
          <t>NULL</t>
        </is>
      </c>
      <c r="K1212" s="0" t="inlineStr">
        <is>
          <t xml:space="preserve"> NO!  	 c_time列源备映射错误，源端为time None位	期望更改为text	实际备端为time None位</t>
        </is>
      </c>
      <c r="EH1212" s="0" t="inlineStr">
        <is>
          <t>68行 6列，源：None 备：</t>
        </is>
      </c>
      <c r="ES1212" s="0" t="inlineStr">
        <is>
          <t>68行 12列，源：None 备：</t>
        </is>
      </c>
    </row>
    <row r="1213">
      <c r="A1213" s="0" t="inlineStr">
        <is>
          <t>info_uniqueidentifier_dml_single_pk_drp</t>
        </is>
      </c>
      <c r="K1213" s="0" t="inlineStr">
        <is>
          <t>[0;34m info_uniqueidentifier_dml_single_pk_drp [0m源备字段数相同，源端字段：2 	备端字段2</t>
        </is>
      </c>
      <c r="W1213" s="0" t="inlineStr">
        <is>
          <t>YES 源备无差异</t>
        </is>
      </c>
      <c r="X1213" s="0">
        <f>A1213</f>
        <v/>
      </c>
      <c r="EH1213" s="0" t="inlineStr">
        <is>
          <t>68行 7列，源：None 备：</t>
        </is>
      </c>
      <c r="ES1213" s="0" t="inlineStr">
        <is>
          <t>68行 13列，源：None 备：</t>
        </is>
      </c>
    </row>
    <row r="1214">
      <c r="B1214" s="0" t="inlineStr">
        <is>
          <t>YES</t>
        </is>
      </c>
      <c r="C1214" s="0" t="inlineStr">
        <is>
          <t>NULL</t>
        </is>
      </c>
      <c r="D1214" s="0" t="inlineStr">
        <is>
          <t>NULL</t>
        </is>
      </c>
      <c r="E1214" s="0" t="inlineStr">
        <is>
          <t>NULL</t>
        </is>
      </c>
      <c r="F1214" s="0" t="inlineStr">
        <is>
          <t>NULL</t>
        </is>
      </c>
      <c r="G1214" s="0" t="inlineStr">
        <is>
          <t>NULL</t>
        </is>
      </c>
      <c r="H1214" s="0" t="inlineStr">
        <is>
          <t>NULL</t>
        </is>
      </c>
      <c r="I1214" s="0" t="inlineStr">
        <is>
          <t>YES!PK__info_uni__3213E83FE5A7EE64</t>
        </is>
      </c>
      <c r="J1214" s="0" t="inlineStr">
        <is>
          <t>YES! 主键相关索引</t>
        </is>
      </c>
      <c r="K1214" s="0" t="inlineStr">
        <is>
          <t xml:space="preserve"> NO!  	 id列源备映射错误，源端为int None位	期望更改为text	实际备端为int None位</t>
        </is>
      </c>
      <c r="EH1214" s="0" t="inlineStr">
        <is>
          <t>68行 8列，源：None 备：</t>
        </is>
      </c>
      <c r="ES1214" s="0" t="inlineStr">
        <is>
          <t>68行 14列，源：None 备：</t>
        </is>
      </c>
    </row>
    <row r="1215">
      <c r="B1215" s="0" t="inlineStr">
        <is>
          <t>NULL</t>
        </is>
      </c>
      <c r="C1215" s="0" t="inlineStr">
        <is>
          <t>NULL</t>
        </is>
      </c>
      <c r="D1215" s="0" t="inlineStr">
        <is>
          <t>NULL</t>
        </is>
      </c>
      <c r="E1215" s="0" t="inlineStr">
        <is>
          <t>NULL</t>
        </is>
      </c>
      <c r="F1215" s="0" t="inlineStr">
        <is>
          <t>NULL</t>
        </is>
      </c>
      <c r="G1215" s="0" t="inlineStr">
        <is>
          <t>NULL</t>
        </is>
      </c>
      <c r="H1215" s="0" t="inlineStr">
        <is>
          <t>NULL</t>
        </is>
      </c>
      <c r="I1215" s="0" t="inlineStr">
        <is>
          <t>NULL</t>
        </is>
      </c>
      <c r="J1215" s="0" t="inlineStr">
        <is>
          <t>NULL</t>
        </is>
      </c>
      <c r="K1215" s="0" t="inlineStr">
        <is>
          <t xml:space="preserve"> NO!  	 c_uniqueidentifier列源备映射错误，源端为uniqueidentifier None位	期望更改为text	实际备端为uniqueidentifier None位</t>
        </is>
      </c>
      <c r="EH1215" s="0" t="inlineStr">
        <is>
          <t>68行 9列，源：None 备：</t>
        </is>
      </c>
      <c r="ES1215" s="0" t="inlineStr">
        <is>
          <t>68行 15列，源：nan 备：</t>
        </is>
      </c>
    </row>
    <row r="1216">
      <c r="A1216" s="0" t="inlineStr">
        <is>
          <t>info_int_dml_batch1_pk_irp2</t>
        </is>
      </c>
      <c r="K1216" s="0" t="inlineStr">
        <is>
          <t>[0;34m info_int_dml_batch1_pk_irp2 [0m源备字段数相同，源端字段：20 	备端字段20</t>
        </is>
      </c>
      <c r="W1216" s="2">
        <f>HYPERLINK("#2026041905hbase4!EH2","NO 源备存在差异，共3312个")</f>
        <v/>
      </c>
      <c r="X1216" s="0">
        <f>A1216</f>
        <v/>
      </c>
      <c r="EH1216" s="0" t="inlineStr">
        <is>
          <t>68行 10列，源：None 备：</t>
        </is>
      </c>
      <c r="ES1216" s="0" t="inlineStr">
        <is>
          <t>68行 16列，源：nan 备：</t>
        </is>
      </c>
    </row>
    <row r="1217">
      <c r="B1217" s="0" t="inlineStr">
        <is>
          <t>YES</t>
        </is>
      </c>
      <c r="C1217" s="0" t="inlineStr">
        <is>
          <t>NULL</t>
        </is>
      </c>
      <c r="D1217" s="0" t="inlineStr">
        <is>
          <t>NULL</t>
        </is>
      </c>
      <c r="E1217" s="0" t="inlineStr">
        <is>
          <t>NULL</t>
        </is>
      </c>
      <c r="F1217" s="0" t="inlineStr">
        <is>
          <t>NULL</t>
        </is>
      </c>
      <c r="G1217" s="0" t="inlineStr">
        <is>
          <t>NULL</t>
        </is>
      </c>
      <c r="H1217" s="0" t="inlineStr">
        <is>
          <t>NULL</t>
        </is>
      </c>
      <c r="I1217" s="0" t="inlineStr">
        <is>
          <t>YES!PK__info_int__3213E83FB78BC635</t>
        </is>
      </c>
      <c r="J1217" s="0" t="inlineStr">
        <is>
          <t>YES! 主键相关索引</t>
        </is>
      </c>
      <c r="K1217" s="0" t="inlineStr">
        <is>
          <t xml:space="preserve"> NO!  	 id列源备映射错误，源端为int None位	期望更改为text	实际备端为int None位</t>
        </is>
      </c>
      <c r="EH1217" s="0" t="inlineStr">
        <is>
          <t>68行 11列，源：None 备：</t>
        </is>
      </c>
      <c r="ES1217" s="0" t="inlineStr">
        <is>
          <t>68行 17列，源：None 备：</t>
        </is>
      </c>
    </row>
    <row r="1218">
      <c r="B1218" s="0" t="inlineStr">
        <is>
          <t>NULL</t>
        </is>
      </c>
      <c r="C1218" s="0" t="inlineStr">
        <is>
          <t>NULL</t>
        </is>
      </c>
      <c r="D1218" s="0" t="inlineStr">
        <is>
          <t>NULL</t>
        </is>
      </c>
      <c r="E1218" s="0" t="inlineStr">
        <is>
          <t>NULL</t>
        </is>
      </c>
      <c r="F1218" s="0" t="inlineStr">
        <is>
          <t>NULL</t>
        </is>
      </c>
      <c r="G1218" s="0" t="inlineStr">
        <is>
          <t>NULL</t>
        </is>
      </c>
      <c r="H1218" s="0" t="inlineStr">
        <is>
          <t>NULL</t>
        </is>
      </c>
      <c r="I1218" s="0" t="inlineStr">
        <is>
          <t>NULL</t>
        </is>
      </c>
      <c r="J1218" s="0" t="inlineStr">
        <is>
          <t>NULL</t>
        </is>
      </c>
      <c r="K1218" s="0" t="inlineStr">
        <is>
          <t xml:space="preserve"> NO!  	 c_tinyint列源备映射错误，源端为tinyint None位	期望更改为text	实际备端为tinyint None位</t>
        </is>
      </c>
      <c r="EH1218" s="0" t="inlineStr">
        <is>
          <t>68行 12列，源：None 备：</t>
        </is>
      </c>
      <c r="ES1218" s="0" t="inlineStr">
        <is>
          <t>68行 18列，源：None 备：</t>
        </is>
      </c>
    </row>
    <row r="1219">
      <c r="B1219" s="0" t="inlineStr">
        <is>
          <t>NULL</t>
        </is>
      </c>
      <c r="C1219" s="0" t="inlineStr">
        <is>
          <t>NULL</t>
        </is>
      </c>
      <c r="D1219" s="0" t="inlineStr">
        <is>
          <t>NULL</t>
        </is>
      </c>
      <c r="E1219" s="0" t="inlineStr">
        <is>
          <t>NULL</t>
        </is>
      </c>
      <c r="F1219" s="0" t="inlineStr">
        <is>
          <t>NULL</t>
        </is>
      </c>
      <c r="G1219" s="0" t="inlineStr">
        <is>
          <t>NULL</t>
        </is>
      </c>
      <c r="H1219" s="0" t="inlineStr">
        <is>
          <t>NULL</t>
        </is>
      </c>
      <c r="I1219" s="0" t="inlineStr">
        <is>
          <t>NULL</t>
        </is>
      </c>
      <c r="J1219" s="0" t="inlineStr">
        <is>
          <t>NULL</t>
        </is>
      </c>
      <c r="K1219" s="0" t="inlineStr">
        <is>
          <t xml:space="preserve"> NO!  	 c_smallint列源备映射错误，源端为smallint None位	期望更改为text	实际备端为smallint None位</t>
        </is>
      </c>
      <c r="EH1219" s="0" t="inlineStr">
        <is>
          <t>68行 13列，源：None 备：</t>
        </is>
      </c>
      <c r="ES1219" s="0" t="inlineStr">
        <is>
          <t>68行 19列，源：None 备：</t>
        </is>
      </c>
    </row>
    <row r="1220">
      <c r="B1220" s="0" t="inlineStr">
        <is>
          <t>NULL</t>
        </is>
      </c>
      <c r="C1220" s="0" t="inlineStr">
        <is>
          <t>NULL</t>
        </is>
      </c>
      <c r="D1220" s="0" t="inlineStr">
        <is>
          <t>NULL</t>
        </is>
      </c>
      <c r="E1220" s="0" t="inlineStr">
        <is>
          <t>NULL</t>
        </is>
      </c>
      <c r="F1220" s="0" t="inlineStr">
        <is>
          <t>NULL</t>
        </is>
      </c>
      <c r="G1220" s="0" t="inlineStr">
        <is>
          <t>NULL</t>
        </is>
      </c>
      <c r="H1220" s="0" t="inlineStr">
        <is>
          <t>NULL</t>
        </is>
      </c>
      <c r="I1220" s="0" t="inlineStr">
        <is>
          <t>NULL</t>
        </is>
      </c>
      <c r="J1220" s="0" t="inlineStr">
        <is>
          <t>NULL</t>
        </is>
      </c>
      <c r="K1220" s="0" t="inlineStr">
        <is>
          <t xml:space="preserve"> NO!  	 c_int列源备映射错误，源端为int None位	期望更改为text	实际备端为int None位</t>
        </is>
      </c>
      <c r="EH1220" s="0" t="inlineStr">
        <is>
          <t>68行 14列，源：None 备：</t>
        </is>
      </c>
      <c r="ES1220" s="0" t="inlineStr">
        <is>
          <t>69行 0列，源：210 备：57</t>
        </is>
      </c>
    </row>
    <row r="1221">
      <c r="B1221" s="0" t="inlineStr">
        <is>
          <t>NULL</t>
        </is>
      </c>
      <c r="C1221" s="0" t="inlineStr">
        <is>
          <t>NULL</t>
        </is>
      </c>
      <c r="D1221" s="0" t="inlineStr">
        <is>
          <t>NULL</t>
        </is>
      </c>
      <c r="E1221" s="0" t="inlineStr">
        <is>
          <t>NULL</t>
        </is>
      </c>
      <c r="F1221" s="0" t="inlineStr">
        <is>
          <t>NULL</t>
        </is>
      </c>
      <c r="G1221" s="0" t="inlineStr">
        <is>
          <t>NULL</t>
        </is>
      </c>
      <c r="H1221" s="0" t="inlineStr">
        <is>
          <t>NULL</t>
        </is>
      </c>
      <c r="I1221" s="0" t="inlineStr">
        <is>
          <t>NULL</t>
        </is>
      </c>
      <c r="J1221" s="0" t="inlineStr">
        <is>
          <t>NULL</t>
        </is>
      </c>
      <c r="K1221" s="0" t="inlineStr">
        <is>
          <t xml:space="preserve"> NO!  	 c_bigint列源备映射错误，源端为bigint None位	期望更改为text	实际备端为bigint None位</t>
        </is>
      </c>
      <c r="EH1221" s="0" t="inlineStr">
        <is>
          <t>68行 15列，源：nan 备：123456789000000002003480098325095514112.0000000000000</t>
        </is>
      </c>
      <c r="ES1221" s="0" t="inlineStr">
        <is>
          <t>69行 1列，源：nan 备：255</t>
        </is>
      </c>
    </row>
    <row r="1222">
      <c r="B1222" s="0" t="inlineStr">
        <is>
          <t>NULL</t>
        </is>
      </c>
      <c r="C1222" s="0" t="inlineStr">
        <is>
          <t>NULL</t>
        </is>
      </c>
      <c r="D1222" s="0" t="inlineStr">
        <is>
          <t>NULL</t>
        </is>
      </c>
      <c r="E1222" s="0" t="inlineStr">
        <is>
          <t>NULL</t>
        </is>
      </c>
      <c r="F1222" s="0" t="inlineStr">
        <is>
          <t>NULL</t>
        </is>
      </c>
      <c r="G1222" s="0" t="inlineStr">
        <is>
          <t>NULL</t>
        </is>
      </c>
      <c r="H1222" s="0" t="inlineStr">
        <is>
          <t>NULL</t>
        </is>
      </c>
      <c r="I1222" s="0" t="inlineStr">
        <is>
          <t>NULL</t>
        </is>
      </c>
      <c r="J1222" s="0" t="inlineStr">
        <is>
          <t>NULL</t>
        </is>
      </c>
      <c r="K1222" s="0" t="inlineStr">
        <is>
          <t xml:space="preserve"> NO!  	 c_decimal列源备映射错误，源端为decimal None位	期望更改为text	实际备端为decimal None位</t>
        </is>
      </c>
      <c r="EH1222" s="0" t="inlineStr">
        <is>
          <t>68行 16列，源：nan 备：340282306073709652508363335590014353408.000000</t>
        </is>
      </c>
      <c r="ES1222" s="0" t="inlineStr">
        <is>
          <t>69行 2列，源：nan 备：32767</t>
        </is>
      </c>
    </row>
    <row r="1223">
      <c r="B1223" s="0" t="inlineStr">
        <is>
          <t>NULL</t>
        </is>
      </c>
      <c r="C1223" s="0" t="inlineStr">
        <is>
          <t>NULL</t>
        </is>
      </c>
      <c r="D1223" s="0" t="inlineStr">
        <is>
          <t>NULL</t>
        </is>
      </c>
      <c r="E1223" s="0" t="inlineStr">
        <is>
          <t>NULL</t>
        </is>
      </c>
      <c r="F1223" s="0" t="inlineStr">
        <is>
          <t>NULL</t>
        </is>
      </c>
      <c r="G1223" s="0" t="inlineStr">
        <is>
          <t>NULL</t>
        </is>
      </c>
      <c r="H1223" s="0" t="inlineStr">
        <is>
          <t>NULL</t>
        </is>
      </c>
      <c r="I1223" s="0" t="inlineStr">
        <is>
          <t>NULL</t>
        </is>
      </c>
      <c r="J1223" s="0" t="inlineStr">
        <is>
          <t>NULL</t>
        </is>
      </c>
      <c r="K1223" s="0" t="inlineStr">
        <is>
          <t xml:space="preserve"> NO!  	 c_decimal38列源备映射错误，源端为decimal None位	期望更改为text	实际备端为decimal None位</t>
        </is>
      </c>
      <c r="EH1223" s="0" t="inlineStr">
        <is>
          <t>68行 17列，源：None 备：123456.7890</t>
        </is>
      </c>
      <c r="ES1223" s="0" t="inlineStr">
        <is>
          <t>69行 3列，源：nan 备：2147483647</t>
        </is>
      </c>
    </row>
    <row r="1224">
      <c r="B1224" s="0" t="inlineStr">
        <is>
          <t>NULL</t>
        </is>
      </c>
      <c r="C1224" s="0" t="inlineStr">
        <is>
          <t>NULL</t>
        </is>
      </c>
      <c r="D1224" s="0" t="inlineStr">
        <is>
          <t>NULL</t>
        </is>
      </c>
      <c r="E1224" s="0" t="inlineStr">
        <is>
          <t>NULL</t>
        </is>
      </c>
      <c r="F1224" s="0" t="inlineStr">
        <is>
          <t>NULL</t>
        </is>
      </c>
      <c r="G1224" s="0" t="inlineStr">
        <is>
          <t>NULL</t>
        </is>
      </c>
      <c r="H1224" s="0" t="inlineStr">
        <is>
          <t>NULL</t>
        </is>
      </c>
      <c r="I1224" s="0" t="inlineStr">
        <is>
          <t>NULL</t>
        </is>
      </c>
      <c r="J1224" s="0" t="inlineStr">
        <is>
          <t>NULL</t>
        </is>
      </c>
      <c r="K1224" s="0" t="inlineStr">
        <is>
          <t xml:space="preserve"> NO!  	 c_decimal38_38列源备映射错误，源端为decimal None位	期望更改为text	实际备端为decimal None位</t>
        </is>
      </c>
      <c r="EH1224" s="0" t="inlineStr">
        <is>
          <t>68行 18列，源：None 备：1234.5678</t>
        </is>
      </c>
      <c r="ES1224" s="0" t="inlineStr">
        <is>
          <t>69行 4列，源：nan 备：9223372036854775807</t>
        </is>
      </c>
    </row>
    <row r="1225">
      <c r="B1225" s="0" t="inlineStr">
        <is>
          <t>NULL</t>
        </is>
      </c>
      <c r="C1225" s="0" t="inlineStr">
        <is>
          <t>NULL</t>
        </is>
      </c>
      <c r="D1225" s="0" t="inlineStr">
        <is>
          <t>NULL</t>
        </is>
      </c>
      <c r="E1225" s="0" t="inlineStr">
        <is>
          <t>NULL</t>
        </is>
      </c>
      <c r="F1225" s="0" t="inlineStr">
        <is>
          <t>NULL</t>
        </is>
      </c>
      <c r="G1225" s="0" t="inlineStr">
        <is>
          <t>NULL</t>
        </is>
      </c>
      <c r="H1225" s="0" t="inlineStr">
        <is>
          <t>NULL</t>
        </is>
      </c>
      <c r="I1225" s="0" t="inlineStr">
        <is>
          <t>NULL</t>
        </is>
      </c>
      <c r="J1225" s="0" t="inlineStr">
        <is>
          <t>NULL</t>
        </is>
      </c>
      <c r="K1225" s="0" t="inlineStr">
        <is>
          <t xml:space="preserve"> NO!  	 c_decimal38_10列源备映射错误，源端为decimal None位	期望更改为text	实际备端为decimal None位</t>
        </is>
      </c>
      <c r="EH1225" s="0" t="inlineStr">
        <is>
          <t>68行 19列，源：None 备：1</t>
        </is>
      </c>
      <c r="ES1225" s="0" t="inlineStr">
        <is>
          <t>69行 5列，源：None 备：</t>
        </is>
      </c>
    </row>
    <row r="1226">
      <c r="B1226" s="0" t="inlineStr">
        <is>
          <t>NULL</t>
        </is>
      </c>
      <c r="C1226" s="0" t="inlineStr">
        <is>
          <t>NULL</t>
        </is>
      </c>
      <c r="D1226" s="0" t="inlineStr">
        <is>
          <t>NULL</t>
        </is>
      </c>
      <c r="E1226" s="0" t="inlineStr">
        <is>
          <t>NULL</t>
        </is>
      </c>
      <c r="F1226" s="0" t="inlineStr">
        <is>
          <t>NULL</t>
        </is>
      </c>
      <c r="G1226" s="0" t="inlineStr">
        <is>
          <t>NULL</t>
        </is>
      </c>
      <c r="H1226" s="0" t="inlineStr">
        <is>
          <t>NULL</t>
        </is>
      </c>
      <c r="I1226" s="0" t="inlineStr">
        <is>
          <t>NULL</t>
        </is>
      </c>
      <c r="J1226" s="0" t="inlineStr">
        <is>
          <t>NULL</t>
        </is>
      </c>
      <c r="K1226" s="0" t="inlineStr">
        <is>
          <t xml:space="preserve"> NO!  	 c_decimal19_4列源备映射错误，源端为decimal None位	期望更改为text	实际备端为decimal None位</t>
        </is>
      </c>
      <c r="EH1226" s="0" t="inlineStr">
        <is>
          <t>69行 0列，源：160 备：217</t>
        </is>
      </c>
      <c r="ES1226" s="0" t="inlineStr">
        <is>
          <t>69行 6列，源：None 备：</t>
        </is>
      </c>
    </row>
    <row r="1227">
      <c r="B1227" s="0" t="inlineStr">
        <is>
          <t>NULL</t>
        </is>
      </c>
      <c r="C1227" s="0" t="inlineStr">
        <is>
          <t>NULL</t>
        </is>
      </c>
      <c r="D1227" s="0" t="inlineStr">
        <is>
          <t>NULL</t>
        </is>
      </c>
      <c r="E1227" s="0" t="inlineStr">
        <is>
          <t>NULL</t>
        </is>
      </c>
      <c r="F1227" s="0" t="inlineStr">
        <is>
          <t>NULL</t>
        </is>
      </c>
      <c r="G1227" s="0" t="inlineStr">
        <is>
          <t>NULL</t>
        </is>
      </c>
      <c r="H1227" s="0" t="inlineStr">
        <is>
          <t>NULL</t>
        </is>
      </c>
      <c r="I1227" s="0" t="inlineStr">
        <is>
          <t>NULL</t>
        </is>
      </c>
      <c r="J1227" s="0" t="inlineStr">
        <is>
          <t>NULL</t>
        </is>
      </c>
      <c r="K1227" s="0" t="inlineStr">
        <is>
          <t xml:space="preserve"> NO!  	 c_numeric列源备映射错误，源端为numeric None位	期望更改为text	实际备端为numeric None位</t>
        </is>
      </c>
      <c r="EH1227" s="0" t="inlineStr">
        <is>
          <t>69行 1列，源：nan 备：</t>
        </is>
      </c>
      <c r="ES1227" s="0" t="inlineStr">
        <is>
          <t>69行 7列，源：None 备：</t>
        </is>
      </c>
    </row>
    <row r="1228">
      <c r="B1228" s="0" t="inlineStr">
        <is>
          <t>NULL</t>
        </is>
      </c>
      <c r="C1228" s="0" t="inlineStr">
        <is>
          <t>NULL</t>
        </is>
      </c>
      <c r="D1228" s="0" t="inlineStr">
        <is>
          <t>NULL</t>
        </is>
      </c>
      <c r="E1228" s="0" t="inlineStr">
        <is>
          <t>NULL</t>
        </is>
      </c>
      <c r="F1228" s="0" t="inlineStr">
        <is>
          <t>NULL</t>
        </is>
      </c>
      <c r="G1228" s="0" t="inlineStr">
        <is>
          <t>NULL</t>
        </is>
      </c>
      <c r="H1228" s="0" t="inlineStr">
        <is>
          <t>NULL</t>
        </is>
      </c>
      <c r="I1228" s="0" t="inlineStr">
        <is>
          <t>NULL</t>
        </is>
      </c>
      <c r="J1228" s="0" t="inlineStr">
        <is>
          <t>NULL</t>
        </is>
      </c>
      <c r="K1228" s="0" t="inlineStr">
        <is>
          <t xml:space="preserve"> NO!  	 c_numeric38列源备映射错误，源端为numeric None位	期望更改为text	实际备端为numeric None位</t>
        </is>
      </c>
      <c r="EH1228" s="0" t="inlineStr">
        <is>
          <t>69行 2列，源：nan 备：</t>
        </is>
      </c>
      <c r="ES1228" s="0" t="inlineStr">
        <is>
          <t>69行 8列，源：None 备：</t>
        </is>
      </c>
    </row>
    <row r="1229">
      <c r="B1229" s="0" t="inlineStr">
        <is>
          <t>NULL</t>
        </is>
      </c>
      <c r="C1229" s="0" t="inlineStr">
        <is>
          <t>NULL</t>
        </is>
      </c>
      <c r="D1229" s="0" t="inlineStr">
        <is>
          <t>NULL</t>
        </is>
      </c>
      <c r="E1229" s="0" t="inlineStr">
        <is>
          <t>NULL</t>
        </is>
      </c>
      <c r="F1229" s="0" t="inlineStr">
        <is>
          <t>NULL</t>
        </is>
      </c>
      <c r="G1229" s="0" t="inlineStr">
        <is>
          <t>NULL</t>
        </is>
      </c>
      <c r="H1229" s="0" t="inlineStr">
        <is>
          <t>NULL</t>
        </is>
      </c>
      <c r="I1229" s="0" t="inlineStr">
        <is>
          <t>NULL</t>
        </is>
      </c>
      <c r="J1229" s="0" t="inlineStr">
        <is>
          <t>NULL</t>
        </is>
      </c>
      <c r="K1229" s="0" t="inlineStr">
        <is>
          <t xml:space="preserve"> NO!  	 c_numeric38_38列源备映射错误，源端为numeric None位	期望更改为text	实际备端为numeric None位</t>
        </is>
      </c>
      <c r="EH1229" s="0" t="inlineStr">
        <is>
          <t>69行 3列，源：nan 备：</t>
        </is>
      </c>
      <c r="ES1229" s="0" t="inlineStr">
        <is>
          <t>69行 9列，源：None 备：</t>
        </is>
      </c>
    </row>
    <row r="1230">
      <c r="B1230" s="0" t="inlineStr">
        <is>
          <t>NULL</t>
        </is>
      </c>
      <c r="C1230" s="0" t="inlineStr">
        <is>
          <t>NULL</t>
        </is>
      </c>
      <c r="D1230" s="0" t="inlineStr">
        <is>
          <t>NULL</t>
        </is>
      </c>
      <c r="E1230" s="0" t="inlineStr">
        <is>
          <t>NULL</t>
        </is>
      </c>
      <c r="F1230" s="0" t="inlineStr">
        <is>
          <t>NULL</t>
        </is>
      </c>
      <c r="G1230" s="0" t="inlineStr">
        <is>
          <t>NULL</t>
        </is>
      </c>
      <c r="H1230" s="0" t="inlineStr">
        <is>
          <t>NULL</t>
        </is>
      </c>
      <c r="I1230" s="0" t="inlineStr">
        <is>
          <t>NULL</t>
        </is>
      </c>
      <c r="J1230" s="0" t="inlineStr">
        <is>
          <t>NULL</t>
        </is>
      </c>
      <c r="K1230" s="0" t="inlineStr">
        <is>
          <t xml:space="preserve"> NO!  	 c_numeric38_10列源备映射错误，源端为numeric None位	期望更改为text	实际备端为numeric None位</t>
        </is>
      </c>
      <c r="EH1230" s="0" t="inlineStr">
        <is>
          <t>69行 4列，源：nan 备：</t>
        </is>
      </c>
      <c r="ES1230" s="0" t="inlineStr">
        <is>
          <t>69行 10列，源：None 备：</t>
        </is>
      </c>
    </row>
    <row r="1231">
      <c r="B1231" s="0" t="inlineStr">
        <is>
          <t>NULL</t>
        </is>
      </c>
      <c r="C1231" s="0" t="inlineStr">
        <is>
          <t>NULL</t>
        </is>
      </c>
      <c r="D1231" s="0" t="inlineStr">
        <is>
          <t>NULL</t>
        </is>
      </c>
      <c r="E1231" s="0" t="inlineStr">
        <is>
          <t>NULL</t>
        </is>
      </c>
      <c r="F1231" s="0" t="inlineStr">
        <is>
          <t>NULL</t>
        </is>
      </c>
      <c r="G1231" s="0" t="inlineStr">
        <is>
          <t>NULL</t>
        </is>
      </c>
      <c r="H1231" s="0" t="inlineStr">
        <is>
          <t>NULL</t>
        </is>
      </c>
      <c r="I1231" s="0" t="inlineStr">
        <is>
          <t>NULL</t>
        </is>
      </c>
      <c r="J1231" s="0" t="inlineStr">
        <is>
          <t>NULL</t>
        </is>
      </c>
      <c r="K1231" s="0" t="inlineStr">
        <is>
          <t xml:space="preserve"> NO!  	 c_numeric18_2列源备映射错误，源端为numeric None位	期望更改为text	实际备端为numeric None位</t>
        </is>
      </c>
      <c r="EH1231" s="0" t="inlineStr">
        <is>
          <t>69行 5列，源：None 备：</t>
        </is>
      </c>
      <c r="ES1231" s="0" t="inlineStr">
        <is>
          <t>69行 11列，源：None 备：</t>
        </is>
      </c>
    </row>
    <row r="1232">
      <c r="B1232" s="0" t="inlineStr">
        <is>
          <t>NULL</t>
        </is>
      </c>
      <c r="C1232" s="0" t="inlineStr">
        <is>
          <t>NULL</t>
        </is>
      </c>
      <c r="D1232" s="0" t="inlineStr">
        <is>
          <t>NULL</t>
        </is>
      </c>
      <c r="E1232" s="0" t="inlineStr">
        <is>
          <t>NULL</t>
        </is>
      </c>
      <c r="F1232" s="0" t="inlineStr">
        <is>
          <t>NULL</t>
        </is>
      </c>
      <c r="G1232" s="0" t="inlineStr">
        <is>
          <t>NULL</t>
        </is>
      </c>
      <c r="H1232" s="0" t="inlineStr">
        <is>
          <t>NULL</t>
        </is>
      </c>
      <c r="I1232" s="0" t="inlineStr">
        <is>
          <t>NULL</t>
        </is>
      </c>
      <c r="J1232" s="0" t="inlineStr">
        <is>
          <t>NULL</t>
        </is>
      </c>
      <c r="K1232" s="0" t="inlineStr">
        <is>
          <t xml:space="preserve"> NO!  	 c_float列源备映射错误，源端为float None位	期望更改为text	实际备端为float None位</t>
        </is>
      </c>
      <c r="EH1232" s="0" t="inlineStr">
        <is>
          <t>69行 6列，源：None 备：</t>
        </is>
      </c>
      <c r="ES1232" s="0" t="inlineStr">
        <is>
          <t>69行 12列，源：None 备：</t>
        </is>
      </c>
    </row>
    <row r="1233">
      <c r="B1233" s="0" t="inlineStr">
        <is>
          <t>NULL</t>
        </is>
      </c>
      <c r="C1233" s="0" t="inlineStr">
        <is>
          <t>NULL</t>
        </is>
      </c>
      <c r="D1233" s="0" t="inlineStr">
        <is>
          <t>NULL</t>
        </is>
      </c>
      <c r="E1233" s="0" t="inlineStr">
        <is>
          <t>NULL</t>
        </is>
      </c>
      <c r="F1233" s="0" t="inlineStr">
        <is>
          <t>NULL</t>
        </is>
      </c>
      <c r="G1233" s="0" t="inlineStr">
        <is>
          <t>NULL</t>
        </is>
      </c>
      <c r="H1233" s="0" t="inlineStr">
        <is>
          <t>NULL</t>
        </is>
      </c>
      <c r="I1233" s="0" t="inlineStr">
        <is>
          <t>NULL</t>
        </is>
      </c>
      <c r="J1233" s="0" t="inlineStr">
        <is>
          <t>NULL</t>
        </is>
      </c>
      <c r="K1233" s="0" t="inlineStr">
        <is>
          <t xml:space="preserve"> NO!  	 c_real列源备映射错误，源端为real None位	期望更改为text	实际备端为real None位</t>
        </is>
      </c>
      <c r="EH1233" s="0" t="inlineStr">
        <is>
          <t>69行 7列，源：None 备：</t>
        </is>
      </c>
      <c r="ES1233" s="0" t="inlineStr">
        <is>
          <t>69行 13列，源：None 备：</t>
        </is>
      </c>
    </row>
    <row r="1234">
      <c r="B1234" s="0" t="inlineStr">
        <is>
          <t>NULL</t>
        </is>
      </c>
      <c r="C1234" s="0" t="inlineStr">
        <is>
          <t>NULL</t>
        </is>
      </c>
      <c r="D1234" s="0" t="inlineStr">
        <is>
          <t>NULL</t>
        </is>
      </c>
      <c r="E1234" s="0" t="inlineStr">
        <is>
          <t>NULL</t>
        </is>
      </c>
      <c r="F1234" s="0" t="inlineStr">
        <is>
          <t>NULL</t>
        </is>
      </c>
      <c r="G1234" s="0" t="inlineStr">
        <is>
          <t>NULL</t>
        </is>
      </c>
      <c r="H1234" s="0" t="inlineStr">
        <is>
          <t>NULL</t>
        </is>
      </c>
      <c r="I1234" s="0" t="inlineStr">
        <is>
          <t>NULL</t>
        </is>
      </c>
      <c r="J1234" s="0" t="inlineStr">
        <is>
          <t>NULL</t>
        </is>
      </c>
      <c r="K1234" s="0" t="inlineStr">
        <is>
          <t xml:space="preserve"> NO!  	 c_money列源备映射错误，源端为money None位	期望更改为text	实际备端为money None位</t>
        </is>
      </c>
      <c r="EH1234" s="0" t="inlineStr">
        <is>
          <t>69行 8列，源：None 备：</t>
        </is>
      </c>
      <c r="ES1234" s="0" t="inlineStr">
        <is>
          <t>69行 14列，源：None 备：</t>
        </is>
      </c>
    </row>
    <row r="1235">
      <c r="B1235" s="0" t="inlineStr">
        <is>
          <t>NULL</t>
        </is>
      </c>
      <c r="C1235" s="0" t="inlineStr">
        <is>
          <t>NULL</t>
        </is>
      </c>
      <c r="D1235" s="0" t="inlineStr">
        <is>
          <t>NULL</t>
        </is>
      </c>
      <c r="E1235" s="0" t="inlineStr">
        <is>
          <t>NULL</t>
        </is>
      </c>
      <c r="F1235" s="0" t="inlineStr">
        <is>
          <t>NULL</t>
        </is>
      </c>
      <c r="G1235" s="0" t="inlineStr">
        <is>
          <t>NULL</t>
        </is>
      </c>
      <c r="H1235" s="0" t="inlineStr">
        <is>
          <t>NULL</t>
        </is>
      </c>
      <c r="I1235" s="0" t="inlineStr">
        <is>
          <t>NULL</t>
        </is>
      </c>
      <c r="J1235" s="0" t="inlineStr">
        <is>
          <t>NULL</t>
        </is>
      </c>
      <c r="K1235" s="0" t="inlineStr">
        <is>
          <t xml:space="preserve"> NO!  	 c_smallmoney列源备映射错误，源端为smallmoney None位	期望更改为text	实际备端为smallmoney None位</t>
        </is>
      </c>
      <c r="EH1235" s="0" t="inlineStr">
        <is>
          <t>69行 9列，源：None 备：</t>
        </is>
      </c>
      <c r="ES1235" s="0" t="inlineStr">
        <is>
          <t>69行 15列，源：nan 备：</t>
        </is>
      </c>
    </row>
    <row r="1236">
      <c r="B1236" s="0" t="inlineStr">
        <is>
          <t>NULL</t>
        </is>
      </c>
      <c r="C1236" s="0" t="inlineStr">
        <is>
          <t>NULL</t>
        </is>
      </c>
      <c r="D1236" s="0" t="inlineStr">
        <is>
          <t>NULL</t>
        </is>
      </c>
      <c r="E1236" s="0" t="inlineStr">
        <is>
          <t>NULL</t>
        </is>
      </c>
      <c r="F1236" s="0" t="inlineStr">
        <is>
          <t>NULL</t>
        </is>
      </c>
      <c r="G1236" s="0" t="inlineStr">
        <is>
          <t>NULL</t>
        </is>
      </c>
      <c r="H1236" s="0" t="inlineStr">
        <is>
          <t>NULL</t>
        </is>
      </c>
      <c r="I1236" s="0" t="inlineStr">
        <is>
          <t>NULL</t>
        </is>
      </c>
      <c r="J1236" s="0" t="inlineStr">
        <is>
          <t>NULL</t>
        </is>
      </c>
      <c r="K1236" s="0" t="inlineStr">
        <is>
          <t xml:space="preserve"> NO!  	 c_bit列源备映射错误，源端为bit None位	期望更改为text	实际备端为bit None位</t>
        </is>
      </c>
      <c r="EH1236" s="0" t="inlineStr">
        <is>
          <t>69行 10列，源：None 备：</t>
        </is>
      </c>
      <c r="ES1236" s="0" t="inlineStr">
        <is>
          <t>69行 16列，源：nan 备：</t>
        </is>
      </c>
    </row>
    <row r="1237">
      <c r="A1237" s="0" t="inlineStr">
        <is>
          <t>info_time_dml_batch1_pk_drp1</t>
        </is>
      </c>
      <c r="K1237" s="0" t="inlineStr">
        <is>
          <t>[0;34m info_time_dml_batch1_pk_drp1 [0m源备字段数相同，源端字段：9 	备端字段9</t>
        </is>
      </c>
      <c r="W1237" s="0" t="inlineStr">
        <is>
          <t>YES 源备无差异</t>
        </is>
      </c>
      <c r="X1237" s="0">
        <f>A1237</f>
        <v/>
      </c>
      <c r="EH1237" s="0" t="inlineStr">
        <is>
          <t>69行 11列，源：None 备：</t>
        </is>
      </c>
      <c r="ES1237" s="0" t="inlineStr">
        <is>
          <t>69行 17列，源：None 备：</t>
        </is>
      </c>
    </row>
    <row r="1238">
      <c r="B1238" s="0" t="inlineStr">
        <is>
          <t>YES</t>
        </is>
      </c>
      <c r="C1238" s="0" t="inlineStr">
        <is>
          <t>NULL</t>
        </is>
      </c>
      <c r="D1238" s="0" t="inlineStr">
        <is>
          <t>NULL</t>
        </is>
      </c>
      <c r="E1238" s="0" t="inlineStr">
        <is>
          <t>NULL</t>
        </is>
      </c>
      <c r="F1238" s="0" t="inlineStr">
        <is>
          <t>NULL</t>
        </is>
      </c>
      <c r="G1238" s="0" t="inlineStr">
        <is>
          <t>NULL</t>
        </is>
      </c>
      <c r="H1238" s="0" t="inlineStr">
        <is>
          <t>NULL</t>
        </is>
      </c>
      <c r="I1238" s="0" t="inlineStr">
        <is>
          <t>YES!PK__info_tim__3213E83F7673C9A0</t>
        </is>
      </c>
      <c r="J1238" s="0" t="inlineStr">
        <is>
          <t>YES! 主键相关索引</t>
        </is>
      </c>
      <c r="K1238" s="0" t="inlineStr">
        <is>
          <t xml:space="preserve"> NO!  	 id列源备映射错误，源端为int None位	期望更改为text	实际备端为int None位</t>
        </is>
      </c>
      <c r="EH1238" s="0" t="inlineStr">
        <is>
          <t>69行 12列，源：None 备：</t>
        </is>
      </c>
      <c r="ES1238" s="0" t="inlineStr">
        <is>
          <t>69行 18列，源：None 备：</t>
        </is>
      </c>
    </row>
    <row r="1239">
      <c r="B1239" s="0" t="inlineStr">
        <is>
          <t>NULL</t>
        </is>
      </c>
      <c r="C1239" s="0" t="inlineStr">
        <is>
          <t>NULL</t>
        </is>
      </c>
      <c r="D1239" s="0" t="inlineStr">
        <is>
          <t>NULL</t>
        </is>
      </c>
      <c r="E1239" s="0" t="inlineStr">
        <is>
          <t>NULL</t>
        </is>
      </c>
      <c r="F1239" s="0" t="inlineStr">
        <is>
          <t>NULL</t>
        </is>
      </c>
      <c r="G1239" s="0" t="inlineStr">
        <is>
          <t>NULL</t>
        </is>
      </c>
      <c r="H1239" s="0" t="inlineStr">
        <is>
          <t>NULL</t>
        </is>
      </c>
      <c r="I1239" s="0" t="inlineStr">
        <is>
          <t>NULL</t>
        </is>
      </c>
      <c r="J1239" s="0" t="inlineStr">
        <is>
          <t>NULL</t>
        </is>
      </c>
      <c r="K1239" s="0" t="inlineStr">
        <is>
          <t xml:space="preserve"> NO!  	 c_time0列源备映射错误，源端为time None位	期望更改为text	实际备端为time None位</t>
        </is>
      </c>
      <c r="EH1239" s="0" t="inlineStr">
        <is>
          <t>69行 13列，源：None 备：</t>
        </is>
      </c>
      <c r="ES1239" s="0" t="inlineStr">
        <is>
          <t>69行 19列，源：None 备：</t>
        </is>
      </c>
    </row>
    <row r="1240">
      <c r="B1240" s="0" t="inlineStr">
        <is>
          <t>NULL</t>
        </is>
      </c>
      <c r="C1240" s="0" t="inlineStr">
        <is>
          <t>NULL</t>
        </is>
      </c>
      <c r="D1240" s="0" t="inlineStr">
        <is>
          <t>NULL</t>
        </is>
      </c>
      <c r="E1240" s="0" t="inlineStr">
        <is>
          <t>NULL</t>
        </is>
      </c>
      <c r="F1240" s="0" t="inlineStr">
        <is>
          <t>NULL</t>
        </is>
      </c>
      <c r="G1240" s="0" t="inlineStr">
        <is>
          <t>NULL</t>
        </is>
      </c>
      <c r="H1240" s="0" t="inlineStr">
        <is>
          <t>NULL</t>
        </is>
      </c>
      <c r="I1240" s="0" t="inlineStr">
        <is>
          <t>NULL</t>
        </is>
      </c>
      <c r="J1240" s="0" t="inlineStr">
        <is>
          <t>NULL</t>
        </is>
      </c>
      <c r="K1240" s="0" t="inlineStr">
        <is>
          <t xml:space="preserve"> NO!  	 c_time1列源备映射错误，源端为time None位	期望更改为text	实际备端为time None位</t>
        </is>
      </c>
      <c r="EH1240" s="0" t="inlineStr">
        <is>
          <t>69行 14列，源：None 备：</t>
        </is>
      </c>
      <c r="ES1240" s="0" t="inlineStr">
        <is>
          <t>70行 0列，源：211 备：58</t>
        </is>
      </c>
    </row>
    <row r="1241">
      <c r="B1241" s="0" t="inlineStr">
        <is>
          <t>NULL</t>
        </is>
      </c>
      <c r="C1241" s="0" t="inlineStr">
        <is>
          <t>NULL</t>
        </is>
      </c>
      <c r="D1241" s="0" t="inlineStr">
        <is>
          <t>NULL</t>
        </is>
      </c>
      <c r="E1241" s="0" t="inlineStr">
        <is>
          <t>NULL</t>
        </is>
      </c>
      <c r="F1241" s="0" t="inlineStr">
        <is>
          <t>NULL</t>
        </is>
      </c>
      <c r="G1241" s="0" t="inlineStr">
        <is>
          <t>NULL</t>
        </is>
      </c>
      <c r="H1241" s="0" t="inlineStr">
        <is>
          <t>NULL</t>
        </is>
      </c>
      <c r="I1241" s="0" t="inlineStr">
        <is>
          <t>NULL</t>
        </is>
      </c>
      <c r="J1241" s="0" t="inlineStr">
        <is>
          <t>NULL</t>
        </is>
      </c>
      <c r="K1241" s="0" t="inlineStr">
        <is>
          <t xml:space="preserve"> NO!  	 c_time2列源备映射错误，源端为time None位	期望更改为text	实际备端为time None位</t>
        </is>
      </c>
      <c r="EH1241" s="0" t="inlineStr">
        <is>
          <t>69行 15列，源：nan 备：-123456789000000002003480098325095514112.0000000000000</t>
        </is>
      </c>
      <c r="ES1241" s="0" t="inlineStr">
        <is>
          <t>70行 1列，源：nan 备：0</t>
        </is>
      </c>
    </row>
    <row r="1242">
      <c r="B1242" s="0" t="inlineStr">
        <is>
          <t>NULL</t>
        </is>
      </c>
      <c r="C1242" s="0" t="inlineStr">
        <is>
          <t>NULL</t>
        </is>
      </c>
      <c r="D1242" s="0" t="inlineStr">
        <is>
          <t>NULL</t>
        </is>
      </c>
      <c r="E1242" s="0" t="inlineStr">
        <is>
          <t>NULL</t>
        </is>
      </c>
      <c r="F1242" s="0" t="inlineStr">
        <is>
          <t>NULL</t>
        </is>
      </c>
      <c r="G1242" s="0" t="inlineStr">
        <is>
          <t>NULL</t>
        </is>
      </c>
      <c r="H1242" s="0" t="inlineStr">
        <is>
          <t>NULL</t>
        </is>
      </c>
      <c r="I1242" s="0" t="inlineStr">
        <is>
          <t>NULL</t>
        </is>
      </c>
      <c r="J1242" s="0" t="inlineStr">
        <is>
          <t>NULL</t>
        </is>
      </c>
      <c r="K1242" s="0" t="inlineStr">
        <is>
          <t xml:space="preserve"> NO!  	 c_time3列源备映射错误，源端为time None位	期望更改为text	实际备端为time None位</t>
        </is>
      </c>
      <c r="EH1242" s="0" t="inlineStr">
        <is>
          <t>69行 16列，源：nan 备：-340282306073709652508363335590014353408.000000</t>
        </is>
      </c>
      <c r="ES1242" s="0" t="inlineStr">
        <is>
          <t>70行 2列，源：nan 备：-32768</t>
        </is>
      </c>
    </row>
    <row r="1243">
      <c r="B1243" s="0" t="inlineStr">
        <is>
          <t>NULL</t>
        </is>
      </c>
      <c r="C1243" s="0" t="inlineStr">
        <is>
          <t>NULL</t>
        </is>
      </c>
      <c r="D1243" s="0" t="inlineStr">
        <is>
          <t>NULL</t>
        </is>
      </c>
      <c r="E1243" s="0" t="inlineStr">
        <is>
          <t>NULL</t>
        </is>
      </c>
      <c r="F1243" s="0" t="inlineStr">
        <is>
          <t>NULL</t>
        </is>
      </c>
      <c r="G1243" s="0" t="inlineStr">
        <is>
          <t>NULL</t>
        </is>
      </c>
      <c r="H1243" s="0" t="inlineStr">
        <is>
          <t>NULL</t>
        </is>
      </c>
      <c r="I1243" s="0" t="inlineStr">
        <is>
          <t>NULL</t>
        </is>
      </c>
      <c r="J1243" s="0" t="inlineStr">
        <is>
          <t>NULL</t>
        </is>
      </c>
      <c r="K1243" s="0" t="inlineStr">
        <is>
          <t xml:space="preserve"> NO!  	 c_time4列源备映射错误，源端为time None位	期望更改为text	实际备端为time None位</t>
        </is>
      </c>
      <c r="EH1243" s="0" t="inlineStr">
        <is>
          <t>69行 17列，源：None 备：-123456.7890</t>
        </is>
      </c>
      <c r="ES1243" s="0" t="inlineStr">
        <is>
          <t>70行 3列，源：nan 备：-2147483648</t>
        </is>
      </c>
    </row>
    <row r="1244">
      <c r="B1244" s="0" t="inlineStr">
        <is>
          <t>NULL</t>
        </is>
      </c>
      <c r="C1244" s="0" t="inlineStr">
        <is>
          <t>NULL</t>
        </is>
      </c>
      <c r="D1244" s="0" t="inlineStr">
        <is>
          <t>NULL</t>
        </is>
      </c>
      <c r="E1244" s="0" t="inlineStr">
        <is>
          <t>NULL</t>
        </is>
      </c>
      <c r="F1244" s="0" t="inlineStr">
        <is>
          <t>NULL</t>
        </is>
      </c>
      <c r="G1244" s="0" t="inlineStr">
        <is>
          <t>NULL</t>
        </is>
      </c>
      <c r="H1244" s="0" t="inlineStr">
        <is>
          <t>NULL</t>
        </is>
      </c>
      <c r="I1244" s="0" t="inlineStr">
        <is>
          <t>NULL</t>
        </is>
      </c>
      <c r="J1244" s="0" t="inlineStr">
        <is>
          <t>NULL</t>
        </is>
      </c>
      <c r="K1244" s="0" t="inlineStr">
        <is>
          <t xml:space="preserve"> NO!  	 c_time5列源备映射错误，源端为time None位	期望更改为text	实际备端为time None位</t>
        </is>
      </c>
      <c r="EH1244" s="0" t="inlineStr">
        <is>
          <t>69行 18列，源：None 备：-1234.5678</t>
        </is>
      </c>
      <c r="ES1244" s="0" t="inlineStr">
        <is>
          <t>70行 4列，源：nan 备：-9223372036854775808</t>
        </is>
      </c>
    </row>
    <row r="1245">
      <c r="B1245" s="0" t="inlineStr">
        <is>
          <t>NULL</t>
        </is>
      </c>
      <c r="C1245" s="0" t="inlineStr">
        <is>
          <t>NULL</t>
        </is>
      </c>
      <c r="D1245" s="0" t="inlineStr">
        <is>
          <t>NULL</t>
        </is>
      </c>
      <c r="E1245" s="0" t="inlineStr">
        <is>
          <t>NULL</t>
        </is>
      </c>
      <c r="F1245" s="0" t="inlineStr">
        <is>
          <t>NULL</t>
        </is>
      </c>
      <c r="G1245" s="0" t="inlineStr">
        <is>
          <t>NULL</t>
        </is>
      </c>
      <c r="H1245" s="0" t="inlineStr">
        <is>
          <t>NULL</t>
        </is>
      </c>
      <c r="I1245" s="0" t="inlineStr">
        <is>
          <t>NULL</t>
        </is>
      </c>
      <c r="J1245" s="0" t="inlineStr">
        <is>
          <t>NULL</t>
        </is>
      </c>
      <c r="K1245" s="0" t="inlineStr">
        <is>
          <t xml:space="preserve"> NO!  	 c_time6列源备映射错误，源端为time None位	期望更改为text	实际备端为time None位</t>
        </is>
      </c>
      <c r="EH1245" s="0" t="inlineStr">
        <is>
          <t>69行 19列，源：None 备：0</t>
        </is>
      </c>
      <c r="ES1245" s="0" t="inlineStr">
        <is>
          <t>70行 5列，源：None 备：</t>
        </is>
      </c>
    </row>
    <row r="1246">
      <c r="B1246" s="0" t="inlineStr">
        <is>
          <t>NULL</t>
        </is>
      </c>
      <c r="C1246" s="0" t="inlineStr">
        <is>
          <t>NULL</t>
        </is>
      </c>
      <c r="D1246" s="0" t="inlineStr">
        <is>
          <t>NULL</t>
        </is>
      </c>
      <c r="E1246" s="0" t="inlineStr">
        <is>
          <t>NULL</t>
        </is>
      </c>
      <c r="F1246" s="0" t="inlineStr">
        <is>
          <t>NULL</t>
        </is>
      </c>
      <c r="G1246" s="0" t="inlineStr">
        <is>
          <t>NULL</t>
        </is>
      </c>
      <c r="H1246" s="0" t="inlineStr">
        <is>
          <t>NULL</t>
        </is>
      </c>
      <c r="I1246" s="0" t="inlineStr">
        <is>
          <t>NULL</t>
        </is>
      </c>
      <c r="J1246" s="0" t="inlineStr">
        <is>
          <t>NULL</t>
        </is>
      </c>
      <c r="K1246" s="0" t="inlineStr">
        <is>
          <t xml:space="preserve"> NO!  	 c_time列源备映射错误，源端为time None位	期望更改为text	实际备端为time None位</t>
        </is>
      </c>
      <c r="EH1246" s="0" t="inlineStr">
        <is>
          <t>70行 0列，源：161 备：218</t>
        </is>
      </c>
      <c r="ES1246" s="0" t="inlineStr">
        <is>
          <t>70行 6列，源：None 备：</t>
        </is>
      </c>
    </row>
    <row r="1247">
      <c r="K1247" s="0" t="inlineStr">
        <is>
          <t>~ 空表</t>
        </is>
      </c>
      <c r="EH1247" s="0" t="inlineStr">
        <is>
          <t>70行 1列，源：nan 备：</t>
        </is>
      </c>
      <c r="ES1247" s="0" t="inlineStr">
        <is>
          <t>70行 7列，源：None 备：</t>
        </is>
      </c>
    </row>
    <row r="1248">
      <c r="A1248" s="0" t="inlineStr">
        <is>
          <t>info_varchar_dml_single_pk_urp</t>
        </is>
      </c>
      <c r="K1248" s="0" t="inlineStr">
        <is>
          <t>[0;34m info_varchar_dml_single_pk_urp [0m源备字段数相同，源端字段：4 	备端字段4</t>
        </is>
      </c>
      <c r="W1248" s="2">
        <f>HYPERLINK("#2026041905hbase4!EI2","NO 源备存在差异，共6个")</f>
        <v/>
      </c>
      <c r="X1248" s="0">
        <f>A1248</f>
        <v/>
      </c>
      <c r="EH1248" s="0" t="inlineStr">
        <is>
          <t>70行 2列，源：nan 备：</t>
        </is>
      </c>
      <c r="ES1248" s="0" t="inlineStr">
        <is>
          <t>70行 8列，源：None 备：</t>
        </is>
      </c>
    </row>
    <row r="1249">
      <c r="B1249" s="0" t="inlineStr">
        <is>
          <t>YES</t>
        </is>
      </c>
      <c r="C1249" s="0" t="inlineStr">
        <is>
          <t>NULL</t>
        </is>
      </c>
      <c r="D1249" s="0" t="inlineStr">
        <is>
          <t>NULL</t>
        </is>
      </c>
      <c r="E1249" s="0" t="inlineStr">
        <is>
          <t>NULL</t>
        </is>
      </c>
      <c r="F1249" s="0" t="inlineStr">
        <is>
          <t>NULL</t>
        </is>
      </c>
      <c r="G1249" s="0" t="inlineStr">
        <is>
          <t>NULL</t>
        </is>
      </c>
      <c r="H1249" s="0" t="inlineStr">
        <is>
          <t>NULL</t>
        </is>
      </c>
      <c r="I1249" s="0" t="inlineStr">
        <is>
          <t>YES!PK__info_var__3213E83FE921C7C3</t>
        </is>
      </c>
      <c r="J1249" s="0" t="inlineStr">
        <is>
          <t>YES! 主键相关索引</t>
        </is>
      </c>
      <c r="K1249" s="0" t="inlineStr">
        <is>
          <t xml:space="preserve"> NO!  	 id列源备映射错误，源端为int None位	期望更改为text	实际备端为int None位</t>
        </is>
      </c>
      <c r="EH1249" s="0" t="inlineStr">
        <is>
          <t>70行 3列，源：nan 备：</t>
        </is>
      </c>
      <c r="ES1249" s="0" t="inlineStr">
        <is>
          <t>70行 9列，源：None 备：</t>
        </is>
      </c>
    </row>
    <row r="1250">
      <c r="B1250" s="0" t="inlineStr">
        <is>
          <t>NULL</t>
        </is>
      </c>
      <c r="C1250" s="0" t="inlineStr">
        <is>
          <t>NULL</t>
        </is>
      </c>
      <c r="D1250" s="0" t="inlineStr">
        <is>
          <t>NULL</t>
        </is>
      </c>
      <c r="E1250" s="0" t="inlineStr">
        <is>
          <t>NULL</t>
        </is>
      </c>
      <c r="F1250" s="0" t="inlineStr">
        <is>
          <t>NULL</t>
        </is>
      </c>
      <c r="G1250" s="0" t="inlineStr">
        <is>
          <t>NULL</t>
        </is>
      </c>
      <c r="H1250" s="0" t="inlineStr">
        <is>
          <t>NULL</t>
        </is>
      </c>
      <c r="I1250" s="0" t="inlineStr">
        <is>
          <t>NULL</t>
        </is>
      </c>
      <c r="J1250" s="0" t="inlineStr">
        <is>
          <t>NULL</t>
        </is>
      </c>
      <c r="K1250" s="0" t="inlineStr">
        <is>
          <t xml:space="preserve"> NO!  	 c_varchar列源备映射错误，源端为varchar 1位	期望更改为text	实际备端为varchar 1位</t>
        </is>
      </c>
      <c r="EH1250" s="0" t="inlineStr">
        <is>
          <t>70行 4列，源：nan 备：</t>
        </is>
      </c>
      <c r="ES1250" s="0" t="inlineStr">
        <is>
          <t>70行 10列，源：None 备：</t>
        </is>
      </c>
    </row>
    <row r="1251">
      <c r="B1251" s="0" t="inlineStr">
        <is>
          <t>NULL</t>
        </is>
      </c>
      <c r="C1251" s="0" t="inlineStr">
        <is>
          <t>NULL</t>
        </is>
      </c>
      <c r="D1251" s="0" t="inlineStr">
        <is>
          <t>NULL</t>
        </is>
      </c>
      <c r="E1251" s="0" t="inlineStr">
        <is>
          <t>NULL</t>
        </is>
      </c>
      <c r="F1251" s="0" t="inlineStr">
        <is>
          <t>NULL</t>
        </is>
      </c>
      <c r="G1251" s="0" t="inlineStr">
        <is>
          <t>NULL</t>
        </is>
      </c>
      <c r="H1251" s="0" t="inlineStr">
        <is>
          <t>NULL</t>
        </is>
      </c>
      <c r="I1251" s="0" t="inlineStr">
        <is>
          <t>NULL</t>
        </is>
      </c>
      <c r="J1251" s="0" t="inlineStr">
        <is>
          <t>NULL</t>
        </is>
      </c>
      <c r="K1251" s="0" t="inlineStr">
        <is>
          <t xml:space="preserve"> NO!  	 c_varchar50列源备映射错误，源端为varchar 50位	期望更改为text	实际备端为varchar 50位</t>
        </is>
      </c>
      <c r="EH1251" s="0" t="inlineStr">
        <is>
          <t>70行 5列，源：None 备：</t>
        </is>
      </c>
      <c r="ES1251" s="0" t="inlineStr">
        <is>
          <t>70行 11列，源：None 备：</t>
        </is>
      </c>
    </row>
    <row r="1252">
      <c r="B1252" s="0" t="inlineStr">
        <is>
          <t>NULL</t>
        </is>
      </c>
      <c r="C1252" s="0" t="inlineStr">
        <is>
          <t>NULL</t>
        </is>
      </c>
      <c r="D1252" s="0" t="inlineStr">
        <is>
          <t>NULL</t>
        </is>
      </c>
      <c r="E1252" s="0" t="inlineStr">
        <is>
          <t>NULL</t>
        </is>
      </c>
      <c r="F1252" s="0" t="inlineStr">
        <is>
          <t>NULL</t>
        </is>
      </c>
      <c r="G1252" s="0" t="inlineStr">
        <is>
          <t>NULL</t>
        </is>
      </c>
      <c r="H1252" s="0" t="inlineStr">
        <is>
          <t>NULL</t>
        </is>
      </c>
      <c r="I1252" s="0" t="inlineStr">
        <is>
          <t>NULL</t>
        </is>
      </c>
      <c r="J1252" s="0" t="inlineStr">
        <is>
          <t>NULL</t>
        </is>
      </c>
      <c r="K1252" s="0" t="inlineStr">
        <is>
          <t xml:space="preserve"> NO!  	 c_varchar200列源备映射错误，源端为varchar 200位	期望更改为text	实际备端为varchar 200位</t>
        </is>
      </c>
      <c r="EH1252" s="0" t="inlineStr">
        <is>
          <t>70行 6列，源：None 备：</t>
        </is>
      </c>
      <c r="ES1252" s="0" t="inlineStr">
        <is>
          <t>70行 12列，源：None 备：</t>
        </is>
      </c>
    </row>
    <row r="1253">
      <c r="A1253" s="0" t="inlineStr">
        <is>
          <t>info_datetime2_dml_single_pk_drp</t>
        </is>
      </c>
      <c r="K1253" s="0" t="inlineStr">
        <is>
          <t>[0;34m info_datetime2_dml_single_pk_drp [0m源备字段数相同，源端字段：9 	备端字段9</t>
        </is>
      </c>
      <c r="W1253" s="0" t="inlineStr">
        <is>
          <t>YES 源备无差异</t>
        </is>
      </c>
      <c r="X1253" s="0">
        <f>A1253</f>
        <v/>
      </c>
      <c r="EH1253" s="0" t="inlineStr">
        <is>
          <t>70行 7列，源：None 备：</t>
        </is>
      </c>
      <c r="ES1253" s="0" t="inlineStr">
        <is>
          <t>70行 13列，源：None 备：</t>
        </is>
      </c>
    </row>
    <row r="1254">
      <c r="B1254" s="0" t="inlineStr">
        <is>
          <t>YES</t>
        </is>
      </c>
      <c r="C1254" s="0" t="inlineStr">
        <is>
          <t>NULL</t>
        </is>
      </c>
      <c r="D1254" s="0" t="inlineStr">
        <is>
          <t>NULL</t>
        </is>
      </c>
      <c r="E1254" s="0" t="inlineStr">
        <is>
          <t>NULL</t>
        </is>
      </c>
      <c r="F1254" s="0" t="inlineStr">
        <is>
          <t>NULL</t>
        </is>
      </c>
      <c r="G1254" s="0" t="inlineStr">
        <is>
          <t>NULL</t>
        </is>
      </c>
      <c r="H1254" s="0" t="inlineStr">
        <is>
          <t>NULL</t>
        </is>
      </c>
      <c r="I1254" s="0" t="inlineStr">
        <is>
          <t>YES!PK__info_dat__3213E83FC2071D64</t>
        </is>
      </c>
      <c r="J1254" s="0" t="inlineStr">
        <is>
          <t>YES! 主键相关索引</t>
        </is>
      </c>
      <c r="K1254" s="0" t="inlineStr">
        <is>
          <t xml:space="preserve"> NO!  	 id列源备映射错误，源端为int None位	期望更改为text	实际备端为int None位</t>
        </is>
      </c>
      <c r="EH1254" s="0" t="inlineStr">
        <is>
          <t>70行 8列，源：None 备：</t>
        </is>
      </c>
      <c r="ES1254" s="0" t="inlineStr">
        <is>
          <t>70行 14列，源：None 备：</t>
        </is>
      </c>
    </row>
    <row r="1255">
      <c r="B1255" s="0" t="inlineStr">
        <is>
          <t>NULL</t>
        </is>
      </c>
      <c r="C1255" s="0" t="inlineStr">
        <is>
          <t>NULL</t>
        </is>
      </c>
      <c r="D1255" s="0" t="inlineStr">
        <is>
          <t>NULL</t>
        </is>
      </c>
      <c r="E1255" s="0" t="inlineStr">
        <is>
          <t>NULL</t>
        </is>
      </c>
      <c r="F1255" s="0" t="inlineStr">
        <is>
          <t>NULL</t>
        </is>
      </c>
      <c r="G1255" s="0" t="inlineStr">
        <is>
          <t>NULL</t>
        </is>
      </c>
      <c r="H1255" s="0" t="inlineStr">
        <is>
          <t>NULL</t>
        </is>
      </c>
      <c r="I1255" s="0" t="inlineStr">
        <is>
          <t>NULL</t>
        </is>
      </c>
      <c r="J1255" s="0" t="inlineStr">
        <is>
          <t>NULL</t>
        </is>
      </c>
      <c r="K1255" s="0" t="inlineStr">
        <is>
          <t xml:space="preserve"> NO!  	 c_dt2_0列源备映射错误，源端为datetime2 None位	期望更改为text	实际备端为datetime2 None位</t>
        </is>
      </c>
      <c r="EH1255" s="0" t="inlineStr">
        <is>
          <t>70行 9列，源：None 备：</t>
        </is>
      </c>
      <c r="ES1255" s="0" t="inlineStr">
        <is>
          <t>70行 15列，源：nan 备：</t>
        </is>
      </c>
    </row>
    <row r="1256">
      <c r="B1256" s="0" t="inlineStr">
        <is>
          <t>NULL</t>
        </is>
      </c>
      <c r="C1256" s="0" t="inlineStr">
        <is>
          <t>NULL</t>
        </is>
      </c>
      <c r="D1256" s="0" t="inlineStr">
        <is>
          <t>NULL</t>
        </is>
      </c>
      <c r="E1256" s="0" t="inlineStr">
        <is>
          <t>NULL</t>
        </is>
      </c>
      <c r="F1256" s="0" t="inlineStr">
        <is>
          <t>NULL</t>
        </is>
      </c>
      <c r="G1256" s="0" t="inlineStr">
        <is>
          <t>NULL</t>
        </is>
      </c>
      <c r="H1256" s="0" t="inlineStr">
        <is>
          <t>NULL</t>
        </is>
      </c>
      <c r="I1256" s="0" t="inlineStr">
        <is>
          <t>NULL</t>
        </is>
      </c>
      <c r="J1256" s="0" t="inlineStr">
        <is>
          <t>NULL</t>
        </is>
      </c>
      <c r="K1256" s="0" t="inlineStr">
        <is>
          <t xml:space="preserve"> NO!  	 c_dt2_1列源备映射错误，源端为datetime2 None位	期望更改为text	实际备端为datetime2 None位</t>
        </is>
      </c>
      <c r="EH1256" s="0" t="inlineStr">
        <is>
          <t>70行 10列，源：None 备：</t>
        </is>
      </c>
      <c r="ES1256" s="0" t="inlineStr">
        <is>
          <t>70行 16列，源：nan 备：</t>
        </is>
      </c>
    </row>
    <row r="1257">
      <c r="B1257" s="0" t="inlineStr">
        <is>
          <t>NULL</t>
        </is>
      </c>
      <c r="C1257" s="0" t="inlineStr">
        <is>
          <t>NULL</t>
        </is>
      </c>
      <c r="D1257" s="0" t="inlineStr">
        <is>
          <t>NULL</t>
        </is>
      </c>
      <c r="E1257" s="0" t="inlineStr">
        <is>
          <t>NULL</t>
        </is>
      </c>
      <c r="F1257" s="0" t="inlineStr">
        <is>
          <t>NULL</t>
        </is>
      </c>
      <c r="G1257" s="0" t="inlineStr">
        <is>
          <t>NULL</t>
        </is>
      </c>
      <c r="H1257" s="0" t="inlineStr">
        <is>
          <t>NULL</t>
        </is>
      </c>
      <c r="I1257" s="0" t="inlineStr">
        <is>
          <t>NULL</t>
        </is>
      </c>
      <c r="J1257" s="0" t="inlineStr">
        <is>
          <t>NULL</t>
        </is>
      </c>
      <c r="K1257" s="0" t="inlineStr">
        <is>
          <t xml:space="preserve"> NO!  	 c_dt2_2列源备映射错误，源端为datetime2 None位	期望更改为text	实际备端为datetime2 None位</t>
        </is>
      </c>
      <c r="EH1257" s="0" t="inlineStr">
        <is>
          <t>70行 11列，源：None 备：</t>
        </is>
      </c>
      <c r="ES1257" s="0" t="inlineStr">
        <is>
          <t>70行 17列，源：None 备：</t>
        </is>
      </c>
    </row>
    <row r="1258">
      <c r="B1258" s="0" t="inlineStr">
        <is>
          <t>NULL</t>
        </is>
      </c>
      <c r="C1258" s="0" t="inlineStr">
        <is>
          <t>NULL</t>
        </is>
      </c>
      <c r="D1258" s="0" t="inlineStr">
        <is>
          <t>NULL</t>
        </is>
      </c>
      <c r="E1258" s="0" t="inlineStr">
        <is>
          <t>NULL</t>
        </is>
      </c>
      <c r="F1258" s="0" t="inlineStr">
        <is>
          <t>NULL</t>
        </is>
      </c>
      <c r="G1258" s="0" t="inlineStr">
        <is>
          <t>NULL</t>
        </is>
      </c>
      <c r="H1258" s="0" t="inlineStr">
        <is>
          <t>NULL</t>
        </is>
      </c>
      <c r="I1258" s="0" t="inlineStr">
        <is>
          <t>NULL</t>
        </is>
      </c>
      <c r="J1258" s="0" t="inlineStr">
        <is>
          <t>NULL</t>
        </is>
      </c>
      <c r="K1258" s="0" t="inlineStr">
        <is>
          <t xml:space="preserve"> NO!  	 c_dt2_3列源备映射错误，源端为datetime2 None位	期望更改为text	实际备端为datetime2 None位</t>
        </is>
      </c>
      <c r="EH1258" s="0" t="inlineStr">
        <is>
          <t>70行 12列，源：None 备：</t>
        </is>
      </c>
      <c r="ES1258" s="0" t="inlineStr">
        <is>
          <t>70行 18列，源：None 备：</t>
        </is>
      </c>
    </row>
    <row r="1259">
      <c r="B1259" s="0" t="inlineStr">
        <is>
          <t>NULL</t>
        </is>
      </c>
      <c r="C1259" s="0" t="inlineStr">
        <is>
          <t>NULL</t>
        </is>
      </c>
      <c r="D1259" s="0" t="inlineStr">
        <is>
          <t>NULL</t>
        </is>
      </c>
      <c r="E1259" s="0" t="inlineStr">
        <is>
          <t>NULL</t>
        </is>
      </c>
      <c r="F1259" s="0" t="inlineStr">
        <is>
          <t>NULL</t>
        </is>
      </c>
      <c r="G1259" s="0" t="inlineStr">
        <is>
          <t>NULL</t>
        </is>
      </c>
      <c r="H1259" s="0" t="inlineStr">
        <is>
          <t>NULL</t>
        </is>
      </c>
      <c r="I1259" s="0" t="inlineStr">
        <is>
          <t>NULL</t>
        </is>
      </c>
      <c r="J1259" s="0" t="inlineStr">
        <is>
          <t>NULL</t>
        </is>
      </c>
      <c r="K1259" s="0" t="inlineStr">
        <is>
          <t xml:space="preserve"> NO!  	 c_dt2_4列源备映射错误，源端为datetime2 None位	期望更改为text	实际备端为datetime2 None位</t>
        </is>
      </c>
      <c r="EH1259" s="0" t="inlineStr">
        <is>
          <t>70行 13列，源：None 备：</t>
        </is>
      </c>
      <c r="ES1259" s="0" t="inlineStr">
        <is>
          <t>70行 19列，源：None 备：</t>
        </is>
      </c>
    </row>
    <row r="1260">
      <c r="B1260" s="0" t="inlineStr">
        <is>
          <t>NULL</t>
        </is>
      </c>
      <c r="C1260" s="0" t="inlineStr">
        <is>
          <t>NULL</t>
        </is>
      </c>
      <c r="D1260" s="0" t="inlineStr">
        <is>
          <t>NULL</t>
        </is>
      </c>
      <c r="E1260" s="0" t="inlineStr">
        <is>
          <t>NULL</t>
        </is>
      </c>
      <c r="F1260" s="0" t="inlineStr">
        <is>
          <t>NULL</t>
        </is>
      </c>
      <c r="G1260" s="0" t="inlineStr">
        <is>
          <t>NULL</t>
        </is>
      </c>
      <c r="H1260" s="0" t="inlineStr">
        <is>
          <t>NULL</t>
        </is>
      </c>
      <c r="I1260" s="0" t="inlineStr">
        <is>
          <t>NULL</t>
        </is>
      </c>
      <c r="J1260" s="0" t="inlineStr">
        <is>
          <t>NULL</t>
        </is>
      </c>
      <c r="K1260" s="0" t="inlineStr">
        <is>
          <t xml:space="preserve"> NO!  	 c_dt2_5列源备映射错误，源端为datetime2 None位	期望更改为text	实际备端为datetime2 None位</t>
        </is>
      </c>
      <c r="EH1260" s="0" t="inlineStr">
        <is>
          <t>70行 14列，源：None 备：</t>
        </is>
      </c>
      <c r="ES1260" s="0" t="inlineStr">
        <is>
          <t>71行 0列，源：212 备：59</t>
        </is>
      </c>
    </row>
    <row r="1261">
      <c r="B1261" s="0" t="inlineStr">
        <is>
          <t>NULL</t>
        </is>
      </c>
      <c r="C1261" s="0" t="inlineStr">
        <is>
          <t>NULL</t>
        </is>
      </c>
      <c r="D1261" s="0" t="inlineStr">
        <is>
          <t>NULL</t>
        </is>
      </c>
      <c r="E1261" s="0" t="inlineStr">
        <is>
          <t>NULL</t>
        </is>
      </c>
      <c r="F1261" s="0" t="inlineStr">
        <is>
          <t>NULL</t>
        </is>
      </c>
      <c r="G1261" s="0" t="inlineStr">
        <is>
          <t>NULL</t>
        </is>
      </c>
      <c r="H1261" s="0" t="inlineStr">
        <is>
          <t>NULL</t>
        </is>
      </c>
      <c r="I1261" s="0" t="inlineStr">
        <is>
          <t>NULL</t>
        </is>
      </c>
      <c r="J1261" s="0" t="inlineStr">
        <is>
          <t>NULL</t>
        </is>
      </c>
      <c r="K1261" s="0" t="inlineStr">
        <is>
          <t xml:space="preserve"> NO!  	 c_dt2_6列源备映射错误，源端为datetime2 None位	期望更改为text	实际备端为datetime2 None位</t>
        </is>
      </c>
      <c r="EH1261" s="0" t="inlineStr">
        <is>
          <t>70行 15列，源：nan 备：0.0000000000000</t>
        </is>
      </c>
      <c r="ES1261" s="0" t="inlineStr">
        <is>
          <t>71行 1列，源：nan 备：42</t>
        </is>
      </c>
    </row>
    <row r="1262">
      <c r="B1262" s="0" t="inlineStr">
        <is>
          <t>NULL</t>
        </is>
      </c>
      <c r="C1262" s="0" t="inlineStr">
        <is>
          <t>NULL</t>
        </is>
      </c>
      <c r="D1262" s="0" t="inlineStr">
        <is>
          <t>NULL</t>
        </is>
      </c>
      <c r="E1262" s="0" t="inlineStr">
        <is>
          <t>NULL</t>
        </is>
      </c>
      <c r="F1262" s="0" t="inlineStr">
        <is>
          <t>NULL</t>
        </is>
      </c>
      <c r="G1262" s="0" t="inlineStr">
        <is>
          <t>NULL</t>
        </is>
      </c>
      <c r="H1262" s="0" t="inlineStr">
        <is>
          <t>NULL</t>
        </is>
      </c>
      <c r="I1262" s="0" t="inlineStr">
        <is>
          <t>NULL</t>
        </is>
      </c>
      <c r="J1262" s="0" t="inlineStr">
        <is>
          <t>NULL</t>
        </is>
      </c>
      <c r="K1262" s="0" t="inlineStr">
        <is>
          <t xml:space="preserve"> NO!  	 c_dt2列源备映射错误，源端为datetime2 None位	期望更改为text	实际备端为datetime2 None位</t>
        </is>
      </c>
      <c r="EH1262" s="0" t="inlineStr">
        <is>
          <t>70行 16列，源：nan 备：0.000000</t>
        </is>
      </c>
      <c r="ES1262" s="0" t="inlineStr">
        <is>
          <t>71行 2列，源：nan 备：12345</t>
        </is>
      </c>
    </row>
    <row r="1263">
      <c r="A1263" s="0" t="inlineStr">
        <is>
          <t>info_uniqueidentifier_dml_single_pk</t>
        </is>
      </c>
      <c r="K1263" s="0" t="inlineStr">
        <is>
          <t>[0;34m info_uniqueidentifier_dml_single_pk [0m源备字段数相同，源端字段：2 	备端字段2</t>
        </is>
      </c>
      <c r="W1263" s="0" t="inlineStr">
        <is>
          <t>YES 源备无差异</t>
        </is>
      </c>
      <c r="X1263" s="0">
        <f>A1263</f>
        <v/>
      </c>
      <c r="EH1263" s="0" t="inlineStr">
        <is>
          <t>70行 17列，源：None 备：0.0001</t>
        </is>
      </c>
      <c r="ES1263" s="0" t="inlineStr">
        <is>
          <t>71行 3列，源：nan 备：123456789</t>
        </is>
      </c>
    </row>
    <row r="1264">
      <c r="B1264" s="0" t="inlineStr">
        <is>
          <t>YES</t>
        </is>
      </c>
      <c r="C1264" s="0" t="inlineStr">
        <is>
          <t>NULL</t>
        </is>
      </c>
      <c r="D1264" s="0" t="inlineStr">
        <is>
          <t>NULL</t>
        </is>
      </c>
      <c r="E1264" s="0" t="inlineStr">
        <is>
          <t>NULL</t>
        </is>
      </c>
      <c r="F1264" s="0" t="inlineStr">
        <is>
          <t>NULL</t>
        </is>
      </c>
      <c r="G1264" s="0" t="inlineStr">
        <is>
          <t>NULL</t>
        </is>
      </c>
      <c r="H1264" s="0" t="inlineStr">
        <is>
          <t>NULL</t>
        </is>
      </c>
      <c r="I1264" s="0" t="inlineStr">
        <is>
          <t>YES!PK__info_uni__3213E83F55362878</t>
        </is>
      </c>
      <c r="J1264" s="0" t="inlineStr">
        <is>
          <t>YES! 主键相关索引</t>
        </is>
      </c>
      <c r="K1264" s="0" t="inlineStr">
        <is>
          <t xml:space="preserve"> NO!  	 id列源备映射错误，源端为int None位	期望更改为text	实际备端为int None位</t>
        </is>
      </c>
      <c r="EH1264" s="0" t="inlineStr">
        <is>
          <t>70行 18列，源：None 备：0.0001</t>
        </is>
      </c>
      <c r="ES1264" s="0" t="inlineStr">
        <is>
          <t>71行 4列，源：nan 备：123456789012345</t>
        </is>
      </c>
    </row>
    <row r="1265">
      <c r="B1265" s="0" t="inlineStr">
        <is>
          <t>NULL</t>
        </is>
      </c>
      <c r="C1265" s="0" t="inlineStr">
        <is>
          <t>NULL</t>
        </is>
      </c>
      <c r="D1265" s="0" t="inlineStr">
        <is>
          <t>NULL</t>
        </is>
      </c>
      <c r="E1265" s="0" t="inlineStr">
        <is>
          <t>NULL</t>
        </is>
      </c>
      <c r="F1265" s="0" t="inlineStr">
        <is>
          <t>NULL</t>
        </is>
      </c>
      <c r="G1265" s="0" t="inlineStr">
        <is>
          <t>NULL</t>
        </is>
      </c>
      <c r="H1265" s="0" t="inlineStr">
        <is>
          <t>NULL</t>
        </is>
      </c>
      <c r="I1265" s="0" t="inlineStr">
        <is>
          <t>NULL</t>
        </is>
      </c>
      <c r="J1265" s="0" t="inlineStr">
        <is>
          <t>NULL</t>
        </is>
      </c>
      <c r="K1265" s="0" t="inlineStr">
        <is>
          <t xml:space="preserve"> NO!  	 c_uniqueidentifier列源备映射错误，源端为uniqueidentifier None位	期望更改为text	实际备端为uniqueidentifier None位</t>
        </is>
      </c>
      <c r="EH1265" s="0" t="inlineStr">
        <is>
          <t>70行 19列，源：None 备：1</t>
        </is>
      </c>
      <c r="ES1265" s="0" t="inlineStr">
        <is>
          <t>71行 5列，源：None 备：</t>
        </is>
      </c>
    </row>
    <row r="1266">
      <c r="A1266" s="0" t="inlineStr">
        <is>
          <t>info_datetime2_dml_single_pk</t>
        </is>
      </c>
      <c r="K1266" s="0" t="inlineStr">
        <is>
          <t>[0;34m info_datetime2_dml_single_pk [0m源备字段数相同，源端字段：9 	备端字段9</t>
        </is>
      </c>
      <c r="W1266" s="0" t="inlineStr">
        <is>
          <t>YES 源备无差异</t>
        </is>
      </c>
      <c r="X1266" s="0">
        <f>A1266</f>
        <v/>
      </c>
      <c r="EH1266" s="0" t="inlineStr">
        <is>
          <t>71行 0列，源：162 备：219</t>
        </is>
      </c>
      <c r="ES1266" s="0" t="inlineStr">
        <is>
          <t>71行 6列，源：None 备：</t>
        </is>
      </c>
    </row>
    <row r="1267">
      <c r="B1267" s="0" t="inlineStr">
        <is>
          <t>YES</t>
        </is>
      </c>
      <c r="C1267" s="0" t="inlineStr">
        <is>
          <t>NULL</t>
        </is>
      </c>
      <c r="D1267" s="0" t="inlineStr">
        <is>
          <t>NULL</t>
        </is>
      </c>
      <c r="E1267" s="0" t="inlineStr">
        <is>
          <t>NULL</t>
        </is>
      </c>
      <c r="F1267" s="0" t="inlineStr">
        <is>
          <t>NULL</t>
        </is>
      </c>
      <c r="G1267" s="0" t="inlineStr">
        <is>
          <t>NULL</t>
        </is>
      </c>
      <c r="H1267" s="0" t="inlineStr">
        <is>
          <t>NULL</t>
        </is>
      </c>
      <c r="I1267" s="0" t="inlineStr">
        <is>
          <t>YES!PK__info_dat__3213E83F59A2FB93</t>
        </is>
      </c>
      <c r="J1267" s="0" t="inlineStr">
        <is>
          <t>YES! 主键相关索引</t>
        </is>
      </c>
      <c r="K1267" s="0" t="inlineStr">
        <is>
          <t xml:space="preserve"> NO!  	 id列源备映射错误，源端为int None位	期望更改为text	实际备端为int None位</t>
        </is>
      </c>
      <c r="EH1267" s="0" t="inlineStr">
        <is>
          <t>71行 1列，源：nan 备：</t>
        </is>
      </c>
      <c r="ES1267" s="0" t="inlineStr">
        <is>
          <t>71行 7列，源：None 备：</t>
        </is>
      </c>
    </row>
    <row r="1268">
      <c r="B1268" s="0" t="inlineStr">
        <is>
          <t>NULL</t>
        </is>
      </c>
      <c r="C1268" s="0" t="inlineStr">
        <is>
          <t>NULL</t>
        </is>
      </c>
      <c r="D1268" s="0" t="inlineStr">
        <is>
          <t>NULL</t>
        </is>
      </c>
      <c r="E1268" s="0" t="inlineStr">
        <is>
          <t>NULL</t>
        </is>
      </c>
      <c r="F1268" s="0" t="inlineStr">
        <is>
          <t>NULL</t>
        </is>
      </c>
      <c r="G1268" s="0" t="inlineStr">
        <is>
          <t>NULL</t>
        </is>
      </c>
      <c r="H1268" s="0" t="inlineStr">
        <is>
          <t>NULL</t>
        </is>
      </c>
      <c r="I1268" s="0" t="inlineStr">
        <is>
          <t>NULL</t>
        </is>
      </c>
      <c r="J1268" s="0" t="inlineStr">
        <is>
          <t>NULL</t>
        </is>
      </c>
      <c r="K1268" s="0" t="inlineStr">
        <is>
          <t xml:space="preserve"> NO!  	 c_dt2_0列源备映射错误，源端为datetime2 None位	期望更改为text	实际备端为datetime2 None位</t>
        </is>
      </c>
      <c r="EH1268" s="0" t="inlineStr">
        <is>
          <t>71行 2列，源：nan 备：</t>
        </is>
      </c>
      <c r="ES1268" s="0" t="inlineStr">
        <is>
          <t>71行 8列，源：None 备：</t>
        </is>
      </c>
    </row>
    <row r="1269">
      <c r="B1269" s="0" t="inlineStr">
        <is>
          <t>NULL</t>
        </is>
      </c>
      <c r="C1269" s="0" t="inlineStr">
        <is>
          <t>NULL</t>
        </is>
      </c>
      <c r="D1269" s="0" t="inlineStr">
        <is>
          <t>NULL</t>
        </is>
      </c>
      <c r="E1269" s="0" t="inlineStr">
        <is>
          <t>NULL</t>
        </is>
      </c>
      <c r="F1269" s="0" t="inlineStr">
        <is>
          <t>NULL</t>
        </is>
      </c>
      <c r="G1269" s="0" t="inlineStr">
        <is>
          <t>NULL</t>
        </is>
      </c>
      <c r="H1269" s="0" t="inlineStr">
        <is>
          <t>NULL</t>
        </is>
      </c>
      <c r="I1269" s="0" t="inlineStr">
        <is>
          <t>NULL</t>
        </is>
      </c>
      <c r="J1269" s="0" t="inlineStr">
        <is>
          <t>NULL</t>
        </is>
      </c>
      <c r="K1269" s="0" t="inlineStr">
        <is>
          <t xml:space="preserve"> NO!  	 c_dt2_1列源备映射错误，源端为datetime2 None位	期望更改为text	实际备端为datetime2 None位</t>
        </is>
      </c>
      <c r="EH1269" s="0" t="inlineStr">
        <is>
          <t>71行 3列，源：nan 备：</t>
        </is>
      </c>
      <c r="ES1269" s="0" t="inlineStr">
        <is>
          <t>71行 9列，源：None 备：</t>
        </is>
      </c>
    </row>
    <row r="1270">
      <c r="B1270" s="0" t="inlineStr">
        <is>
          <t>NULL</t>
        </is>
      </c>
      <c r="C1270" s="0" t="inlineStr">
        <is>
          <t>NULL</t>
        </is>
      </c>
      <c r="D1270" s="0" t="inlineStr">
        <is>
          <t>NULL</t>
        </is>
      </c>
      <c r="E1270" s="0" t="inlineStr">
        <is>
          <t>NULL</t>
        </is>
      </c>
      <c r="F1270" s="0" t="inlineStr">
        <is>
          <t>NULL</t>
        </is>
      </c>
      <c r="G1270" s="0" t="inlineStr">
        <is>
          <t>NULL</t>
        </is>
      </c>
      <c r="H1270" s="0" t="inlineStr">
        <is>
          <t>NULL</t>
        </is>
      </c>
      <c r="I1270" s="0" t="inlineStr">
        <is>
          <t>NULL</t>
        </is>
      </c>
      <c r="J1270" s="0" t="inlineStr">
        <is>
          <t>NULL</t>
        </is>
      </c>
      <c r="K1270" s="0" t="inlineStr">
        <is>
          <t xml:space="preserve"> NO!  	 c_dt2_2列源备映射错误，源端为datetime2 None位	期望更改为text	实际备端为datetime2 None位</t>
        </is>
      </c>
      <c r="EH1270" s="0" t="inlineStr">
        <is>
          <t>71行 4列，源：nan 备：</t>
        </is>
      </c>
      <c r="ES1270" s="0" t="inlineStr">
        <is>
          <t>71行 10列，源：None 备：</t>
        </is>
      </c>
    </row>
    <row r="1271">
      <c r="B1271" s="0" t="inlineStr">
        <is>
          <t>NULL</t>
        </is>
      </c>
      <c r="C1271" s="0" t="inlineStr">
        <is>
          <t>NULL</t>
        </is>
      </c>
      <c r="D1271" s="0" t="inlineStr">
        <is>
          <t>NULL</t>
        </is>
      </c>
      <c r="E1271" s="0" t="inlineStr">
        <is>
          <t>NULL</t>
        </is>
      </c>
      <c r="F1271" s="0" t="inlineStr">
        <is>
          <t>NULL</t>
        </is>
      </c>
      <c r="G1271" s="0" t="inlineStr">
        <is>
          <t>NULL</t>
        </is>
      </c>
      <c r="H1271" s="0" t="inlineStr">
        <is>
          <t>NULL</t>
        </is>
      </c>
      <c r="I1271" s="0" t="inlineStr">
        <is>
          <t>NULL</t>
        </is>
      </c>
      <c r="J1271" s="0" t="inlineStr">
        <is>
          <t>NULL</t>
        </is>
      </c>
      <c r="K1271" s="0" t="inlineStr">
        <is>
          <t xml:space="preserve"> NO!  	 c_dt2_3列源备映射错误，源端为datetime2 None位	期望更改为text	实际备端为datetime2 None位</t>
        </is>
      </c>
      <c r="EH1271" s="0" t="inlineStr">
        <is>
          <t>71行 5列，源：None 备：</t>
        </is>
      </c>
      <c r="ES1271" s="0" t="inlineStr">
        <is>
          <t>71行 11列，源：None 备：</t>
        </is>
      </c>
    </row>
    <row r="1272">
      <c r="B1272" s="0" t="inlineStr">
        <is>
          <t>NULL</t>
        </is>
      </c>
      <c r="C1272" s="0" t="inlineStr">
        <is>
          <t>NULL</t>
        </is>
      </c>
      <c r="D1272" s="0" t="inlineStr">
        <is>
          <t>NULL</t>
        </is>
      </c>
      <c r="E1272" s="0" t="inlineStr">
        <is>
          <t>NULL</t>
        </is>
      </c>
      <c r="F1272" s="0" t="inlineStr">
        <is>
          <t>NULL</t>
        </is>
      </c>
      <c r="G1272" s="0" t="inlineStr">
        <is>
          <t>NULL</t>
        </is>
      </c>
      <c r="H1272" s="0" t="inlineStr">
        <is>
          <t>NULL</t>
        </is>
      </c>
      <c r="I1272" s="0" t="inlineStr">
        <is>
          <t>NULL</t>
        </is>
      </c>
      <c r="J1272" s="0" t="inlineStr">
        <is>
          <t>NULL</t>
        </is>
      </c>
      <c r="K1272" s="0" t="inlineStr">
        <is>
          <t xml:space="preserve"> NO!  	 c_dt2_4列源备映射错误，源端为datetime2 None位	期望更改为text	实际备端为datetime2 None位</t>
        </is>
      </c>
      <c r="EH1272" s="0" t="inlineStr">
        <is>
          <t>71行 6列，源：None 备：</t>
        </is>
      </c>
      <c r="ES1272" s="0" t="inlineStr">
        <is>
          <t>71行 12列，源：None 备：</t>
        </is>
      </c>
    </row>
    <row r="1273">
      <c r="B1273" s="0" t="inlineStr">
        <is>
          <t>NULL</t>
        </is>
      </c>
      <c r="C1273" s="0" t="inlineStr">
        <is>
          <t>NULL</t>
        </is>
      </c>
      <c r="D1273" s="0" t="inlineStr">
        <is>
          <t>NULL</t>
        </is>
      </c>
      <c r="E1273" s="0" t="inlineStr">
        <is>
          <t>NULL</t>
        </is>
      </c>
      <c r="F1273" s="0" t="inlineStr">
        <is>
          <t>NULL</t>
        </is>
      </c>
      <c r="G1273" s="0" t="inlineStr">
        <is>
          <t>NULL</t>
        </is>
      </c>
      <c r="H1273" s="0" t="inlineStr">
        <is>
          <t>NULL</t>
        </is>
      </c>
      <c r="I1273" s="0" t="inlineStr">
        <is>
          <t>NULL</t>
        </is>
      </c>
      <c r="J1273" s="0" t="inlineStr">
        <is>
          <t>NULL</t>
        </is>
      </c>
      <c r="K1273" s="0" t="inlineStr">
        <is>
          <t xml:space="preserve"> NO!  	 c_dt2_5列源备映射错误，源端为datetime2 None位	期望更改为text	实际备端为datetime2 None位</t>
        </is>
      </c>
      <c r="EH1273" s="0" t="inlineStr">
        <is>
          <t>71行 7列，源：None 备：</t>
        </is>
      </c>
      <c r="ES1273" s="0" t="inlineStr">
        <is>
          <t>71行 13列，源：None 备：</t>
        </is>
      </c>
    </row>
    <row r="1274">
      <c r="B1274" s="0" t="inlineStr">
        <is>
          <t>NULL</t>
        </is>
      </c>
      <c r="C1274" s="0" t="inlineStr">
        <is>
          <t>NULL</t>
        </is>
      </c>
      <c r="D1274" s="0" t="inlineStr">
        <is>
          <t>NULL</t>
        </is>
      </c>
      <c r="E1274" s="0" t="inlineStr">
        <is>
          <t>NULL</t>
        </is>
      </c>
      <c r="F1274" s="0" t="inlineStr">
        <is>
          <t>NULL</t>
        </is>
      </c>
      <c r="G1274" s="0" t="inlineStr">
        <is>
          <t>NULL</t>
        </is>
      </c>
      <c r="H1274" s="0" t="inlineStr">
        <is>
          <t>NULL</t>
        </is>
      </c>
      <c r="I1274" s="0" t="inlineStr">
        <is>
          <t>NULL</t>
        </is>
      </c>
      <c r="J1274" s="0" t="inlineStr">
        <is>
          <t>NULL</t>
        </is>
      </c>
      <c r="K1274" s="0" t="inlineStr">
        <is>
          <t xml:space="preserve"> NO!  	 c_dt2_6列源备映射错误，源端为datetime2 None位	期望更改为text	实际备端为datetime2 None位</t>
        </is>
      </c>
      <c r="EH1274" s="0" t="inlineStr">
        <is>
          <t>71行 8列，源：None 备：</t>
        </is>
      </c>
      <c r="ES1274" s="0" t="inlineStr">
        <is>
          <t>71行 14列，源：None 备：</t>
        </is>
      </c>
    </row>
    <row r="1275">
      <c r="B1275" s="0" t="inlineStr">
        <is>
          <t>NULL</t>
        </is>
      </c>
      <c r="C1275" s="0" t="inlineStr">
        <is>
          <t>NULL</t>
        </is>
      </c>
      <c r="D1275" s="0" t="inlineStr">
        <is>
          <t>NULL</t>
        </is>
      </c>
      <c r="E1275" s="0" t="inlineStr">
        <is>
          <t>NULL</t>
        </is>
      </c>
      <c r="F1275" s="0" t="inlineStr">
        <is>
          <t>NULL</t>
        </is>
      </c>
      <c r="G1275" s="0" t="inlineStr">
        <is>
          <t>NULL</t>
        </is>
      </c>
      <c r="H1275" s="0" t="inlineStr">
        <is>
          <t>NULL</t>
        </is>
      </c>
      <c r="I1275" s="0" t="inlineStr">
        <is>
          <t>NULL</t>
        </is>
      </c>
      <c r="J1275" s="0" t="inlineStr">
        <is>
          <t>NULL</t>
        </is>
      </c>
      <c r="K1275" s="0" t="inlineStr">
        <is>
          <t xml:space="preserve"> NO!  	 c_dt2列源备映射错误，源端为datetime2 None位	期望更改为text	实际备端为datetime2 None位</t>
        </is>
      </c>
      <c r="EH1275" s="0" t="inlineStr">
        <is>
          <t>71行 9列，源：None 备：</t>
        </is>
      </c>
      <c r="ES1275" s="0" t="inlineStr">
        <is>
          <t>71行 15列，源：nan 备：</t>
        </is>
      </c>
    </row>
    <row r="1276">
      <c r="A1276" s="0" t="inlineStr">
        <is>
          <t>info_geography_dml_single_pk_drp</t>
        </is>
      </c>
      <c r="K1276" s="0" t="inlineStr">
        <is>
          <t>[0;34m info_geography_dml_single_pk_drp [0m源备字段数相同，源端字段：2 	备端字段2</t>
        </is>
      </c>
      <c r="W1276" s="2">
        <f>HYPERLINK("#2026041905hbase4!EJ2","NO 源备存在差异，共4个")</f>
        <v/>
      </c>
      <c r="X1276" s="0">
        <f>A1276</f>
        <v/>
      </c>
      <c r="EH1276" s="0" t="inlineStr">
        <is>
          <t>71行 10列，源：None 备：</t>
        </is>
      </c>
      <c r="ES1276" s="0" t="inlineStr">
        <is>
          <t>71行 16列，源：nan 备：</t>
        </is>
      </c>
    </row>
    <row r="1277">
      <c r="B1277" s="0" t="inlineStr">
        <is>
          <t>YES</t>
        </is>
      </c>
      <c r="C1277" s="0" t="inlineStr">
        <is>
          <t>NULL</t>
        </is>
      </c>
      <c r="D1277" s="0" t="inlineStr">
        <is>
          <t>NULL</t>
        </is>
      </c>
      <c r="E1277" s="0" t="inlineStr">
        <is>
          <t>NULL</t>
        </is>
      </c>
      <c r="F1277" s="0" t="inlineStr">
        <is>
          <t>NULL</t>
        </is>
      </c>
      <c r="G1277" s="0" t="inlineStr">
        <is>
          <t>NULL</t>
        </is>
      </c>
      <c r="H1277" s="0" t="inlineStr">
        <is>
          <t>NULL</t>
        </is>
      </c>
      <c r="I1277" s="0" t="inlineStr">
        <is>
          <t>YES!PK__info_geo__3213E83F64C7416D</t>
        </is>
      </c>
      <c r="J1277" s="0" t="inlineStr">
        <is>
          <t>YES! 主键相关索引</t>
        </is>
      </c>
      <c r="K1277" s="0" t="inlineStr">
        <is>
          <t xml:space="preserve"> NO!  	 id列源备映射错误，源端为int None位	期望更改为text	实际备端为int None位</t>
        </is>
      </c>
      <c r="EH1277" s="0" t="inlineStr">
        <is>
          <t>71行 11列，源：None 备：</t>
        </is>
      </c>
      <c r="ES1277" s="0" t="inlineStr">
        <is>
          <t>71行 17列，源：None 备：</t>
        </is>
      </c>
    </row>
    <row r="1278">
      <c r="B1278" s="0" t="inlineStr">
        <is>
          <t>NULL</t>
        </is>
      </c>
      <c r="C1278" s="0" t="inlineStr">
        <is>
          <t>NULL</t>
        </is>
      </c>
      <c r="D1278" s="0" t="inlineStr">
        <is>
          <t>NULL</t>
        </is>
      </c>
      <c r="E1278" s="0" t="inlineStr">
        <is>
          <t>NULL</t>
        </is>
      </c>
      <c r="F1278" s="0" t="inlineStr">
        <is>
          <t>NULL</t>
        </is>
      </c>
      <c r="G1278" s="0" t="inlineStr">
        <is>
          <t>NULL</t>
        </is>
      </c>
      <c r="H1278" s="0" t="inlineStr">
        <is>
          <t>NULL</t>
        </is>
      </c>
      <c r="I1278" s="0" t="inlineStr">
        <is>
          <t>NULL</t>
        </is>
      </c>
      <c r="J1278" s="0" t="inlineStr">
        <is>
          <t>NULL</t>
        </is>
      </c>
      <c r="K1278" s="0" t="inlineStr">
        <is>
          <t xml:space="preserve"> NO!  	 c_geography列源备映射错误，源端为geography -1位	期望更改为text	实际备端为geography -1位</t>
        </is>
      </c>
      <c r="EH1278" s="0" t="inlineStr">
        <is>
          <t>71行 12列，源：None 备：</t>
        </is>
      </c>
      <c r="ES1278" s="0" t="inlineStr">
        <is>
          <t>71行 18列，源：None 备：</t>
        </is>
      </c>
    </row>
    <row r="1279">
      <c r="A1279" s="0" t="inlineStr">
        <is>
          <t>info_varchar_dml_single_pk_drp</t>
        </is>
      </c>
      <c r="K1279" s="0" t="inlineStr">
        <is>
          <t>[0;34m info_varchar_dml_single_pk_drp [0m源备字段数相同，源端字段：4 	备端字段4</t>
        </is>
      </c>
      <c r="W1279" s="0" t="inlineStr">
        <is>
          <t>YES 源备无差异</t>
        </is>
      </c>
      <c r="X1279" s="0">
        <f>A1279</f>
        <v/>
      </c>
      <c r="EH1279" s="0" t="inlineStr">
        <is>
          <t>71行 13列，源：None 备：</t>
        </is>
      </c>
      <c r="ES1279" s="0" t="inlineStr">
        <is>
          <t>71行 19列，源：None 备：</t>
        </is>
      </c>
    </row>
    <row r="1280">
      <c r="B1280" s="0" t="inlineStr">
        <is>
          <t>YES</t>
        </is>
      </c>
      <c r="C1280" s="0" t="inlineStr">
        <is>
          <t>NULL</t>
        </is>
      </c>
      <c r="D1280" s="0" t="inlineStr">
        <is>
          <t>NULL</t>
        </is>
      </c>
      <c r="E1280" s="0" t="inlineStr">
        <is>
          <t>NULL</t>
        </is>
      </c>
      <c r="F1280" s="0" t="inlineStr">
        <is>
          <t>NULL</t>
        </is>
      </c>
      <c r="G1280" s="0" t="inlineStr">
        <is>
          <t>NULL</t>
        </is>
      </c>
      <c r="H1280" s="0" t="inlineStr">
        <is>
          <t>NULL</t>
        </is>
      </c>
      <c r="I1280" s="0" t="inlineStr">
        <is>
          <t>YES!PK__info_var__3213E83F623193E8</t>
        </is>
      </c>
      <c r="J1280" s="0" t="inlineStr">
        <is>
          <t>YES! 主键相关索引</t>
        </is>
      </c>
      <c r="K1280" s="0" t="inlineStr">
        <is>
          <t xml:space="preserve"> NO!  	 id列源备映射错误，源端为int None位	期望更改为text	实际备端为int None位</t>
        </is>
      </c>
      <c r="EH1280" s="0" t="inlineStr">
        <is>
          <t>71行 14列，源：None 备：</t>
        </is>
      </c>
      <c r="ES1280" s="0" t="inlineStr">
        <is>
          <t>72行 0列，源：213 备：6</t>
        </is>
      </c>
    </row>
    <row r="1281">
      <c r="B1281" s="0" t="inlineStr">
        <is>
          <t>NULL</t>
        </is>
      </c>
      <c r="C1281" s="0" t="inlineStr">
        <is>
          <t>NULL</t>
        </is>
      </c>
      <c r="D1281" s="0" t="inlineStr">
        <is>
          <t>NULL</t>
        </is>
      </c>
      <c r="E1281" s="0" t="inlineStr">
        <is>
          <t>NULL</t>
        </is>
      </c>
      <c r="F1281" s="0" t="inlineStr">
        <is>
          <t>NULL</t>
        </is>
      </c>
      <c r="G1281" s="0" t="inlineStr">
        <is>
          <t>NULL</t>
        </is>
      </c>
      <c r="H1281" s="0" t="inlineStr">
        <is>
          <t>NULL</t>
        </is>
      </c>
      <c r="I1281" s="0" t="inlineStr">
        <is>
          <t>NULL</t>
        </is>
      </c>
      <c r="J1281" s="0" t="inlineStr">
        <is>
          <t>NULL</t>
        </is>
      </c>
      <c r="K1281" s="0" t="inlineStr">
        <is>
          <t xml:space="preserve"> NO!  	 c_varchar列源备映射错误，源端为varchar 1位	期望更改为text	实际备端为varchar 1位</t>
        </is>
      </c>
      <c r="EH1281" s="0" t="inlineStr">
        <is>
          <t>71行 15列，源：nan 备：340282346600000016151267322115014000640.0000000000000</t>
        </is>
      </c>
      <c r="ES1281" s="0" t="inlineStr">
        <is>
          <t>72行 1列，源：nan 备：127</t>
        </is>
      </c>
    </row>
    <row r="1282">
      <c r="B1282" s="0" t="inlineStr">
        <is>
          <t>NULL</t>
        </is>
      </c>
      <c r="C1282" s="0" t="inlineStr">
        <is>
          <t>NULL</t>
        </is>
      </c>
      <c r="D1282" s="0" t="inlineStr">
        <is>
          <t>NULL</t>
        </is>
      </c>
      <c r="E1282" s="0" t="inlineStr">
        <is>
          <t>NULL</t>
        </is>
      </c>
      <c r="F1282" s="0" t="inlineStr">
        <is>
          <t>NULL</t>
        </is>
      </c>
      <c r="G1282" s="0" t="inlineStr">
        <is>
          <t>NULL</t>
        </is>
      </c>
      <c r="H1282" s="0" t="inlineStr">
        <is>
          <t>NULL</t>
        </is>
      </c>
      <c r="I1282" s="0" t="inlineStr">
        <is>
          <t>NULL</t>
        </is>
      </c>
      <c r="J1282" s="0" t="inlineStr">
        <is>
          <t>NULL</t>
        </is>
      </c>
      <c r="K1282" s="0" t="inlineStr">
        <is>
          <t xml:space="preserve"> NO!  	 c_varchar50列源备映射错误，源端为varchar 50位	期望更改为text	实际备端为varchar 50位</t>
        </is>
      </c>
      <c r="EH1282" s="0" t="inlineStr">
        <is>
          <t>71行 16列，源：nan 备：340282306073709652508363335590014353408.000000</t>
        </is>
      </c>
      <c r="ES1282" s="0" t="inlineStr">
        <is>
          <t>72行 2列，源：nan 备：255</t>
        </is>
      </c>
    </row>
    <row r="1283">
      <c r="B1283" s="0" t="inlineStr">
        <is>
          <t>NULL</t>
        </is>
      </c>
      <c r="C1283" s="0" t="inlineStr">
        <is>
          <t>NULL</t>
        </is>
      </c>
      <c r="D1283" s="0" t="inlineStr">
        <is>
          <t>NULL</t>
        </is>
      </c>
      <c r="E1283" s="0" t="inlineStr">
        <is>
          <t>NULL</t>
        </is>
      </c>
      <c r="F1283" s="0" t="inlineStr">
        <is>
          <t>NULL</t>
        </is>
      </c>
      <c r="G1283" s="0" t="inlineStr">
        <is>
          <t>NULL</t>
        </is>
      </c>
      <c r="H1283" s="0" t="inlineStr">
        <is>
          <t>NULL</t>
        </is>
      </c>
      <c r="I1283" s="0" t="inlineStr">
        <is>
          <t>NULL</t>
        </is>
      </c>
      <c r="J1283" s="0" t="inlineStr">
        <is>
          <t>NULL</t>
        </is>
      </c>
      <c r="K1283" s="0" t="inlineStr">
        <is>
          <t xml:space="preserve"> NO!  	 c_varchar200列源备映射错误，源端为varchar 200位	期望更改为text	实际备端为varchar 200位</t>
        </is>
      </c>
      <c r="EH1283" s="0" t="inlineStr">
        <is>
          <t>71行 17列，源：None 备：922337203685477.5807</t>
        </is>
      </c>
      <c r="ES1283" s="0" t="inlineStr">
        <is>
          <t>72行 3列，源：nan 备：65535</t>
        </is>
      </c>
    </row>
    <row r="1284">
      <c r="A1284" s="0" t="inlineStr">
        <is>
          <t>info_time_dml_batch1_pk_drp2</t>
        </is>
      </c>
      <c r="K1284" s="0" t="inlineStr">
        <is>
          <t>[0;34m info_time_dml_batch1_pk_drp2 [0m源备字段数相同，源端字段：9 	备端字段9</t>
        </is>
      </c>
      <c r="W1284" s="2">
        <f>HYPERLINK("#2026041905hbase4!EK2","NO 源备存在差异，共69个")</f>
        <v/>
      </c>
      <c r="X1284" s="0">
        <f>A1284</f>
        <v/>
      </c>
      <c r="EH1284" s="0" t="inlineStr">
        <is>
          <t>71行 18列，源：None 备：214748.3647</t>
        </is>
      </c>
      <c r="ES1284" s="0" t="inlineStr">
        <is>
          <t>72行 4列，源：nan 备：4294967295</t>
        </is>
      </c>
    </row>
    <row r="1285">
      <c r="B1285" s="0" t="inlineStr">
        <is>
          <t>YES</t>
        </is>
      </c>
      <c r="C1285" s="0" t="inlineStr">
        <is>
          <t>NULL</t>
        </is>
      </c>
      <c r="D1285" s="0" t="inlineStr">
        <is>
          <t>NULL</t>
        </is>
      </c>
      <c r="E1285" s="0" t="inlineStr">
        <is>
          <t>NULL</t>
        </is>
      </c>
      <c r="F1285" s="0" t="inlineStr">
        <is>
          <t>NULL</t>
        </is>
      </c>
      <c r="G1285" s="0" t="inlineStr">
        <is>
          <t>NULL</t>
        </is>
      </c>
      <c r="H1285" s="0" t="inlineStr">
        <is>
          <t>NULL</t>
        </is>
      </c>
      <c r="I1285" s="0" t="inlineStr">
        <is>
          <t>YES!PK__info_tim__3213E83F8B2481D2</t>
        </is>
      </c>
      <c r="J1285" s="0" t="inlineStr">
        <is>
          <t>YES! 主键相关索引</t>
        </is>
      </c>
      <c r="K1285" s="0" t="inlineStr">
        <is>
          <t xml:space="preserve"> NO!  	 id列源备映射错误，源端为int None位	期望更改为text	实际备端为int None位</t>
        </is>
      </c>
      <c r="EH1285" s="0" t="inlineStr">
        <is>
          <t>71行 19列，源：None 备：1</t>
        </is>
      </c>
      <c r="ES1285" s="0" t="inlineStr">
        <is>
          <t>72行 5列，源：None 备：</t>
        </is>
      </c>
    </row>
    <row r="1286">
      <c r="B1286" s="0" t="inlineStr">
        <is>
          <t>NULL</t>
        </is>
      </c>
      <c r="C1286" s="0" t="inlineStr">
        <is>
          <t>NULL</t>
        </is>
      </c>
      <c r="D1286" s="0" t="inlineStr">
        <is>
          <t>NULL</t>
        </is>
      </c>
      <c r="E1286" s="0" t="inlineStr">
        <is>
          <t>NULL</t>
        </is>
      </c>
      <c r="F1286" s="0" t="inlineStr">
        <is>
          <t>NULL</t>
        </is>
      </c>
      <c r="G1286" s="0" t="inlineStr">
        <is>
          <t>NULL</t>
        </is>
      </c>
      <c r="H1286" s="0" t="inlineStr">
        <is>
          <t>NULL</t>
        </is>
      </c>
      <c r="I1286" s="0" t="inlineStr">
        <is>
          <t>NULL</t>
        </is>
      </c>
      <c r="J1286" s="0" t="inlineStr">
        <is>
          <t>NULL</t>
        </is>
      </c>
      <c r="K1286" s="0" t="inlineStr">
        <is>
          <t xml:space="preserve"> NO!  	 c_time0列源备映射错误，源端为time None位	期望更改为text	实际备端为time None位</t>
        </is>
      </c>
      <c r="EH1286" s="0" t="inlineStr">
        <is>
          <t>72行 0列，源：163 备：220</t>
        </is>
      </c>
      <c r="ES1286" s="0" t="inlineStr">
        <is>
          <t>72行 6列，源：None 备：</t>
        </is>
      </c>
    </row>
    <row r="1287">
      <c r="B1287" s="0" t="inlineStr">
        <is>
          <t>NULL</t>
        </is>
      </c>
      <c r="C1287" s="0" t="inlineStr">
        <is>
          <t>NULL</t>
        </is>
      </c>
      <c r="D1287" s="0" t="inlineStr">
        <is>
          <t>NULL</t>
        </is>
      </c>
      <c r="E1287" s="0" t="inlineStr">
        <is>
          <t>NULL</t>
        </is>
      </c>
      <c r="F1287" s="0" t="inlineStr">
        <is>
          <t>NULL</t>
        </is>
      </c>
      <c r="G1287" s="0" t="inlineStr">
        <is>
          <t>NULL</t>
        </is>
      </c>
      <c r="H1287" s="0" t="inlineStr">
        <is>
          <t>NULL</t>
        </is>
      </c>
      <c r="I1287" s="0" t="inlineStr">
        <is>
          <t>NULL</t>
        </is>
      </c>
      <c r="J1287" s="0" t="inlineStr">
        <is>
          <t>NULL</t>
        </is>
      </c>
      <c r="K1287" s="0" t="inlineStr">
        <is>
          <t xml:space="preserve"> NO!  	 c_time1列源备映射错误，源端为time None位	期望更改为text	实际备端为time None位</t>
        </is>
      </c>
      <c r="EH1287" s="0" t="inlineStr">
        <is>
          <t>72行 1列，源：nan 备：</t>
        </is>
      </c>
      <c r="ES1287" s="0" t="inlineStr">
        <is>
          <t>72行 7列，源：None 备：</t>
        </is>
      </c>
    </row>
    <row r="1288">
      <c r="B1288" s="0" t="inlineStr">
        <is>
          <t>NULL</t>
        </is>
      </c>
      <c r="C1288" s="0" t="inlineStr">
        <is>
          <t>NULL</t>
        </is>
      </c>
      <c r="D1288" s="0" t="inlineStr">
        <is>
          <t>NULL</t>
        </is>
      </c>
      <c r="E1288" s="0" t="inlineStr">
        <is>
          <t>NULL</t>
        </is>
      </c>
      <c r="F1288" s="0" t="inlineStr">
        <is>
          <t>NULL</t>
        </is>
      </c>
      <c r="G1288" s="0" t="inlineStr">
        <is>
          <t>NULL</t>
        </is>
      </c>
      <c r="H1288" s="0" t="inlineStr">
        <is>
          <t>NULL</t>
        </is>
      </c>
      <c r="I1288" s="0" t="inlineStr">
        <is>
          <t>NULL</t>
        </is>
      </c>
      <c r="J1288" s="0" t="inlineStr">
        <is>
          <t>NULL</t>
        </is>
      </c>
      <c r="K1288" s="0" t="inlineStr">
        <is>
          <t xml:space="preserve"> NO!  	 c_time2列源备映射错误，源端为time None位	期望更改为text	实际备端为time None位</t>
        </is>
      </c>
      <c r="EH1288" s="0" t="inlineStr">
        <is>
          <t>72行 2列，源：nan 备：</t>
        </is>
      </c>
      <c r="ES1288" s="0" t="inlineStr">
        <is>
          <t>72行 8列，源：None 备：</t>
        </is>
      </c>
    </row>
    <row r="1289">
      <c r="B1289" s="0" t="inlineStr">
        <is>
          <t>NULL</t>
        </is>
      </c>
      <c r="C1289" s="0" t="inlineStr">
        <is>
          <t>NULL</t>
        </is>
      </c>
      <c r="D1289" s="0" t="inlineStr">
        <is>
          <t>NULL</t>
        </is>
      </c>
      <c r="E1289" s="0" t="inlineStr">
        <is>
          <t>NULL</t>
        </is>
      </c>
      <c r="F1289" s="0" t="inlineStr">
        <is>
          <t>NULL</t>
        </is>
      </c>
      <c r="G1289" s="0" t="inlineStr">
        <is>
          <t>NULL</t>
        </is>
      </c>
      <c r="H1289" s="0" t="inlineStr">
        <is>
          <t>NULL</t>
        </is>
      </c>
      <c r="I1289" s="0" t="inlineStr">
        <is>
          <t>NULL</t>
        </is>
      </c>
      <c r="J1289" s="0" t="inlineStr">
        <is>
          <t>NULL</t>
        </is>
      </c>
      <c r="K1289" s="0" t="inlineStr">
        <is>
          <t xml:space="preserve"> NO!  	 c_time3列源备映射错误，源端为time None位	期望更改为text	实际备端为time None位</t>
        </is>
      </c>
      <c r="EH1289" s="0" t="inlineStr">
        <is>
          <t>72行 3列，源：nan 备：</t>
        </is>
      </c>
      <c r="ES1289" s="0" t="inlineStr">
        <is>
          <t>72行 9列，源：None 备：</t>
        </is>
      </c>
    </row>
    <row r="1290">
      <c r="B1290" s="0" t="inlineStr">
        <is>
          <t>NULL</t>
        </is>
      </c>
      <c r="C1290" s="0" t="inlineStr">
        <is>
          <t>NULL</t>
        </is>
      </c>
      <c r="D1290" s="0" t="inlineStr">
        <is>
          <t>NULL</t>
        </is>
      </c>
      <c r="E1290" s="0" t="inlineStr">
        <is>
          <t>NULL</t>
        </is>
      </c>
      <c r="F1290" s="0" t="inlineStr">
        <is>
          <t>NULL</t>
        </is>
      </c>
      <c r="G1290" s="0" t="inlineStr">
        <is>
          <t>NULL</t>
        </is>
      </c>
      <c r="H1290" s="0" t="inlineStr">
        <is>
          <t>NULL</t>
        </is>
      </c>
      <c r="I1290" s="0" t="inlineStr">
        <is>
          <t>NULL</t>
        </is>
      </c>
      <c r="J1290" s="0" t="inlineStr">
        <is>
          <t>NULL</t>
        </is>
      </c>
      <c r="K1290" s="0" t="inlineStr">
        <is>
          <t xml:space="preserve"> NO!  	 c_time4列源备映射错误，源端为time None位	期望更改为text	实际备端为time None位</t>
        </is>
      </c>
      <c r="EH1290" s="0" t="inlineStr">
        <is>
          <t>72行 4列，源：nan 备：</t>
        </is>
      </c>
      <c r="ES1290" s="0" t="inlineStr">
        <is>
          <t>72行 10列，源：None 备：</t>
        </is>
      </c>
    </row>
    <row r="1291">
      <c r="B1291" s="0" t="inlineStr">
        <is>
          <t>NULL</t>
        </is>
      </c>
      <c r="C1291" s="0" t="inlineStr">
        <is>
          <t>NULL</t>
        </is>
      </c>
      <c r="D1291" s="0" t="inlineStr">
        <is>
          <t>NULL</t>
        </is>
      </c>
      <c r="E1291" s="0" t="inlineStr">
        <is>
          <t>NULL</t>
        </is>
      </c>
      <c r="F1291" s="0" t="inlineStr">
        <is>
          <t>NULL</t>
        </is>
      </c>
      <c r="G1291" s="0" t="inlineStr">
        <is>
          <t>NULL</t>
        </is>
      </c>
      <c r="H1291" s="0" t="inlineStr">
        <is>
          <t>NULL</t>
        </is>
      </c>
      <c r="I1291" s="0" t="inlineStr">
        <is>
          <t>NULL</t>
        </is>
      </c>
      <c r="J1291" s="0" t="inlineStr">
        <is>
          <t>NULL</t>
        </is>
      </c>
      <c r="K1291" s="0" t="inlineStr">
        <is>
          <t xml:space="preserve"> NO!  	 c_time5列源备映射错误，源端为time None位	期望更改为text	实际备端为time None位</t>
        </is>
      </c>
      <c r="EH1291" s="0" t="inlineStr">
        <is>
          <t>72行 5列，源：None 备：</t>
        </is>
      </c>
      <c r="ES1291" s="0" t="inlineStr">
        <is>
          <t>72行 11列，源：None 备：</t>
        </is>
      </c>
    </row>
    <row r="1292">
      <c r="B1292" s="0" t="inlineStr">
        <is>
          <t>NULL</t>
        </is>
      </c>
      <c r="C1292" s="0" t="inlineStr">
        <is>
          <t>NULL</t>
        </is>
      </c>
      <c r="D1292" s="0" t="inlineStr">
        <is>
          <t>NULL</t>
        </is>
      </c>
      <c r="E1292" s="0" t="inlineStr">
        <is>
          <t>NULL</t>
        </is>
      </c>
      <c r="F1292" s="0" t="inlineStr">
        <is>
          <t>NULL</t>
        </is>
      </c>
      <c r="G1292" s="0" t="inlineStr">
        <is>
          <t>NULL</t>
        </is>
      </c>
      <c r="H1292" s="0" t="inlineStr">
        <is>
          <t>NULL</t>
        </is>
      </c>
      <c r="I1292" s="0" t="inlineStr">
        <is>
          <t>NULL</t>
        </is>
      </c>
      <c r="J1292" s="0" t="inlineStr">
        <is>
          <t>NULL</t>
        </is>
      </c>
      <c r="K1292" s="0" t="inlineStr">
        <is>
          <t xml:space="preserve"> NO!  	 c_time6列源备映射错误，源端为time None位	期望更改为text	实际备端为time None位</t>
        </is>
      </c>
      <c r="EH1292" s="0" t="inlineStr">
        <is>
          <t>72行 6列，源：None 备：</t>
        </is>
      </c>
      <c r="ES1292" s="0" t="inlineStr">
        <is>
          <t>72行 12列，源：None 备：</t>
        </is>
      </c>
    </row>
    <row r="1293">
      <c r="B1293" s="0" t="inlineStr">
        <is>
          <t>NULL</t>
        </is>
      </c>
      <c r="C1293" s="0" t="inlineStr">
        <is>
          <t>NULL</t>
        </is>
      </c>
      <c r="D1293" s="0" t="inlineStr">
        <is>
          <t>NULL</t>
        </is>
      </c>
      <c r="E1293" s="0" t="inlineStr">
        <is>
          <t>NULL</t>
        </is>
      </c>
      <c r="F1293" s="0" t="inlineStr">
        <is>
          <t>NULL</t>
        </is>
      </c>
      <c r="G1293" s="0" t="inlineStr">
        <is>
          <t>NULL</t>
        </is>
      </c>
      <c r="H1293" s="0" t="inlineStr">
        <is>
          <t>NULL</t>
        </is>
      </c>
      <c r="I1293" s="0" t="inlineStr">
        <is>
          <t>NULL</t>
        </is>
      </c>
      <c r="J1293" s="0" t="inlineStr">
        <is>
          <t>NULL</t>
        </is>
      </c>
      <c r="K1293" s="0" t="inlineStr">
        <is>
          <t xml:space="preserve"> NO!  	 c_time列源备映射错误，源端为time None位	期望更改为text	实际备端为time None位</t>
        </is>
      </c>
      <c r="EH1293" s="0" t="inlineStr">
        <is>
          <t>72行 7列，源：None 备：</t>
        </is>
      </c>
      <c r="ES1293" s="0" t="inlineStr">
        <is>
          <t>72行 13列，源：None 备：</t>
        </is>
      </c>
    </row>
    <row r="1294">
      <c r="A1294" s="0" t="inlineStr">
        <is>
          <t>info_varchar_dml_batch1_pk_urp1</t>
        </is>
      </c>
      <c r="K1294" s="0" t="inlineStr">
        <is>
          <t>[0;34m info_varchar_dml_batch1_pk_urp1 [0m源备字段数相同，源端字段：4 	备端字段4</t>
        </is>
      </c>
      <c r="W1294" s="0" t="inlineStr">
        <is>
          <t>YES 源备无差异</t>
        </is>
      </c>
      <c r="X1294" s="0">
        <f>A1294</f>
        <v/>
      </c>
      <c r="EH1294" s="0" t="inlineStr">
        <is>
          <t>72行 8列，源：None 备：</t>
        </is>
      </c>
      <c r="ES1294" s="0" t="inlineStr">
        <is>
          <t>72行 14列，源：None 备：</t>
        </is>
      </c>
    </row>
    <row r="1295">
      <c r="B1295" s="0" t="inlineStr">
        <is>
          <t>YES</t>
        </is>
      </c>
      <c r="C1295" s="0" t="inlineStr">
        <is>
          <t>NULL</t>
        </is>
      </c>
      <c r="D1295" s="0" t="inlineStr">
        <is>
          <t>NULL</t>
        </is>
      </c>
      <c r="E1295" s="0" t="inlineStr">
        <is>
          <t>NULL</t>
        </is>
      </c>
      <c r="F1295" s="0" t="inlineStr">
        <is>
          <t>NULL</t>
        </is>
      </c>
      <c r="G1295" s="0" t="inlineStr">
        <is>
          <t>NULL</t>
        </is>
      </c>
      <c r="H1295" s="0" t="inlineStr">
        <is>
          <t>NULL</t>
        </is>
      </c>
      <c r="I1295" s="0" t="inlineStr">
        <is>
          <t>YES!PK__info_var__3213E83F14E721FC</t>
        </is>
      </c>
      <c r="J1295" s="0" t="inlineStr">
        <is>
          <t>YES! 主键相关索引</t>
        </is>
      </c>
      <c r="K1295" s="0" t="inlineStr">
        <is>
          <t xml:space="preserve"> NO!  	 id列源备映射错误，源端为int None位	期望更改为text	实际备端为int None位</t>
        </is>
      </c>
      <c r="EH1295" s="0" t="inlineStr">
        <is>
          <t>72行 9列，源：None 备：</t>
        </is>
      </c>
      <c r="ES1295" s="0" t="inlineStr">
        <is>
          <t>72行 15列，源：nan 备：</t>
        </is>
      </c>
    </row>
    <row r="1296">
      <c r="B1296" s="0" t="inlineStr">
        <is>
          <t>NULL</t>
        </is>
      </c>
      <c r="C1296" s="0" t="inlineStr">
        <is>
          <t>NULL</t>
        </is>
      </c>
      <c r="D1296" s="0" t="inlineStr">
        <is>
          <t>NULL</t>
        </is>
      </c>
      <c r="E1296" s="0" t="inlineStr">
        <is>
          <t>NULL</t>
        </is>
      </c>
      <c r="F1296" s="0" t="inlineStr">
        <is>
          <t>NULL</t>
        </is>
      </c>
      <c r="G1296" s="0" t="inlineStr">
        <is>
          <t>NULL</t>
        </is>
      </c>
      <c r="H1296" s="0" t="inlineStr">
        <is>
          <t>NULL</t>
        </is>
      </c>
      <c r="I1296" s="0" t="inlineStr">
        <is>
          <t>NULL</t>
        </is>
      </c>
      <c r="J1296" s="0" t="inlineStr">
        <is>
          <t>NULL</t>
        </is>
      </c>
      <c r="K1296" s="0" t="inlineStr">
        <is>
          <t xml:space="preserve"> NO!  	 c_varchar列源备映射错误，源端为varchar 1位	期望更改为text	实际备端为varchar 1位</t>
        </is>
      </c>
      <c r="EH1296" s="0" t="inlineStr">
        <is>
          <t>72行 10列，源：None 备：</t>
        </is>
      </c>
      <c r="ES1296" s="0" t="inlineStr">
        <is>
          <t>72行 16列，源：nan 备：</t>
        </is>
      </c>
    </row>
    <row r="1297">
      <c r="B1297" s="0" t="inlineStr">
        <is>
          <t>NULL</t>
        </is>
      </c>
      <c r="C1297" s="0" t="inlineStr">
        <is>
          <t>NULL</t>
        </is>
      </c>
      <c r="D1297" s="0" t="inlineStr">
        <is>
          <t>NULL</t>
        </is>
      </c>
      <c r="E1297" s="0" t="inlineStr">
        <is>
          <t>NULL</t>
        </is>
      </c>
      <c r="F1297" s="0" t="inlineStr">
        <is>
          <t>NULL</t>
        </is>
      </c>
      <c r="G1297" s="0" t="inlineStr">
        <is>
          <t>NULL</t>
        </is>
      </c>
      <c r="H1297" s="0" t="inlineStr">
        <is>
          <t>NULL</t>
        </is>
      </c>
      <c r="I1297" s="0" t="inlineStr">
        <is>
          <t>NULL</t>
        </is>
      </c>
      <c r="J1297" s="0" t="inlineStr">
        <is>
          <t>NULL</t>
        </is>
      </c>
      <c r="K1297" s="0" t="inlineStr">
        <is>
          <t xml:space="preserve"> NO!  	 c_varchar20列源备映射错误，源端为varchar 20位	期望更改为text	实际备端为varchar 20位</t>
        </is>
      </c>
      <c r="EH1297" s="0" t="inlineStr">
        <is>
          <t>72行 11列，源：None 备：</t>
        </is>
      </c>
      <c r="ES1297" s="0" t="inlineStr">
        <is>
          <t>72行 17列，源：None 备：</t>
        </is>
      </c>
    </row>
    <row r="1298">
      <c r="B1298" s="0" t="inlineStr">
        <is>
          <t>NULL</t>
        </is>
      </c>
      <c r="C1298" s="0" t="inlineStr">
        <is>
          <t>NULL</t>
        </is>
      </c>
      <c r="D1298" s="0" t="inlineStr">
        <is>
          <t>NULL</t>
        </is>
      </c>
      <c r="E1298" s="0" t="inlineStr">
        <is>
          <t>NULL</t>
        </is>
      </c>
      <c r="F1298" s="0" t="inlineStr">
        <is>
          <t>NULL</t>
        </is>
      </c>
      <c r="G1298" s="0" t="inlineStr">
        <is>
          <t>NULL</t>
        </is>
      </c>
      <c r="H1298" s="0" t="inlineStr">
        <is>
          <t>NULL</t>
        </is>
      </c>
      <c r="I1298" s="0" t="inlineStr">
        <is>
          <t>NULL</t>
        </is>
      </c>
      <c r="J1298" s="0" t="inlineStr">
        <is>
          <t>NULL</t>
        </is>
      </c>
      <c r="K1298" s="0" t="inlineStr">
        <is>
          <t xml:space="preserve"> NO!  	 c_varchar7000列源备映射错误，源端为varchar 7000位	期望更改为text	实际备端为varchar 7000位</t>
        </is>
      </c>
      <c r="EH1298" s="0" t="inlineStr">
        <is>
          <t>72行 12列，源：None 备：</t>
        </is>
      </c>
      <c r="ES1298" s="0" t="inlineStr">
        <is>
          <t>72行 18列，源：None 备：</t>
        </is>
      </c>
    </row>
    <row r="1299">
      <c r="A1299" s="0" t="inlineStr">
        <is>
          <t>info_nvarchar_dml_batch2_pk_irp2</t>
        </is>
      </c>
      <c r="K1299" s="0" t="inlineStr">
        <is>
          <t>[0;34m info_nvarchar_dml_batch2_pk_irp2 [0m源备字段数相同，源端字段：4 	备端字段4</t>
        </is>
      </c>
      <c r="W1299" s="2">
        <f>HYPERLINK("#2026041905hbase4!EL2","NO 源备存在差异，共3个")</f>
        <v/>
      </c>
      <c r="X1299" s="0">
        <f>A1299</f>
        <v/>
      </c>
      <c r="EH1299" s="0" t="inlineStr">
        <is>
          <t>72行 13列，源：None 备：</t>
        </is>
      </c>
      <c r="ES1299" s="0" t="inlineStr">
        <is>
          <t>72行 19列，源：None 备：</t>
        </is>
      </c>
    </row>
    <row r="1300">
      <c r="B1300" s="0" t="inlineStr">
        <is>
          <t>YES</t>
        </is>
      </c>
      <c r="C1300" s="0" t="inlineStr">
        <is>
          <t>NULL</t>
        </is>
      </c>
      <c r="D1300" s="0" t="inlineStr">
        <is>
          <t>NULL</t>
        </is>
      </c>
      <c r="E1300" s="0" t="inlineStr">
        <is>
          <t>NULL</t>
        </is>
      </c>
      <c r="F1300" s="0" t="inlineStr">
        <is>
          <t>NULL</t>
        </is>
      </c>
      <c r="G1300" s="0" t="inlineStr">
        <is>
          <t>NULL</t>
        </is>
      </c>
      <c r="H1300" s="0" t="inlineStr">
        <is>
          <t>NULL</t>
        </is>
      </c>
      <c r="I1300" s="0" t="inlineStr">
        <is>
          <t>YES!PK__info_nva__3213E83FC38A60D2</t>
        </is>
      </c>
      <c r="J1300" s="0" t="inlineStr">
        <is>
          <t>YES! 主键相关索引</t>
        </is>
      </c>
      <c r="K1300" s="0" t="inlineStr">
        <is>
          <t xml:space="preserve"> NO!  	 id列源备映射错误，源端为int None位	期望更改为text	实际备端为int None位</t>
        </is>
      </c>
      <c r="EH1300" s="0" t="inlineStr">
        <is>
          <t>72行 14列，源：None 备：</t>
        </is>
      </c>
      <c r="ES1300" s="0" t="inlineStr">
        <is>
          <t>73行 0列，源：214 备：60</t>
        </is>
      </c>
    </row>
    <row r="1301">
      <c r="B1301" s="0" t="inlineStr">
        <is>
          <t>NULL</t>
        </is>
      </c>
      <c r="C1301" s="0" t="inlineStr">
        <is>
          <t>NULL</t>
        </is>
      </c>
      <c r="D1301" s="0" t="inlineStr">
        <is>
          <t>NULL</t>
        </is>
      </c>
      <c r="E1301" s="0" t="inlineStr">
        <is>
          <t>NULL</t>
        </is>
      </c>
      <c r="F1301" s="0" t="inlineStr">
        <is>
          <t>NULL</t>
        </is>
      </c>
      <c r="G1301" s="0" t="inlineStr">
        <is>
          <t>NULL</t>
        </is>
      </c>
      <c r="H1301" s="0" t="inlineStr">
        <is>
          <t>NULL</t>
        </is>
      </c>
      <c r="I1301" s="0" t="inlineStr">
        <is>
          <t>NULL</t>
        </is>
      </c>
      <c r="J1301" s="0" t="inlineStr">
        <is>
          <t>NULL</t>
        </is>
      </c>
      <c r="K1301" s="0" t="inlineStr">
        <is>
          <t xml:space="preserve"> NO!  	 c_nvarchar列源备映射错误，源端为nvarchar 2位	期望更改为text	实际备端为nvarchar 2位</t>
        </is>
      </c>
      <c r="EH1301" s="0" t="inlineStr">
        <is>
          <t>72行 15列，源：nan 备：-340282346600000016151267322115014000640.0000000000000</t>
        </is>
      </c>
      <c r="ES1301" s="0" t="inlineStr">
        <is>
          <t>73行 1列，源：nan 备：99</t>
        </is>
      </c>
    </row>
    <row r="1302">
      <c r="B1302" s="0" t="inlineStr">
        <is>
          <t>NULL</t>
        </is>
      </c>
      <c r="C1302" s="0" t="inlineStr">
        <is>
          <t>NULL</t>
        </is>
      </c>
      <c r="D1302" s="0" t="inlineStr">
        <is>
          <t>NULL</t>
        </is>
      </c>
      <c r="E1302" s="0" t="inlineStr">
        <is>
          <t>NULL</t>
        </is>
      </c>
      <c r="F1302" s="0" t="inlineStr">
        <is>
          <t>NULL</t>
        </is>
      </c>
      <c r="G1302" s="0" t="inlineStr">
        <is>
          <t>NULL</t>
        </is>
      </c>
      <c r="H1302" s="0" t="inlineStr">
        <is>
          <t>NULL</t>
        </is>
      </c>
      <c r="I1302" s="0" t="inlineStr">
        <is>
          <t>NULL</t>
        </is>
      </c>
      <c r="J1302" s="0" t="inlineStr">
        <is>
          <t>NULL</t>
        </is>
      </c>
      <c r="K1302" s="0" t="inlineStr">
        <is>
          <t xml:space="preserve"> NO!  	 c_nvarchar20列源备映射错误，源端为nvarchar 40位	期望更改为text	实际备端为nvarchar 40位</t>
        </is>
      </c>
      <c r="EH1302" s="0" t="inlineStr">
        <is>
          <t>72行 16列，源：nan 备：-340282306073709652508363335590014353408.000000</t>
        </is>
      </c>
      <c r="ES1302" s="0" t="inlineStr">
        <is>
          <t>73行 2列，源：nan 备：-12345</t>
        </is>
      </c>
    </row>
    <row r="1303">
      <c r="B1303" s="0" t="inlineStr">
        <is>
          <t>NULL</t>
        </is>
      </c>
      <c r="C1303" s="0" t="inlineStr">
        <is>
          <t>NULL</t>
        </is>
      </c>
      <c r="D1303" s="0" t="inlineStr">
        <is>
          <t>NULL</t>
        </is>
      </c>
      <c r="E1303" s="0" t="inlineStr">
        <is>
          <t>NULL</t>
        </is>
      </c>
      <c r="F1303" s="0" t="inlineStr">
        <is>
          <t>NULL</t>
        </is>
      </c>
      <c r="G1303" s="0" t="inlineStr">
        <is>
          <t>NULL</t>
        </is>
      </c>
      <c r="H1303" s="0" t="inlineStr">
        <is>
          <t>NULL</t>
        </is>
      </c>
      <c r="I1303" s="0" t="inlineStr">
        <is>
          <t>NULL</t>
        </is>
      </c>
      <c r="J1303" s="0" t="inlineStr">
        <is>
          <t>NULL</t>
        </is>
      </c>
      <c r="K1303" s="0" t="inlineStr">
        <is>
          <t xml:space="preserve"> NO!  	 c_nvarchar3500列源备映射错误，源端为nvarchar 7000位	期望更改为text	实际备端为nvarchar 7000位</t>
        </is>
      </c>
      <c r="EH1303" s="0" t="inlineStr">
        <is>
          <t>72行 17列，源：None 备：-922337203685477.5808</t>
        </is>
      </c>
      <c r="ES1303" s="0" t="inlineStr">
        <is>
          <t>73行 3列，源：nan 备：-123456789</t>
        </is>
      </c>
    </row>
    <row r="1304">
      <c r="A1304" s="0" t="inlineStr">
        <is>
          <t>info_geography_dml_single_pk</t>
        </is>
      </c>
      <c r="K1304" s="0" t="inlineStr">
        <is>
          <t>[0;34m info_geography_dml_single_pk [0m源备字段数相同，源端字段：2 	备端字段2</t>
        </is>
      </c>
      <c r="W1304" s="2">
        <f>HYPERLINK("#2026041905hbase4!EM2","NO 源备存在差异，共1个")</f>
        <v/>
      </c>
      <c r="X1304" s="0">
        <f>A1304</f>
        <v/>
      </c>
      <c r="EH1304" s="0" t="inlineStr">
        <is>
          <t>72行 18列，源：None 备：-214748.3648</t>
        </is>
      </c>
      <c r="ES1304" s="0" t="inlineStr">
        <is>
          <t>73行 4列，源：nan 备：-123456789012345</t>
        </is>
      </c>
    </row>
    <row r="1305">
      <c r="B1305" s="0" t="inlineStr">
        <is>
          <t>YES</t>
        </is>
      </c>
      <c r="C1305" s="0" t="inlineStr">
        <is>
          <t>NULL</t>
        </is>
      </c>
      <c r="D1305" s="0" t="inlineStr">
        <is>
          <t>NULL</t>
        </is>
      </c>
      <c r="E1305" s="0" t="inlineStr">
        <is>
          <t>NULL</t>
        </is>
      </c>
      <c r="F1305" s="0" t="inlineStr">
        <is>
          <t>NULL</t>
        </is>
      </c>
      <c r="G1305" s="0" t="inlineStr">
        <is>
          <t>NULL</t>
        </is>
      </c>
      <c r="H1305" s="0" t="inlineStr">
        <is>
          <t>NULL</t>
        </is>
      </c>
      <c r="I1305" s="0" t="inlineStr">
        <is>
          <t>YES!PK__info_geo__3213E83F6C9EF284</t>
        </is>
      </c>
      <c r="J1305" s="0" t="inlineStr">
        <is>
          <t>YES! 主键相关索引</t>
        </is>
      </c>
      <c r="K1305" s="0" t="inlineStr">
        <is>
          <t xml:space="preserve"> NO!  	 id列源备映射错误，源端为int None位	期望更改为text	实际备端为int None位</t>
        </is>
      </c>
      <c r="EH1305" s="0" t="inlineStr">
        <is>
          <t>72行 19列，源：None 备：0</t>
        </is>
      </c>
      <c r="ES1305" s="0" t="inlineStr">
        <is>
          <t>73行 5列，源：None 备：</t>
        </is>
      </c>
    </row>
    <row r="1306">
      <c r="B1306" s="0" t="inlineStr">
        <is>
          <t>NULL</t>
        </is>
      </c>
      <c r="C1306" s="0" t="inlineStr">
        <is>
          <t>NULL</t>
        </is>
      </c>
      <c r="D1306" s="0" t="inlineStr">
        <is>
          <t>NULL</t>
        </is>
      </c>
      <c r="E1306" s="0" t="inlineStr">
        <is>
          <t>NULL</t>
        </is>
      </c>
      <c r="F1306" s="0" t="inlineStr">
        <is>
          <t>NULL</t>
        </is>
      </c>
      <c r="G1306" s="0" t="inlineStr">
        <is>
          <t>NULL</t>
        </is>
      </c>
      <c r="H1306" s="0" t="inlineStr">
        <is>
          <t>NULL</t>
        </is>
      </c>
      <c r="I1306" s="0" t="inlineStr">
        <is>
          <t>NULL</t>
        </is>
      </c>
      <c r="J1306" s="0" t="inlineStr">
        <is>
          <t>NULL</t>
        </is>
      </c>
      <c r="K1306" s="0" t="inlineStr">
        <is>
          <t xml:space="preserve"> NO!  	 c_geography列源备映射错误，源端为geography -1位	期望更改为text	实际备端为geography -1位</t>
        </is>
      </c>
      <c r="EH1306" s="0" t="inlineStr">
        <is>
          <t>73行 0列，源：164 备：251</t>
        </is>
      </c>
      <c r="ES1306" s="0" t="inlineStr">
        <is>
          <t>73行 6列，源：None 备：</t>
        </is>
      </c>
    </row>
    <row r="1307">
      <c r="A1307" s="0" t="inlineStr">
        <is>
          <t>info_time_dml_batch1_pk</t>
        </is>
      </c>
      <c r="K1307" s="0" t="inlineStr">
        <is>
          <t>[0;34m info_time_dml_batch1_pk [0m源备字段数相同，源端字段：9 	备端字段9</t>
        </is>
      </c>
      <c r="W1307" s="2">
        <f>HYPERLINK("#2026041905hbase4!EN2","NO 源备存在差异，共68个")</f>
        <v/>
      </c>
      <c r="X1307" s="0">
        <f>A1307</f>
        <v/>
      </c>
      <c r="EH1307" s="0" t="inlineStr">
        <is>
          <t>73行 1列，源：nan 备：</t>
        </is>
      </c>
      <c r="ES1307" s="0" t="inlineStr">
        <is>
          <t>73行 7列，源：None 备：</t>
        </is>
      </c>
    </row>
    <row r="1308">
      <c r="B1308" s="0" t="inlineStr">
        <is>
          <t>YES</t>
        </is>
      </c>
      <c r="C1308" s="0" t="inlineStr">
        <is>
          <t>NULL</t>
        </is>
      </c>
      <c r="D1308" s="0" t="inlineStr">
        <is>
          <t>NULL</t>
        </is>
      </c>
      <c r="E1308" s="0" t="inlineStr">
        <is>
          <t>NULL</t>
        </is>
      </c>
      <c r="F1308" s="0" t="inlineStr">
        <is>
          <t>NULL</t>
        </is>
      </c>
      <c r="G1308" s="0" t="inlineStr">
        <is>
          <t>NULL</t>
        </is>
      </c>
      <c r="H1308" s="0" t="inlineStr">
        <is>
          <t>NULL</t>
        </is>
      </c>
      <c r="I1308" s="0" t="inlineStr">
        <is>
          <t>YES!PK__info_tim__3213E83F1D9C477F</t>
        </is>
      </c>
      <c r="J1308" s="0" t="inlineStr">
        <is>
          <t>YES! 主键相关索引</t>
        </is>
      </c>
      <c r="K1308" s="0" t="inlineStr">
        <is>
          <t xml:space="preserve"> NO!  	 id列源备映射错误，源端为int None位	期望更改为text	实际备端为int None位</t>
        </is>
      </c>
      <c r="EH1308" s="0" t="inlineStr">
        <is>
          <t>73行 2列，源：nan 备：</t>
        </is>
      </c>
      <c r="ES1308" s="0" t="inlineStr">
        <is>
          <t>73行 8列，源：None 备：</t>
        </is>
      </c>
    </row>
    <row r="1309">
      <c r="B1309" s="0" t="inlineStr">
        <is>
          <t>NULL</t>
        </is>
      </c>
      <c r="C1309" s="0" t="inlineStr">
        <is>
          <t>NULL</t>
        </is>
      </c>
      <c r="D1309" s="0" t="inlineStr">
        <is>
          <t>NULL</t>
        </is>
      </c>
      <c r="E1309" s="0" t="inlineStr">
        <is>
          <t>NULL</t>
        </is>
      </c>
      <c r="F1309" s="0" t="inlineStr">
        <is>
          <t>NULL</t>
        </is>
      </c>
      <c r="G1309" s="0" t="inlineStr">
        <is>
          <t>NULL</t>
        </is>
      </c>
      <c r="H1309" s="0" t="inlineStr">
        <is>
          <t>NULL</t>
        </is>
      </c>
      <c r="I1309" s="0" t="inlineStr">
        <is>
          <t>NULL</t>
        </is>
      </c>
      <c r="J1309" s="0" t="inlineStr">
        <is>
          <t>NULL</t>
        </is>
      </c>
      <c r="K1309" s="0" t="inlineStr">
        <is>
          <t xml:space="preserve"> NO!  	 c_time0列源备映射错误，源端为time None位	期望更改为text	实际备端为time None位</t>
        </is>
      </c>
      <c r="EH1309" s="0" t="inlineStr">
        <is>
          <t>73行 3列，源：nan 备：</t>
        </is>
      </c>
      <c r="ES1309" s="0" t="inlineStr">
        <is>
          <t>73行 9列，源：None 备：</t>
        </is>
      </c>
    </row>
    <row r="1310">
      <c r="B1310" s="0" t="inlineStr">
        <is>
          <t>NULL</t>
        </is>
      </c>
      <c r="C1310" s="0" t="inlineStr">
        <is>
          <t>NULL</t>
        </is>
      </c>
      <c r="D1310" s="0" t="inlineStr">
        <is>
          <t>NULL</t>
        </is>
      </c>
      <c r="E1310" s="0" t="inlineStr">
        <is>
          <t>NULL</t>
        </is>
      </c>
      <c r="F1310" s="0" t="inlineStr">
        <is>
          <t>NULL</t>
        </is>
      </c>
      <c r="G1310" s="0" t="inlineStr">
        <is>
          <t>NULL</t>
        </is>
      </c>
      <c r="H1310" s="0" t="inlineStr">
        <is>
          <t>NULL</t>
        </is>
      </c>
      <c r="I1310" s="0" t="inlineStr">
        <is>
          <t>NULL</t>
        </is>
      </c>
      <c r="J1310" s="0" t="inlineStr">
        <is>
          <t>NULL</t>
        </is>
      </c>
      <c r="K1310" s="0" t="inlineStr">
        <is>
          <t xml:space="preserve"> NO!  	 c_time1列源备映射错误，源端为time None位	期望更改为text	实际备端为time None位</t>
        </is>
      </c>
      <c r="EH1310" s="0" t="inlineStr">
        <is>
          <t>73行 4列，源：nan 备：</t>
        </is>
      </c>
      <c r="ES1310" s="0" t="inlineStr">
        <is>
          <t>73行 10列，源：None 备：</t>
        </is>
      </c>
    </row>
    <row r="1311">
      <c r="B1311" s="0" t="inlineStr">
        <is>
          <t>NULL</t>
        </is>
      </c>
      <c r="C1311" s="0" t="inlineStr">
        <is>
          <t>NULL</t>
        </is>
      </c>
      <c r="D1311" s="0" t="inlineStr">
        <is>
          <t>NULL</t>
        </is>
      </c>
      <c r="E1311" s="0" t="inlineStr">
        <is>
          <t>NULL</t>
        </is>
      </c>
      <c r="F1311" s="0" t="inlineStr">
        <is>
          <t>NULL</t>
        </is>
      </c>
      <c r="G1311" s="0" t="inlineStr">
        <is>
          <t>NULL</t>
        </is>
      </c>
      <c r="H1311" s="0" t="inlineStr">
        <is>
          <t>NULL</t>
        </is>
      </c>
      <c r="I1311" s="0" t="inlineStr">
        <is>
          <t>NULL</t>
        </is>
      </c>
      <c r="J1311" s="0" t="inlineStr">
        <is>
          <t>NULL</t>
        </is>
      </c>
      <c r="K1311" s="0" t="inlineStr">
        <is>
          <t xml:space="preserve"> NO!  	 c_time2列源备映射错误，源端为time None位	期望更改为text	实际备端为time None位</t>
        </is>
      </c>
      <c r="EH1311" s="0" t="inlineStr">
        <is>
          <t>73行 5列，源：None 备：</t>
        </is>
      </c>
      <c r="ES1311" s="0" t="inlineStr">
        <is>
          <t>73行 11列，源：None 备：</t>
        </is>
      </c>
    </row>
    <row r="1312">
      <c r="B1312" s="0" t="inlineStr">
        <is>
          <t>NULL</t>
        </is>
      </c>
      <c r="C1312" s="0" t="inlineStr">
        <is>
          <t>NULL</t>
        </is>
      </c>
      <c r="D1312" s="0" t="inlineStr">
        <is>
          <t>NULL</t>
        </is>
      </c>
      <c r="E1312" s="0" t="inlineStr">
        <is>
          <t>NULL</t>
        </is>
      </c>
      <c r="F1312" s="0" t="inlineStr">
        <is>
          <t>NULL</t>
        </is>
      </c>
      <c r="G1312" s="0" t="inlineStr">
        <is>
          <t>NULL</t>
        </is>
      </c>
      <c r="H1312" s="0" t="inlineStr">
        <is>
          <t>NULL</t>
        </is>
      </c>
      <c r="I1312" s="0" t="inlineStr">
        <is>
          <t>NULL</t>
        </is>
      </c>
      <c r="J1312" s="0" t="inlineStr">
        <is>
          <t>NULL</t>
        </is>
      </c>
      <c r="K1312" s="0" t="inlineStr">
        <is>
          <t xml:space="preserve"> NO!  	 c_time3列源备映射错误，源端为time None位	期望更改为text	实际备端为time None位</t>
        </is>
      </c>
      <c r="EH1312" s="0" t="inlineStr">
        <is>
          <t>73行 6列，源：None 备：</t>
        </is>
      </c>
      <c r="ES1312" s="0" t="inlineStr">
        <is>
          <t>73行 12列，源：None 备：</t>
        </is>
      </c>
    </row>
    <row r="1313">
      <c r="B1313" s="0" t="inlineStr">
        <is>
          <t>NULL</t>
        </is>
      </c>
      <c r="C1313" s="0" t="inlineStr">
        <is>
          <t>NULL</t>
        </is>
      </c>
      <c r="D1313" s="0" t="inlineStr">
        <is>
          <t>NULL</t>
        </is>
      </c>
      <c r="E1313" s="0" t="inlineStr">
        <is>
          <t>NULL</t>
        </is>
      </c>
      <c r="F1313" s="0" t="inlineStr">
        <is>
          <t>NULL</t>
        </is>
      </c>
      <c r="G1313" s="0" t="inlineStr">
        <is>
          <t>NULL</t>
        </is>
      </c>
      <c r="H1313" s="0" t="inlineStr">
        <is>
          <t>NULL</t>
        </is>
      </c>
      <c r="I1313" s="0" t="inlineStr">
        <is>
          <t>NULL</t>
        </is>
      </c>
      <c r="J1313" s="0" t="inlineStr">
        <is>
          <t>NULL</t>
        </is>
      </c>
      <c r="K1313" s="0" t="inlineStr">
        <is>
          <t xml:space="preserve"> NO!  	 c_time4列源备映射错误，源端为time None位	期望更改为text	实际备端为time None位</t>
        </is>
      </c>
      <c r="EH1313" s="0" t="inlineStr">
        <is>
          <t>73行 7列，源：None 备：</t>
        </is>
      </c>
      <c r="ES1313" s="0" t="inlineStr">
        <is>
          <t>73行 13列，源：None 备：</t>
        </is>
      </c>
    </row>
    <row r="1314">
      <c r="B1314" s="0" t="inlineStr">
        <is>
          <t>NULL</t>
        </is>
      </c>
      <c r="C1314" s="0" t="inlineStr">
        <is>
          <t>NULL</t>
        </is>
      </c>
      <c r="D1314" s="0" t="inlineStr">
        <is>
          <t>NULL</t>
        </is>
      </c>
      <c r="E1314" s="0" t="inlineStr">
        <is>
          <t>NULL</t>
        </is>
      </c>
      <c r="F1314" s="0" t="inlineStr">
        <is>
          <t>NULL</t>
        </is>
      </c>
      <c r="G1314" s="0" t="inlineStr">
        <is>
          <t>NULL</t>
        </is>
      </c>
      <c r="H1314" s="0" t="inlineStr">
        <is>
          <t>NULL</t>
        </is>
      </c>
      <c r="I1314" s="0" t="inlineStr">
        <is>
          <t>NULL</t>
        </is>
      </c>
      <c r="J1314" s="0" t="inlineStr">
        <is>
          <t>NULL</t>
        </is>
      </c>
      <c r="K1314" s="0" t="inlineStr">
        <is>
          <t xml:space="preserve"> NO!  	 c_time5列源备映射错误，源端为time None位	期望更改为text	实际备端为time None位</t>
        </is>
      </c>
      <c r="EH1314" s="0" t="inlineStr">
        <is>
          <t>73行 8列，源：None 备：</t>
        </is>
      </c>
      <c r="ES1314" s="0" t="inlineStr">
        <is>
          <t>73行 14列，源：None 备：</t>
        </is>
      </c>
    </row>
    <row r="1315">
      <c r="B1315" s="0" t="inlineStr">
        <is>
          <t>NULL</t>
        </is>
      </c>
      <c r="C1315" s="0" t="inlineStr">
        <is>
          <t>NULL</t>
        </is>
      </c>
      <c r="D1315" s="0" t="inlineStr">
        <is>
          <t>NULL</t>
        </is>
      </c>
      <c r="E1315" s="0" t="inlineStr">
        <is>
          <t>NULL</t>
        </is>
      </c>
      <c r="F1315" s="0" t="inlineStr">
        <is>
          <t>NULL</t>
        </is>
      </c>
      <c r="G1315" s="0" t="inlineStr">
        <is>
          <t>NULL</t>
        </is>
      </c>
      <c r="H1315" s="0" t="inlineStr">
        <is>
          <t>NULL</t>
        </is>
      </c>
      <c r="I1315" s="0" t="inlineStr">
        <is>
          <t>NULL</t>
        </is>
      </c>
      <c r="J1315" s="0" t="inlineStr">
        <is>
          <t>NULL</t>
        </is>
      </c>
      <c r="K1315" s="0" t="inlineStr">
        <is>
          <t xml:space="preserve"> NO!  	 c_time6列源备映射错误，源端为time None位	期望更改为text	实际备端为time None位</t>
        </is>
      </c>
      <c r="EH1315" s="0" t="inlineStr">
        <is>
          <t>73行 9列，源：None 备：</t>
        </is>
      </c>
      <c r="ES1315" s="0" t="inlineStr">
        <is>
          <t>73行 15列，源：nan 备：</t>
        </is>
      </c>
    </row>
    <row r="1316">
      <c r="B1316" s="0" t="inlineStr">
        <is>
          <t>NULL</t>
        </is>
      </c>
      <c r="C1316" s="0" t="inlineStr">
        <is>
          <t>NULL</t>
        </is>
      </c>
      <c r="D1316" s="0" t="inlineStr">
        <is>
          <t>NULL</t>
        </is>
      </c>
      <c r="E1316" s="0" t="inlineStr">
        <is>
          <t>NULL</t>
        </is>
      </c>
      <c r="F1316" s="0" t="inlineStr">
        <is>
          <t>NULL</t>
        </is>
      </c>
      <c r="G1316" s="0" t="inlineStr">
        <is>
          <t>NULL</t>
        </is>
      </c>
      <c r="H1316" s="0" t="inlineStr">
        <is>
          <t>NULL</t>
        </is>
      </c>
      <c r="I1316" s="0" t="inlineStr">
        <is>
          <t>NULL</t>
        </is>
      </c>
      <c r="J1316" s="0" t="inlineStr">
        <is>
          <t>NULL</t>
        </is>
      </c>
      <c r="K1316" s="0" t="inlineStr">
        <is>
          <t xml:space="preserve"> NO!  	 c_time列源备映射错误，源端为time None位	期望更改为text	实际备端为time None位</t>
        </is>
      </c>
      <c r="EH1316" s="0" t="inlineStr">
        <is>
          <t>73行 10列，源：None 备：</t>
        </is>
      </c>
      <c r="ES1316" s="0" t="inlineStr">
        <is>
          <t>73行 16列，源：nan 备：</t>
        </is>
      </c>
    </row>
    <row r="1317">
      <c r="A1317" s="0" t="inlineStr">
        <is>
          <t>info_varbinary_dml_batch2_pk_irp2</t>
        </is>
      </c>
      <c r="K1317" s="0" t="inlineStr">
        <is>
          <t>[0;34m info_varbinary_dml_batch2_pk_irp2 [0m源备字段数相同，源端字段：4 	备端字段4</t>
        </is>
      </c>
      <c r="W1317" s="2">
        <f>HYPERLINK("#2026041905hbase4!EO2","NO 源备存在差异，共95个")</f>
        <v/>
      </c>
      <c r="X1317" s="0">
        <f>A1317</f>
        <v/>
      </c>
      <c r="EH1317" s="0" t="inlineStr">
        <is>
          <t>73行 11列，源：None 备：</t>
        </is>
      </c>
      <c r="ES1317" s="0" t="inlineStr">
        <is>
          <t>73行 17列，源：None 备：</t>
        </is>
      </c>
    </row>
    <row r="1318">
      <c r="B1318" s="0" t="inlineStr">
        <is>
          <t>YES</t>
        </is>
      </c>
      <c r="C1318" s="0" t="inlineStr">
        <is>
          <t>NULL</t>
        </is>
      </c>
      <c r="D1318" s="0" t="inlineStr">
        <is>
          <t>NULL</t>
        </is>
      </c>
      <c r="E1318" s="0" t="inlineStr">
        <is>
          <t>NULL</t>
        </is>
      </c>
      <c r="F1318" s="0" t="inlineStr">
        <is>
          <t>NULL</t>
        </is>
      </c>
      <c r="G1318" s="0" t="inlineStr">
        <is>
          <t>NULL</t>
        </is>
      </c>
      <c r="H1318" s="0" t="inlineStr">
        <is>
          <t>NULL</t>
        </is>
      </c>
      <c r="I1318" s="0" t="inlineStr">
        <is>
          <t>YES!PK__info_var__3213E83F97235F76</t>
        </is>
      </c>
      <c r="J1318" s="0" t="inlineStr">
        <is>
          <t>YES! 主键相关索引</t>
        </is>
      </c>
      <c r="K1318" s="0" t="inlineStr">
        <is>
          <t xml:space="preserve"> NO!  	 id列源备映射错误，源端为int None位	期望更改为text	实际备端为int None位</t>
        </is>
      </c>
      <c r="EH1318" s="0" t="inlineStr">
        <is>
          <t>73行 12列，源：None 备：</t>
        </is>
      </c>
      <c r="ES1318" s="0" t="inlineStr">
        <is>
          <t>73行 18列，源：None 备：</t>
        </is>
      </c>
    </row>
    <row r="1319">
      <c r="B1319" s="0" t="inlineStr">
        <is>
          <t>NULL</t>
        </is>
      </c>
      <c r="C1319" s="0" t="inlineStr">
        <is>
          <t>NULL</t>
        </is>
      </c>
      <c r="D1319" s="0" t="inlineStr">
        <is>
          <t>NULL</t>
        </is>
      </c>
      <c r="E1319" s="0" t="inlineStr">
        <is>
          <t>NULL</t>
        </is>
      </c>
      <c r="F1319" s="0" t="inlineStr">
        <is>
          <t>NULL</t>
        </is>
      </c>
      <c r="G1319" s="0" t="inlineStr">
        <is>
          <t>NULL</t>
        </is>
      </c>
      <c r="H1319" s="0" t="inlineStr">
        <is>
          <t>NULL</t>
        </is>
      </c>
      <c r="I1319" s="0" t="inlineStr">
        <is>
          <t>NULL</t>
        </is>
      </c>
      <c r="J1319" s="0" t="inlineStr">
        <is>
          <t>NULL</t>
        </is>
      </c>
      <c r="K1319" s="0" t="inlineStr">
        <is>
          <t xml:space="preserve"> NO!  	 c_varbinary列源备映射错误，源端为varbinary 1位	期望更改为text	实际备端为varbinary 1位</t>
        </is>
      </c>
      <c r="EH1319" s="0" t="inlineStr">
        <is>
          <t>73行 13列，源：None 备：</t>
        </is>
      </c>
      <c r="ES1319" s="0" t="inlineStr">
        <is>
          <t>73行 19列，源：None 备：</t>
        </is>
      </c>
    </row>
    <row r="1320">
      <c r="B1320" s="0" t="inlineStr">
        <is>
          <t>NULL</t>
        </is>
      </c>
      <c r="C1320" s="0" t="inlineStr">
        <is>
          <t>NULL</t>
        </is>
      </c>
      <c r="D1320" s="0" t="inlineStr">
        <is>
          <t>NULL</t>
        </is>
      </c>
      <c r="E1320" s="0" t="inlineStr">
        <is>
          <t>NULL</t>
        </is>
      </c>
      <c r="F1320" s="0" t="inlineStr">
        <is>
          <t>NULL</t>
        </is>
      </c>
      <c r="G1320" s="0" t="inlineStr">
        <is>
          <t>NULL</t>
        </is>
      </c>
      <c r="H1320" s="0" t="inlineStr">
        <is>
          <t>NULL</t>
        </is>
      </c>
      <c r="I1320" s="0" t="inlineStr">
        <is>
          <t>NULL</t>
        </is>
      </c>
      <c r="J1320" s="0" t="inlineStr">
        <is>
          <t>NULL</t>
        </is>
      </c>
      <c r="K1320" s="0" t="inlineStr">
        <is>
          <t xml:space="preserve"> NO!  	 c_varbinary_100列源备映射错误，源端为varbinary 100位	期望更改为text	实际备端为varbinary 100位</t>
        </is>
      </c>
      <c r="EH1320" s="0" t="inlineStr">
        <is>
          <t>73行 14列，源：None 备：</t>
        </is>
      </c>
      <c r="ES1320" s="0" t="inlineStr">
        <is>
          <t>74行 0列，源：215 备：61</t>
        </is>
      </c>
    </row>
    <row r="1321">
      <c r="B1321" s="0" t="inlineStr">
        <is>
          <t>NULL</t>
        </is>
      </c>
      <c r="C1321" s="0" t="inlineStr">
        <is>
          <t>NULL</t>
        </is>
      </c>
      <c r="D1321" s="0" t="inlineStr">
        <is>
          <t>NULL</t>
        </is>
      </c>
      <c r="E1321" s="0" t="inlineStr">
        <is>
          <t>NULL</t>
        </is>
      </c>
      <c r="F1321" s="0" t="inlineStr">
        <is>
          <t>NULL</t>
        </is>
      </c>
      <c r="G1321" s="0" t="inlineStr">
        <is>
          <t>NULL</t>
        </is>
      </c>
      <c r="H1321" s="0" t="inlineStr">
        <is>
          <t>NULL</t>
        </is>
      </c>
      <c r="I1321" s="0" t="inlineStr">
        <is>
          <t>NULL</t>
        </is>
      </c>
      <c r="J1321" s="0" t="inlineStr">
        <is>
          <t>NULL</t>
        </is>
      </c>
      <c r="K1321" s="0" t="inlineStr">
        <is>
          <t xml:space="preserve"> NO!  	 c_varbinary_200列源备映射错误，源端为varbinary 200位	期望更改为text	实际备端为varbinary 200位</t>
        </is>
      </c>
      <c r="EH1321" s="0" t="inlineStr">
        <is>
          <t>73行 15列，源：nan 备：</t>
        </is>
      </c>
      <c r="ES1321" s="0" t="inlineStr">
        <is>
          <t>74行 1列，源：nan 备：200</t>
        </is>
      </c>
    </row>
    <row r="1322">
      <c r="A1322" s="0" t="inlineStr">
        <is>
          <t>info_int_dml_batch2_pk_irp1</t>
        </is>
      </c>
      <c r="K1322" s="0" t="inlineStr">
        <is>
          <t>[0;34m info_int_dml_batch2_pk_irp1 [0m源备字段数相同，源端字段：20 	备端字段20</t>
        </is>
      </c>
      <c r="W1322" s="2">
        <f>HYPERLINK("#2026041905hbase4!EP2","NO 源备存在差异，共313个")</f>
        <v/>
      </c>
      <c r="X1322" s="0">
        <f>A1322</f>
        <v/>
      </c>
      <c r="EH1322" s="0" t="inlineStr">
        <is>
          <t>73行 16列，源：nan 备：</t>
        </is>
      </c>
      <c r="ES1322" s="0" t="inlineStr">
        <is>
          <t>74行 2列，源：nan 备：20000</t>
        </is>
      </c>
    </row>
    <row r="1323">
      <c r="B1323" s="0" t="inlineStr">
        <is>
          <t>YES</t>
        </is>
      </c>
      <c r="C1323" s="0" t="inlineStr">
        <is>
          <t>NULL</t>
        </is>
      </c>
      <c r="D1323" s="0" t="inlineStr">
        <is>
          <t>NULL</t>
        </is>
      </c>
      <c r="E1323" s="0" t="inlineStr">
        <is>
          <t>NULL</t>
        </is>
      </c>
      <c r="F1323" s="0" t="inlineStr">
        <is>
          <t>NULL</t>
        </is>
      </c>
      <c r="G1323" s="0" t="inlineStr">
        <is>
          <t>NULL</t>
        </is>
      </c>
      <c r="H1323" s="0" t="inlineStr">
        <is>
          <t>NULL</t>
        </is>
      </c>
      <c r="I1323" s="0" t="inlineStr">
        <is>
          <t>YES!PK__info_int__3213E83FB362AEC0</t>
        </is>
      </c>
      <c r="J1323" s="0" t="inlineStr">
        <is>
          <t>YES! 主键相关索引</t>
        </is>
      </c>
      <c r="K1323" s="0" t="inlineStr">
        <is>
          <t xml:space="preserve"> NO!  	 id列源备映射错误，源端为int None位	期望更改为text	实际备端为int None位</t>
        </is>
      </c>
      <c r="EH1323" s="0" t="inlineStr">
        <is>
          <t>73行 17列，源：None 备：</t>
        </is>
      </c>
      <c r="ES1323" s="0" t="inlineStr">
        <is>
          <t>74行 3列，源：nan 备：2000000000</t>
        </is>
      </c>
    </row>
    <row r="1324">
      <c r="B1324" s="0" t="inlineStr">
        <is>
          <t>NULL</t>
        </is>
      </c>
      <c r="C1324" s="0" t="inlineStr">
        <is>
          <t>NULL</t>
        </is>
      </c>
      <c r="D1324" s="0" t="inlineStr">
        <is>
          <t>NULL</t>
        </is>
      </c>
      <c r="E1324" s="0" t="inlineStr">
        <is>
          <t>NULL</t>
        </is>
      </c>
      <c r="F1324" s="0" t="inlineStr">
        <is>
          <t>NULL</t>
        </is>
      </c>
      <c r="G1324" s="0" t="inlineStr">
        <is>
          <t>NULL</t>
        </is>
      </c>
      <c r="H1324" s="0" t="inlineStr">
        <is>
          <t>NULL</t>
        </is>
      </c>
      <c r="I1324" s="0" t="inlineStr">
        <is>
          <t>NULL</t>
        </is>
      </c>
      <c r="J1324" s="0" t="inlineStr">
        <is>
          <t>NULL</t>
        </is>
      </c>
      <c r="K1324" s="0" t="inlineStr">
        <is>
          <t xml:space="preserve"> NO!  	 c_tinyint列源备映射错误，源端为tinyint None位	期望更改为text	实际备端为tinyint None位</t>
        </is>
      </c>
      <c r="EH1324" s="0" t="inlineStr">
        <is>
          <t>73行 18列，源：None 备：</t>
        </is>
      </c>
      <c r="ES1324" s="0" t="inlineStr">
        <is>
          <t>74行 4列，源：nan 备：2000000000000000</t>
        </is>
      </c>
    </row>
    <row r="1325">
      <c r="B1325" s="0" t="inlineStr">
        <is>
          <t>NULL</t>
        </is>
      </c>
      <c r="C1325" s="0" t="inlineStr">
        <is>
          <t>NULL</t>
        </is>
      </c>
      <c r="D1325" s="0" t="inlineStr">
        <is>
          <t>NULL</t>
        </is>
      </c>
      <c r="E1325" s="0" t="inlineStr">
        <is>
          <t>NULL</t>
        </is>
      </c>
      <c r="F1325" s="0" t="inlineStr">
        <is>
          <t>NULL</t>
        </is>
      </c>
      <c r="G1325" s="0" t="inlineStr">
        <is>
          <t>NULL</t>
        </is>
      </c>
      <c r="H1325" s="0" t="inlineStr">
        <is>
          <t>NULL</t>
        </is>
      </c>
      <c r="I1325" s="0" t="inlineStr">
        <is>
          <t>NULL</t>
        </is>
      </c>
      <c r="J1325" s="0" t="inlineStr">
        <is>
          <t>NULL</t>
        </is>
      </c>
      <c r="K1325" s="0" t="inlineStr">
        <is>
          <t xml:space="preserve"> NO!  	 c_smallint列源备映射错误，源端为smallint None位	期望更改为text	实际备端为smallint None位</t>
        </is>
      </c>
      <c r="EH1325" s="0" t="inlineStr">
        <is>
          <t>73行 19列，源：None 备：</t>
        </is>
      </c>
      <c r="ES1325" s="0" t="inlineStr">
        <is>
          <t>74行 5列，源：None 备：</t>
        </is>
      </c>
    </row>
    <row r="1326">
      <c r="B1326" s="0" t="inlineStr">
        <is>
          <t>NULL</t>
        </is>
      </c>
      <c r="C1326" s="0" t="inlineStr">
        <is>
          <t>NULL</t>
        </is>
      </c>
      <c r="D1326" s="0" t="inlineStr">
        <is>
          <t>NULL</t>
        </is>
      </c>
      <c r="E1326" s="0" t="inlineStr">
        <is>
          <t>NULL</t>
        </is>
      </c>
      <c r="F1326" s="0" t="inlineStr">
        <is>
          <t>NULL</t>
        </is>
      </c>
      <c r="G1326" s="0" t="inlineStr">
        <is>
          <t>NULL</t>
        </is>
      </c>
      <c r="H1326" s="0" t="inlineStr">
        <is>
          <t>NULL</t>
        </is>
      </c>
      <c r="I1326" s="0" t="inlineStr">
        <is>
          <t>NULL</t>
        </is>
      </c>
      <c r="J1326" s="0" t="inlineStr">
        <is>
          <t>NULL</t>
        </is>
      </c>
      <c r="K1326" s="0" t="inlineStr">
        <is>
          <t xml:space="preserve"> NO!  	 c_int列源备映射错误，源端为int None位	期望更改为text	实际备端为int None位</t>
        </is>
      </c>
      <c r="EH1326" s="0" t="inlineStr">
        <is>
          <t>74行 0列，源：165 备：252</t>
        </is>
      </c>
      <c r="ES1326" s="0" t="inlineStr">
        <is>
          <t>74行 6列，源：None 备：</t>
        </is>
      </c>
    </row>
    <row r="1327">
      <c r="B1327" s="0" t="inlineStr">
        <is>
          <t>NULL</t>
        </is>
      </c>
      <c r="C1327" s="0" t="inlineStr">
        <is>
          <t>NULL</t>
        </is>
      </c>
      <c r="D1327" s="0" t="inlineStr">
        <is>
          <t>NULL</t>
        </is>
      </c>
      <c r="E1327" s="0" t="inlineStr">
        <is>
          <t>NULL</t>
        </is>
      </c>
      <c r="F1327" s="0" t="inlineStr">
        <is>
          <t>NULL</t>
        </is>
      </c>
      <c r="G1327" s="0" t="inlineStr">
        <is>
          <t>NULL</t>
        </is>
      </c>
      <c r="H1327" s="0" t="inlineStr">
        <is>
          <t>NULL</t>
        </is>
      </c>
      <c r="I1327" s="0" t="inlineStr">
        <is>
          <t>NULL</t>
        </is>
      </c>
      <c r="J1327" s="0" t="inlineStr">
        <is>
          <t>NULL</t>
        </is>
      </c>
      <c r="K1327" s="0" t="inlineStr">
        <is>
          <t xml:space="preserve"> NO!  	 c_bigint列源备映射错误，源端为bigint None位	期望更改为text	实际备端为bigint None位</t>
        </is>
      </c>
      <c r="EH1327" s="0" t="inlineStr">
        <is>
          <t>74行 1列，源：nan 备：</t>
        </is>
      </c>
      <c r="ES1327" s="0" t="inlineStr">
        <is>
          <t>74行 7列，源：None 备：</t>
        </is>
      </c>
    </row>
    <row r="1328">
      <c r="B1328" s="0" t="inlineStr">
        <is>
          <t>NULL</t>
        </is>
      </c>
      <c r="C1328" s="0" t="inlineStr">
        <is>
          <t>NULL</t>
        </is>
      </c>
      <c r="D1328" s="0" t="inlineStr">
        <is>
          <t>NULL</t>
        </is>
      </c>
      <c r="E1328" s="0" t="inlineStr">
        <is>
          <t>NULL</t>
        </is>
      </c>
      <c r="F1328" s="0" t="inlineStr">
        <is>
          <t>NULL</t>
        </is>
      </c>
      <c r="G1328" s="0" t="inlineStr">
        <is>
          <t>NULL</t>
        </is>
      </c>
      <c r="H1328" s="0" t="inlineStr">
        <is>
          <t>NULL</t>
        </is>
      </c>
      <c r="I1328" s="0" t="inlineStr">
        <is>
          <t>NULL</t>
        </is>
      </c>
      <c r="J1328" s="0" t="inlineStr">
        <is>
          <t>NULL</t>
        </is>
      </c>
      <c r="K1328" s="0" t="inlineStr">
        <is>
          <t xml:space="preserve"> NO!  	 c_decimal列源备映射错误，源端为decimal None位	期望更改为text	实际备端为decimal None位</t>
        </is>
      </c>
      <c r="EH1328" s="0" t="inlineStr">
        <is>
          <t>74行 2列，源：nan 备：</t>
        </is>
      </c>
      <c r="ES1328" s="0" t="inlineStr">
        <is>
          <t>74行 8列，源：None 备：</t>
        </is>
      </c>
    </row>
    <row r="1329">
      <c r="B1329" s="0" t="inlineStr">
        <is>
          <t>NULL</t>
        </is>
      </c>
      <c r="C1329" s="0" t="inlineStr">
        <is>
          <t>NULL</t>
        </is>
      </c>
      <c r="D1329" s="0" t="inlineStr">
        <is>
          <t>NULL</t>
        </is>
      </c>
      <c r="E1329" s="0" t="inlineStr">
        <is>
          <t>NULL</t>
        </is>
      </c>
      <c r="F1329" s="0" t="inlineStr">
        <is>
          <t>NULL</t>
        </is>
      </c>
      <c r="G1329" s="0" t="inlineStr">
        <is>
          <t>NULL</t>
        </is>
      </c>
      <c r="H1329" s="0" t="inlineStr">
        <is>
          <t>NULL</t>
        </is>
      </c>
      <c r="I1329" s="0" t="inlineStr">
        <is>
          <t>NULL</t>
        </is>
      </c>
      <c r="J1329" s="0" t="inlineStr">
        <is>
          <t>NULL</t>
        </is>
      </c>
      <c r="K1329" s="0" t="inlineStr">
        <is>
          <t xml:space="preserve"> NO!  	 c_decimal38列源备映射错误，源端为decimal None位	期望更改为text	实际备端为decimal None位</t>
        </is>
      </c>
      <c r="EH1329" s="0" t="inlineStr">
        <is>
          <t>74行 3列，源：nan 备：</t>
        </is>
      </c>
      <c r="ES1329" s="0" t="inlineStr">
        <is>
          <t>74行 9列，源：None 备：</t>
        </is>
      </c>
    </row>
    <row r="1330">
      <c r="B1330" s="0" t="inlineStr">
        <is>
          <t>NULL</t>
        </is>
      </c>
      <c r="C1330" s="0" t="inlineStr">
        <is>
          <t>NULL</t>
        </is>
      </c>
      <c r="D1330" s="0" t="inlineStr">
        <is>
          <t>NULL</t>
        </is>
      </c>
      <c r="E1330" s="0" t="inlineStr">
        <is>
          <t>NULL</t>
        </is>
      </c>
      <c r="F1330" s="0" t="inlineStr">
        <is>
          <t>NULL</t>
        </is>
      </c>
      <c r="G1330" s="0" t="inlineStr">
        <is>
          <t>NULL</t>
        </is>
      </c>
      <c r="H1330" s="0" t="inlineStr">
        <is>
          <t>NULL</t>
        </is>
      </c>
      <c r="I1330" s="0" t="inlineStr">
        <is>
          <t>NULL</t>
        </is>
      </c>
      <c r="J1330" s="0" t="inlineStr">
        <is>
          <t>NULL</t>
        </is>
      </c>
      <c r="K1330" s="0" t="inlineStr">
        <is>
          <t xml:space="preserve"> NO!  	 c_decimal38_38列源备映射错误，源端为decimal None位	期望更改为text	实际备端为decimal None位</t>
        </is>
      </c>
      <c r="EH1330" s="0" t="inlineStr">
        <is>
          <t>74行 4列，源：nan 备：</t>
        </is>
      </c>
      <c r="ES1330" s="0" t="inlineStr">
        <is>
          <t>74行 10列，源：None 备：</t>
        </is>
      </c>
    </row>
    <row r="1331">
      <c r="B1331" s="0" t="inlineStr">
        <is>
          <t>NULL</t>
        </is>
      </c>
      <c r="C1331" s="0" t="inlineStr">
        <is>
          <t>NULL</t>
        </is>
      </c>
      <c r="D1331" s="0" t="inlineStr">
        <is>
          <t>NULL</t>
        </is>
      </c>
      <c r="E1331" s="0" t="inlineStr">
        <is>
          <t>NULL</t>
        </is>
      </c>
      <c r="F1331" s="0" t="inlineStr">
        <is>
          <t>NULL</t>
        </is>
      </c>
      <c r="G1331" s="0" t="inlineStr">
        <is>
          <t>NULL</t>
        </is>
      </c>
      <c r="H1331" s="0" t="inlineStr">
        <is>
          <t>NULL</t>
        </is>
      </c>
      <c r="I1331" s="0" t="inlineStr">
        <is>
          <t>NULL</t>
        </is>
      </c>
      <c r="J1331" s="0" t="inlineStr">
        <is>
          <t>NULL</t>
        </is>
      </c>
      <c r="K1331" s="0" t="inlineStr">
        <is>
          <t xml:space="preserve"> NO!  	 c_decimal38_10列源备映射错误，源端为decimal None位	期望更改为text	实际备端为decimal None位</t>
        </is>
      </c>
      <c r="EH1331" s="0" t="inlineStr">
        <is>
          <t>74行 5列，源：None 备：</t>
        </is>
      </c>
      <c r="ES1331" s="0" t="inlineStr">
        <is>
          <t>74行 11列，源：None 备：</t>
        </is>
      </c>
    </row>
    <row r="1332">
      <c r="B1332" s="0" t="inlineStr">
        <is>
          <t>NULL</t>
        </is>
      </c>
      <c r="C1332" s="0" t="inlineStr">
        <is>
          <t>NULL</t>
        </is>
      </c>
      <c r="D1332" s="0" t="inlineStr">
        <is>
          <t>NULL</t>
        </is>
      </c>
      <c r="E1332" s="0" t="inlineStr">
        <is>
          <t>NULL</t>
        </is>
      </c>
      <c r="F1332" s="0" t="inlineStr">
        <is>
          <t>NULL</t>
        </is>
      </c>
      <c r="G1332" s="0" t="inlineStr">
        <is>
          <t>NULL</t>
        </is>
      </c>
      <c r="H1332" s="0" t="inlineStr">
        <is>
          <t>NULL</t>
        </is>
      </c>
      <c r="I1332" s="0" t="inlineStr">
        <is>
          <t>NULL</t>
        </is>
      </c>
      <c r="J1332" s="0" t="inlineStr">
        <is>
          <t>NULL</t>
        </is>
      </c>
      <c r="K1332" s="0" t="inlineStr">
        <is>
          <t xml:space="preserve"> NO!  	 c_decimal19_4列源备映射错误，源端为decimal None位	期望更改为text	实际备端为decimal None位</t>
        </is>
      </c>
      <c r="EH1332" s="0" t="inlineStr">
        <is>
          <t>74行 6列，源：None 备：</t>
        </is>
      </c>
      <c r="ES1332" s="0" t="inlineStr">
        <is>
          <t>74行 12列，源：None 备：</t>
        </is>
      </c>
    </row>
    <row r="1333">
      <c r="B1333" s="0" t="inlineStr">
        <is>
          <t>NULL</t>
        </is>
      </c>
      <c r="C1333" s="0" t="inlineStr">
        <is>
          <t>NULL</t>
        </is>
      </c>
      <c r="D1333" s="0" t="inlineStr">
        <is>
          <t>NULL</t>
        </is>
      </c>
      <c r="E1333" s="0" t="inlineStr">
        <is>
          <t>NULL</t>
        </is>
      </c>
      <c r="F1333" s="0" t="inlineStr">
        <is>
          <t>NULL</t>
        </is>
      </c>
      <c r="G1333" s="0" t="inlineStr">
        <is>
          <t>NULL</t>
        </is>
      </c>
      <c r="H1333" s="0" t="inlineStr">
        <is>
          <t>NULL</t>
        </is>
      </c>
      <c r="I1333" s="0" t="inlineStr">
        <is>
          <t>NULL</t>
        </is>
      </c>
      <c r="J1333" s="0" t="inlineStr">
        <is>
          <t>NULL</t>
        </is>
      </c>
      <c r="K1333" s="0" t="inlineStr">
        <is>
          <t xml:space="preserve"> NO!  	 c_numeric列源备映射错误，源端为numeric None位	期望更改为text	实际备端为numeric None位</t>
        </is>
      </c>
      <c r="EH1333" s="0" t="inlineStr">
        <is>
          <t>74行 7列，源：None 备：</t>
        </is>
      </c>
      <c r="ES1333" s="0" t="inlineStr">
        <is>
          <t>74行 13列，源：None 备：</t>
        </is>
      </c>
    </row>
    <row r="1334">
      <c r="B1334" s="0" t="inlineStr">
        <is>
          <t>NULL</t>
        </is>
      </c>
      <c r="C1334" s="0" t="inlineStr">
        <is>
          <t>NULL</t>
        </is>
      </c>
      <c r="D1334" s="0" t="inlineStr">
        <is>
          <t>NULL</t>
        </is>
      </c>
      <c r="E1334" s="0" t="inlineStr">
        <is>
          <t>NULL</t>
        </is>
      </c>
      <c r="F1334" s="0" t="inlineStr">
        <is>
          <t>NULL</t>
        </is>
      </c>
      <c r="G1334" s="0" t="inlineStr">
        <is>
          <t>NULL</t>
        </is>
      </c>
      <c r="H1334" s="0" t="inlineStr">
        <is>
          <t>NULL</t>
        </is>
      </c>
      <c r="I1334" s="0" t="inlineStr">
        <is>
          <t>NULL</t>
        </is>
      </c>
      <c r="J1334" s="0" t="inlineStr">
        <is>
          <t>NULL</t>
        </is>
      </c>
      <c r="K1334" s="0" t="inlineStr">
        <is>
          <t xml:space="preserve"> NO!  	 c_numeric38列源备映射错误，源端为numeric None位	期望更改为text	实际备端为numeric None位</t>
        </is>
      </c>
      <c r="EH1334" s="0" t="inlineStr">
        <is>
          <t>74行 8列，源：None 备：</t>
        </is>
      </c>
      <c r="ES1334" s="0" t="inlineStr">
        <is>
          <t>74行 14列，源：None 备：</t>
        </is>
      </c>
    </row>
    <row r="1335">
      <c r="B1335" s="0" t="inlineStr">
        <is>
          <t>NULL</t>
        </is>
      </c>
      <c r="C1335" s="0" t="inlineStr">
        <is>
          <t>NULL</t>
        </is>
      </c>
      <c r="D1335" s="0" t="inlineStr">
        <is>
          <t>NULL</t>
        </is>
      </c>
      <c r="E1335" s="0" t="inlineStr">
        <is>
          <t>NULL</t>
        </is>
      </c>
      <c r="F1335" s="0" t="inlineStr">
        <is>
          <t>NULL</t>
        </is>
      </c>
      <c r="G1335" s="0" t="inlineStr">
        <is>
          <t>NULL</t>
        </is>
      </c>
      <c r="H1335" s="0" t="inlineStr">
        <is>
          <t>NULL</t>
        </is>
      </c>
      <c r="I1335" s="0" t="inlineStr">
        <is>
          <t>NULL</t>
        </is>
      </c>
      <c r="J1335" s="0" t="inlineStr">
        <is>
          <t>NULL</t>
        </is>
      </c>
      <c r="K1335" s="0" t="inlineStr">
        <is>
          <t xml:space="preserve"> NO!  	 c_numeric38_38列源备映射错误，源端为numeric None位	期望更改为text	实际备端为numeric None位</t>
        </is>
      </c>
      <c r="EH1335" s="0" t="inlineStr">
        <is>
          <t>74行 9列，源：None 备：</t>
        </is>
      </c>
      <c r="ES1335" s="0" t="inlineStr">
        <is>
          <t>74行 15列，源：nan 备：</t>
        </is>
      </c>
    </row>
    <row r="1336">
      <c r="B1336" s="0" t="inlineStr">
        <is>
          <t>NULL</t>
        </is>
      </c>
      <c r="C1336" s="0" t="inlineStr">
        <is>
          <t>NULL</t>
        </is>
      </c>
      <c r="D1336" s="0" t="inlineStr">
        <is>
          <t>NULL</t>
        </is>
      </c>
      <c r="E1336" s="0" t="inlineStr">
        <is>
          <t>NULL</t>
        </is>
      </c>
      <c r="F1336" s="0" t="inlineStr">
        <is>
          <t>NULL</t>
        </is>
      </c>
      <c r="G1336" s="0" t="inlineStr">
        <is>
          <t>NULL</t>
        </is>
      </c>
      <c r="H1336" s="0" t="inlineStr">
        <is>
          <t>NULL</t>
        </is>
      </c>
      <c r="I1336" s="0" t="inlineStr">
        <is>
          <t>NULL</t>
        </is>
      </c>
      <c r="J1336" s="0" t="inlineStr">
        <is>
          <t>NULL</t>
        </is>
      </c>
      <c r="K1336" s="0" t="inlineStr">
        <is>
          <t xml:space="preserve"> NO!  	 c_numeric38_10列源备映射错误，源端为numeric None位	期望更改为text	实际备端为numeric None位</t>
        </is>
      </c>
      <c r="EH1336" s="0" t="inlineStr">
        <is>
          <t>74行 10列，源：None 备：</t>
        </is>
      </c>
      <c r="ES1336" s="0" t="inlineStr">
        <is>
          <t>74行 16列，源：nan 备：</t>
        </is>
      </c>
    </row>
    <row r="1337">
      <c r="B1337" s="0" t="inlineStr">
        <is>
          <t>NULL</t>
        </is>
      </c>
      <c r="C1337" s="0" t="inlineStr">
        <is>
          <t>NULL</t>
        </is>
      </c>
      <c r="D1337" s="0" t="inlineStr">
        <is>
          <t>NULL</t>
        </is>
      </c>
      <c r="E1337" s="0" t="inlineStr">
        <is>
          <t>NULL</t>
        </is>
      </c>
      <c r="F1337" s="0" t="inlineStr">
        <is>
          <t>NULL</t>
        </is>
      </c>
      <c r="G1337" s="0" t="inlineStr">
        <is>
          <t>NULL</t>
        </is>
      </c>
      <c r="H1337" s="0" t="inlineStr">
        <is>
          <t>NULL</t>
        </is>
      </c>
      <c r="I1337" s="0" t="inlineStr">
        <is>
          <t>NULL</t>
        </is>
      </c>
      <c r="J1337" s="0" t="inlineStr">
        <is>
          <t>NULL</t>
        </is>
      </c>
      <c r="K1337" s="0" t="inlineStr">
        <is>
          <t xml:space="preserve"> NO!  	 c_numeric18_2列源备映射错误，源端为numeric None位	期望更改为text	实际备端为numeric None位</t>
        </is>
      </c>
      <c r="EH1337" s="0" t="inlineStr">
        <is>
          <t>74行 11列，源：None 备：</t>
        </is>
      </c>
      <c r="ES1337" s="0" t="inlineStr">
        <is>
          <t>74行 17列，源：None 备：</t>
        </is>
      </c>
    </row>
    <row r="1338">
      <c r="B1338" s="0" t="inlineStr">
        <is>
          <t>NULL</t>
        </is>
      </c>
      <c r="C1338" s="0" t="inlineStr">
        <is>
          <t>NULL</t>
        </is>
      </c>
      <c r="D1338" s="0" t="inlineStr">
        <is>
          <t>NULL</t>
        </is>
      </c>
      <c r="E1338" s="0" t="inlineStr">
        <is>
          <t>NULL</t>
        </is>
      </c>
      <c r="F1338" s="0" t="inlineStr">
        <is>
          <t>NULL</t>
        </is>
      </c>
      <c r="G1338" s="0" t="inlineStr">
        <is>
          <t>NULL</t>
        </is>
      </c>
      <c r="H1338" s="0" t="inlineStr">
        <is>
          <t>NULL</t>
        </is>
      </c>
      <c r="I1338" s="0" t="inlineStr">
        <is>
          <t>NULL</t>
        </is>
      </c>
      <c r="J1338" s="0" t="inlineStr">
        <is>
          <t>NULL</t>
        </is>
      </c>
      <c r="K1338" s="0" t="inlineStr">
        <is>
          <t xml:space="preserve"> NO!  	 c_float列源备映射错误，源端为float None位	期望更改为text	实际备端为float None位</t>
        </is>
      </c>
      <c r="EH1338" s="0" t="inlineStr">
        <is>
          <t>74行 12列，源：None 备：</t>
        </is>
      </c>
      <c r="ES1338" s="0" t="inlineStr">
        <is>
          <t>74行 18列，源：None 备：</t>
        </is>
      </c>
    </row>
    <row r="1339">
      <c r="B1339" s="0" t="inlineStr">
        <is>
          <t>NULL</t>
        </is>
      </c>
      <c r="C1339" s="0" t="inlineStr">
        <is>
          <t>NULL</t>
        </is>
      </c>
      <c r="D1339" s="0" t="inlineStr">
        <is>
          <t>NULL</t>
        </is>
      </c>
      <c r="E1339" s="0" t="inlineStr">
        <is>
          <t>NULL</t>
        </is>
      </c>
      <c r="F1339" s="0" t="inlineStr">
        <is>
          <t>NULL</t>
        </is>
      </c>
      <c r="G1339" s="0" t="inlineStr">
        <is>
          <t>NULL</t>
        </is>
      </c>
      <c r="H1339" s="0" t="inlineStr">
        <is>
          <t>NULL</t>
        </is>
      </c>
      <c r="I1339" s="0" t="inlineStr">
        <is>
          <t>NULL</t>
        </is>
      </c>
      <c r="J1339" s="0" t="inlineStr">
        <is>
          <t>NULL</t>
        </is>
      </c>
      <c r="K1339" s="0" t="inlineStr">
        <is>
          <t xml:space="preserve"> NO!  	 c_real列源备映射错误，源端为real None位	期望更改为text	实际备端为real None位</t>
        </is>
      </c>
      <c r="EH1339" s="0" t="inlineStr">
        <is>
          <t>74行 13列，源：None 备：</t>
        </is>
      </c>
      <c r="ES1339" s="0" t="inlineStr">
        <is>
          <t>74行 19列，源：None 备：</t>
        </is>
      </c>
    </row>
    <row r="1340">
      <c r="B1340" s="0" t="inlineStr">
        <is>
          <t>NULL</t>
        </is>
      </c>
      <c r="C1340" s="0" t="inlineStr">
        <is>
          <t>NULL</t>
        </is>
      </c>
      <c r="D1340" s="0" t="inlineStr">
        <is>
          <t>NULL</t>
        </is>
      </c>
      <c r="E1340" s="0" t="inlineStr">
        <is>
          <t>NULL</t>
        </is>
      </c>
      <c r="F1340" s="0" t="inlineStr">
        <is>
          <t>NULL</t>
        </is>
      </c>
      <c r="G1340" s="0" t="inlineStr">
        <is>
          <t>NULL</t>
        </is>
      </c>
      <c r="H1340" s="0" t="inlineStr">
        <is>
          <t>NULL</t>
        </is>
      </c>
      <c r="I1340" s="0" t="inlineStr">
        <is>
          <t>NULL</t>
        </is>
      </c>
      <c r="J1340" s="0" t="inlineStr">
        <is>
          <t>NULL</t>
        </is>
      </c>
      <c r="K1340" s="0" t="inlineStr">
        <is>
          <t xml:space="preserve"> NO!  	 c_money列源备映射错误，源端为money None位	期望更改为text	实际备端为money None位</t>
        </is>
      </c>
      <c r="EH1340" s="0" t="inlineStr">
        <is>
          <t>74行 14列，源：None 备：</t>
        </is>
      </c>
      <c r="ES1340" s="0" t="inlineStr">
        <is>
          <t>75行 0列，源：216 备：62</t>
        </is>
      </c>
    </row>
    <row r="1341">
      <c r="B1341" s="0" t="inlineStr">
        <is>
          <t>NULL</t>
        </is>
      </c>
      <c r="C1341" s="0" t="inlineStr">
        <is>
          <t>NULL</t>
        </is>
      </c>
      <c r="D1341" s="0" t="inlineStr">
        <is>
          <t>NULL</t>
        </is>
      </c>
      <c r="E1341" s="0" t="inlineStr">
        <is>
          <t>NULL</t>
        </is>
      </c>
      <c r="F1341" s="0" t="inlineStr">
        <is>
          <t>NULL</t>
        </is>
      </c>
      <c r="G1341" s="0" t="inlineStr">
        <is>
          <t>NULL</t>
        </is>
      </c>
      <c r="H1341" s="0" t="inlineStr">
        <is>
          <t>NULL</t>
        </is>
      </c>
      <c r="I1341" s="0" t="inlineStr">
        <is>
          <t>NULL</t>
        </is>
      </c>
      <c r="J1341" s="0" t="inlineStr">
        <is>
          <t>NULL</t>
        </is>
      </c>
      <c r="K1341" s="0" t="inlineStr">
        <is>
          <t xml:space="preserve"> NO!  	 c_smallmoney列源备映射错误，源端为smallmoney None位	期望更改为text	实际备端为smallmoney None位</t>
        </is>
      </c>
      <c r="EH1341" s="0" t="inlineStr">
        <is>
          <t>74行 15列，源：nan 备：</t>
        </is>
      </c>
      <c r="ES1341" s="0" t="inlineStr">
        <is>
          <t>75行 1列，源：nan 备：</t>
        </is>
      </c>
    </row>
    <row r="1342">
      <c r="B1342" s="0" t="inlineStr">
        <is>
          <t>NULL</t>
        </is>
      </c>
      <c r="C1342" s="0" t="inlineStr">
        <is>
          <t>NULL</t>
        </is>
      </c>
      <c r="D1342" s="0" t="inlineStr">
        <is>
          <t>NULL</t>
        </is>
      </c>
      <c r="E1342" s="0" t="inlineStr">
        <is>
          <t>NULL</t>
        </is>
      </c>
      <c r="F1342" s="0" t="inlineStr">
        <is>
          <t>NULL</t>
        </is>
      </c>
      <c r="G1342" s="0" t="inlineStr">
        <is>
          <t>NULL</t>
        </is>
      </c>
      <c r="H1342" s="0" t="inlineStr">
        <is>
          <t>NULL</t>
        </is>
      </c>
      <c r="I1342" s="0" t="inlineStr">
        <is>
          <t>NULL</t>
        </is>
      </c>
      <c r="J1342" s="0" t="inlineStr">
        <is>
          <t>NULL</t>
        </is>
      </c>
      <c r="K1342" s="0" t="inlineStr">
        <is>
          <t xml:space="preserve"> NO!  	 c_bit列源备映射错误，源端为bit None位	期望更改为text	实际备端为bit None位</t>
        </is>
      </c>
      <c r="EH1342" s="0" t="inlineStr">
        <is>
          <t>74行 16列，源：nan 备：</t>
        </is>
      </c>
      <c r="ES1342" s="0" t="inlineStr">
        <is>
          <t>75行 2列，源：nan 备：</t>
        </is>
      </c>
    </row>
    <row r="1343">
      <c r="A1343" s="0" t="inlineStr">
        <is>
          <t>info_sdt_dml_batch1_pk_irp1</t>
        </is>
      </c>
      <c r="K1343" s="0" t="inlineStr">
        <is>
          <t>[0;34m info_sdt_dml_batch1_pk_irp1 [0m源备字段数相同，源端字段：2 	备端字段2</t>
        </is>
      </c>
      <c r="W1343" s="2">
        <f>HYPERLINK("#2026041905hbase4!EQ2","NO 源备存在差异，共26个")</f>
        <v/>
      </c>
      <c r="X1343" s="0">
        <f>A1343</f>
        <v/>
      </c>
      <c r="EH1343" s="0" t="inlineStr">
        <is>
          <t>74行 17列，源：None 备：</t>
        </is>
      </c>
      <c r="ES1343" s="0" t="inlineStr">
        <is>
          <t>75行 3列，源：nan 备：</t>
        </is>
      </c>
    </row>
    <row r="1344">
      <c r="B1344" s="0" t="inlineStr">
        <is>
          <t>YES</t>
        </is>
      </c>
      <c r="C1344" s="0" t="inlineStr">
        <is>
          <t>NULL</t>
        </is>
      </c>
      <c r="D1344" s="0" t="inlineStr">
        <is>
          <t>NULL</t>
        </is>
      </c>
      <c r="E1344" s="0" t="inlineStr">
        <is>
          <t>NULL</t>
        </is>
      </c>
      <c r="F1344" s="0" t="inlineStr">
        <is>
          <t>NULL</t>
        </is>
      </c>
      <c r="G1344" s="0" t="inlineStr">
        <is>
          <t>NULL</t>
        </is>
      </c>
      <c r="H1344" s="0" t="inlineStr">
        <is>
          <t>NULL</t>
        </is>
      </c>
      <c r="I1344" s="0" t="inlineStr">
        <is>
          <t>YES!PK__info_sdt__3213E83F27AA8810</t>
        </is>
      </c>
      <c r="J1344" s="0" t="inlineStr">
        <is>
          <t>YES! 主键相关索引</t>
        </is>
      </c>
      <c r="K1344" s="0" t="inlineStr">
        <is>
          <t xml:space="preserve"> NO!  	 id列源备映射错误，源端为int None位	期望更改为text	实际备端为int None位</t>
        </is>
      </c>
      <c r="EH1344" s="0" t="inlineStr">
        <is>
          <t>74行 18列，源：None 备：</t>
        </is>
      </c>
      <c r="ES1344" s="0" t="inlineStr">
        <is>
          <t>75行 4列，源：nan 备：</t>
        </is>
      </c>
    </row>
    <row r="1345">
      <c r="B1345" s="0" t="inlineStr">
        <is>
          <t>NULL</t>
        </is>
      </c>
      <c r="C1345" s="0" t="inlineStr">
        <is>
          <t>NULL</t>
        </is>
      </c>
      <c r="D1345" s="0" t="inlineStr">
        <is>
          <t>NULL</t>
        </is>
      </c>
      <c r="E1345" s="0" t="inlineStr">
        <is>
          <t>NULL</t>
        </is>
      </c>
      <c r="F1345" s="0" t="inlineStr">
        <is>
          <t>NULL</t>
        </is>
      </c>
      <c r="G1345" s="0" t="inlineStr">
        <is>
          <t>NULL</t>
        </is>
      </c>
      <c r="H1345" s="0" t="inlineStr">
        <is>
          <t>NULL</t>
        </is>
      </c>
      <c r="I1345" s="0" t="inlineStr">
        <is>
          <t>NULL</t>
        </is>
      </c>
      <c r="J1345" s="0" t="inlineStr">
        <is>
          <t>NULL</t>
        </is>
      </c>
      <c r="K1345" s="0" t="inlineStr">
        <is>
          <t xml:space="preserve"> NO!  	 c_sdt列源备映射错误，源端为smalldatetime None位	期望更改为text	实际备端为smalldatetime None位</t>
        </is>
      </c>
      <c r="EH1345" s="0" t="inlineStr">
        <is>
          <t>74行 19列，源：None 备：</t>
        </is>
      </c>
      <c r="ES1345" s="0" t="inlineStr">
        <is>
          <t>75行 5列，源：None 备：</t>
        </is>
      </c>
    </row>
    <row r="1346">
      <c r="A1346" s="0" t="inlineStr">
        <is>
          <t>info_sdt_dml_batch1_pk_irp2</t>
        </is>
      </c>
      <c r="K1346" s="0" t="inlineStr">
        <is>
          <t>[0;34m info_sdt_dml_batch1_pk_irp2 [0m源备字段数相同，源端字段：2 	备端字段2</t>
        </is>
      </c>
      <c r="W1346" s="2">
        <f>HYPERLINK("#2026041905hbase4!ER2","NO 源备存在差异，共92个")</f>
        <v/>
      </c>
      <c r="X1346" s="0">
        <f>A1346</f>
        <v/>
      </c>
      <c r="EH1346" s="0" t="inlineStr">
        <is>
          <t>75行 0列，源：166 备：253</t>
        </is>
      </c>
      <c r="ES1346" s="0" t="inlineStr">
        <is>
          <t>75行 6列，源：None 备：</t>
        </is>
      </c>
    </row>
    <row r="1347">
      <c r="B1347" s="0" t="inlineStr">
        <is>
          <t>YES</t>
        </is>
      </c>
      <c r="C1347" s="0" t="inlineStr">
        <is>
          <t>NULL</t>
        </is>
      </c>
      <c r="D1347" s="0" t="inlineStr">
        <is>
          <t>NULL</t>
        </is>
      </c>
      <c r="E1347" s="0" t="inlineStr">
        <is>
          <t>NULL</t>
        </is>
      </c>
      <c r="F1347" s="0" t="inlineStr">
        <is>
          <t>NULL</t>
        </is>
      </c>
      <c r="G1347" s="0" t="inlineStr">
        <is>
          <t>NULL</t>
        </is>
      </c>
      <c r="H1347" s="0" t="inlineStr">
        <is>
          <t>NULL</t>
        </is>
      </c>
      <c r="I1347" s="0" t="inlineStr">
        <is>
          <t>YES!PK__info_sdt__3213E83F3E3AC71F</t>
        </is>
      </c>
      <c r="J1347" s="0" t="inlineStr">
        <is>
          <t>YES! 主键相关索引</t>
        </is>
      </c>
      <c r="K1347" s="0" t="inlineStr">
        <is>
          <t xml:space="preserve"> NO!  	 id列源备映射错误，源端为int None位	期望更改为text	实际备端为int None位</t>
        </is>
      </c>
      <c r="EH1347" s="0" t="inlineStr">
        <is>
          <t>75行 1列，源：nan 备：</t>
        </is>
      </c>
      <c r="ES1347" s="0" t="inlineStr">
        <is>
          <t>75行 7列，源：None 备：</t>
        </is>
      </c>
    </row>
    <row r="1348">
      <c r="B1348" s="0" t="inlineStr">
        <is>
          <t>NULL</t>
        </is>
      </c>
      <c r="C1348" s="0" t="inlineStr">
        <is>
          <t>NULL</t>
        </is>
      </c>
      <c r="D1348" s="0" t="inlineStr">
        <is>
          <t>NULL</t>
        </is>
      </c>
      <c r="E1348" s="0" t="inlineStr">
        <is>
          <t>NULL</t>
        </is>
      </c>
      <c r="F1348" s="0" t="inlineStr">
        <is>
          <t>NULL</t>
        </is>
      </c>
      <c r="G1348" s="0" t="inlineStr">
        <is>
          <t>NULL</t>
        </is>
      </c>
      <c r="H1348" s="0" t="inlineStr">
        <is>
          <t>NULL</t>
        </is>
      </c>
      <c r="I1348" s="0" t="inlineStr">
        <is>
          <t>NULL</t>
        </is>
      </c>
      <c r="J1348" s="0" t="inlineStr">
        <is>
          <t>NULL</t>
        </is>
      </c>
      <c r="K1348" s="0" t="inlineStr">
        <is>
          <t xml:space="preserve"> NO!  	 c_sdt列源备映射错误，源端为smalldatetime None位	期望更改为text	实际备端为smalldatetime None位</t>
        </is>
      </c>
      <c r="EH1348" s="0" t="inlineStr">
        <is>
          <t>75行 2列，源：nan 备：</t>
        </is>
      </c>
      <c r="ES1348" s="0" t="inlineStr">
        <is>
          <t>75行 8列，源：None 备：</t>
        </is>
      </c>
    </row>
    <row r="1349">
      <c r="A1349" s="0" t="inlineStr">
        <is>
          <t>info_int_dml_batch2_pk_irp2</t>
        </is>
      </c>
      <c r="K1349" s="0" t="inlineStr">
        <is>
          <t>[0;34m info_int_dml_batch2_pk_irp2 [0m源备字段数相同，源端字段：20 	备端字段20</t>
        </is>
      </c>
      <c r="W1349" s="2">
        <f>HYPERLINK("#2026041905hbase4!ES2","NO 源备存在差异，共1571个")</f>
        <v/>
      </c>
      <c r="X1349" s="0">
        <f>A1349</f>
        <v/>
      </c>
      <c r="EH1349" s="0" t="inlineStr">
        <is>
          <t>75行 3列，源：nan 备：</t>
        </is>
      </c>
      <c r="ES1349" s="0" t="inlineStr">
        <is>
          <t>75行 9列，源：None 备：</t>
        </is>
      </c>
    </row>
    <row r="1350">
      <c r="B1350" s="0" t="inlineStr">
        <is>
          <t>YES</t>
        </is>
      </c>
      <c r="C1350" s="0" t="inlineStr">
        <is>
          <t>NULL</t>
        </is>
      </c>
      <c r="D1350" s="0" t="inlineStr">
        <is>
          <t>NULL</t>
        </is>
      </c>
      <c r="E1350" s="0" t="inlineStr">
        <is>
          <t>NULL</t>
        </is>
      </c>
      <c r="F1350" s="0" t="inlineStr">
        <is>
          <t>NULL</t>
        </is>
      </c>
      <c r="G1350" s="0" t="inlineStr">
        <is>
          <t>NULL</t>
        </is>
      </c>
      <c r="H1350" s="0" t="inlineStr">
        <is>
          <t>NULL</t>
        </is>
      </c>
      <c r="I1350" s="0" t="inlineStr">
        <is>
          <t>YES!PK__info_int__3213E83F5A31D2CC</t>
        </is>
      </c>
      <c r="J1350" s="0" t="inlineStr">
        <is>
          <t>YES! 主键相关索引</t>
        </is>
      </c>
      <c r="K1350" s="0" t="inlineStr">
        <is>
          <t xml:space="preserve"> NO!  	 id列源备映射错误，源端为int None位	期望更改为text	实际备端为int None位</t>
        </is>
      </c>
      <c r="EH1350" s="0" t="inlineStr">
        <is>
          <t>75行 4列，源：nan 备：</t>
        </is>
      </c>
      <c r="ES1350" s="0" t="inlineStr">
        <is>
          <t>75行 10列，源：None 备：</t>
        </is>
      </c>
    </row>
    <row r="1351">
      <c r="B1351" s="0" t="inlineStr">
        <is>
          <t>NULL</t>
        </is>
      </c>
      <c r="C1351" s="0" t="inlineStr">
        <is>
          <t>NULL</t>
        </is>
      </c>
      <c r="D1351" s="0" t="inlineStr">
        <is>
          <t>NULL</t>
        </is>
      </c>
      <c r="E1351" s="0" t="inlineStr">
        <is>
          <t>NULL</t>
        </is>
      </c>
      <c r="F1351" s="0" t="inlineStr">
        <is>
          <t>NULL</t>
        </is>
      </c>
      <c r="G1351" s="0" t="inlineStr">
        <is>
          <t>NULL</t>
        </is>
      </c>
      <c r="H1351" s="0" t="inlineStr">
        <is>
          <t>NULL</t>
        </is>
      </c>
      <c r="I1351" s="0" t="inlineStr">
        <is>
          <t>NULL</t>
        </is>
      </c>
      <c r="J1351" s="0" t="inlineStr">
        <is>
          <t>NULL</t>
        </is>
      </c>
      <c r="K1351" s="0" t="inlineStr">
        <is>
          <t xml:space="preserve"> NO!  	 c_tinyint列源备映射错误，源端为tinyint None位	期望更改为text	实际备端为tinyint None位</t>
        </is>
      </c>
      <c r="EH1351" s="0" t="inlineStr">
        <is>
          <t>75行 5列，源：None 备：</t>
        </is>
      </c>
      <c r="ES1351" s="0" t="inlineStr">
        <is>
          <t>75行 11列，源：None 备：</t>
        </is>
      </c>
    </row>
    <row r="1352">
      <c r="B1352" s="0" t="inlineStr">
        <is>
          <t>NULL</t>
        </is>
      </c>
      <c r="C1352" s="0" t="inlineStr">
        <is>
          <t>NULL</t>
        </is>
      </c>
      <c r="D1352" s="0" t="inlineStr">
        <is>
          <t>NULL</t>
        </is>
      </c>
      <c r="E1352" s="0" t="inlineStr">
        <is>
          <t>NULL</t>
        </is>
      </c>
      <c r="F1352" s="0" t="inlineStr">
        <is>
          <t>NULL</t>
        </is>
      </c>
      <c r="G1352" s="0" t="inlineStr">
        <is>
          <t>NULL</t>
        </is>
      </c>
      <c r="H1352" s="0" t="inlineStr">
        <is>
          <t>NULL</t>
        </is>
      </c>
      <c r="I1352" s="0" t="inlineStr">
        <is>
          <t>NULL</t>
        </is>
      </c>
      <c r="J1352" s="0" t="inlineStr">
        <is>
          <t>NULL</t>
        </is>
      </c>
      <c r="K1352" s="0" t="inlineStr">
        <is>
          <t xml:space="preserve"> NO!  	 c_smallint列源备映射错误，源端为smallint None位	期望更改为text	实际备端为smallint None位</t>
        </is>
      </c>
      <c r="EH1352" s="0" t="inlineStr">
        <is>
          <t>75行 6列，源：None 备：</t>
        </is>
      </c>
      <c r="ES1352" s="0" t="inlineStr">
        <is>
          <t>75行 12列，源：None 备：</t>
        </is>
      </c>
    </row>
    <row r="1353">
      <c r="B1353" s="0" t="inlineStr">
        <is>
          <t>NULL</t>
        </is>
      </c>
      <c r="C1353" s="0" t="inlineStr">
        <is>
          <t>NULL</t>
        </is>
      </c>
      <c r="D1353" s="0" t="inlineStr">
        <is>
          <t>NULL</t>
        </is>
      </c>
      <c r="E1353" s="0" t="inlineStr">
        <is>
          <t>NULL</t>
        </is>
      </c>
      <c r="F1353" s="0" t="inlineStr">
        <is>
          <t>NULL</t>
        </is>
      </c>
      <c r="G1353" s="0" t="inlineStr">
        <is>
          <t>NULL</t>
        </is>
      </c>
      <c r="H1353" s="0" t="inlineStr">
        <is>
          <t>NULL</t>
        </is>
      </c>
      <c r="I1353" s="0" t="inlineStr">
        <is>
          <t>NULL</t>
        </is>
      </c>
      <c r="J1353" s="0" t="inlineStr">
        <is>
          <t>NULL</t>
        </is>
      </c>
      <c r="K1353" s="0" t="inlineStr">
        <is>
          <t xml:space="preserve"> NO!  	 c_int列源备映射错误，源端为int None位	期望更改为text	实际备端为int None位</t>
        </is>
      </c>
      <c r="EH1353" s="0" t="inlineStr">
        <is>
          <t>75行 7列，源：None 备：</t>
        </is>
      </c>
      <c r="ES1353" s="0" t="inlineStr">
        <is>
          <t>75行 13列，源：None 备：</t>
        </is>
      </c>
    </row>
    <row r="1354">
      <c r="B1354" s="0" t="inlineStr">
        <is>
          <t>NULL</t>
        </is>
      </c>
      <c r="C1354" s="0" t="inlineStr">
        <is>
          <t>NULL</t>
        </is>
      </c>
      <c r="D1354" s="0" t="inlineStr">
        <is>
          <t>NULL</t>
        </is>
      </c>
      <c r="E1354" s="0" t="inlineStr">
        <is>
          <t>NULL</t>
        </is>
      </c>
      <c r="F1354" s="0" t="inlineStr">
        <is>
          <t>NULL</t>
        </is>
      </c>
      <c r="G1354" s="0" t="inlineStr">
        <is>
          <t>NULL</t>
        </is>
      </c>
      <c r="H1354" s="0" t="inlineStr">
        <is>
          <t>NULL</t>
        </is>
      </c>
      <c r="I1354" s="0" t="inlineStr">
        <is>
          <t>NULL</t>
        </is>
      </c>
      <c r="J1354" s="0" t="inlineStr">
        <is>
          <t>NULL</t>
        </is>
      </c>
      <c r="K1354" s="0" t="inlineStr">
        <is>
          <t xml:space="preserve"> NO!  	 c_bigint列源备映射错误，源端为bigint None位	期望更改为text	实际备端为bigint None位</t>
        </is>
      </c>
      <c r="EH1354" s="0" t="inlineStr">
        <is>
          <t>75行 8列，源：None 备：</t>
        </is>
      </c>
      <c r="ES1354" s="0" t="inlineStr">
        <is>
          <t>75行 14列，源：None 备：</t>
        </is>
      </c>
    </row>
    <row r="1355">
      <c r="B1355" s="0" t="inlineStr">
        <is>
          <t>NULL</t>
        </is>
      </c>
      <c r="C1355" s="0" t="inlineStr">
        <is>
          <t>NULL</t>
        </is>
      </c>
      <c r="D1355" s="0" t="inlineStr">
        <is>
          <t>NULL</t>
        </is>
      </c>
      <c r="E1355" s="0" t="inlineStr">
        <is>
          <t>NULL</t>
        </is>
      </c>
      <c r="F1355" s="0" t="inlineStr">
        <is>
          <t>NULL</t>
        </is>
      </c>
      <c r="G1355" s="0" t="inlineStr">
        <is>
          <t>NULL</t>
        </is>
      </c>
      <c r="H1355" s="0" t="inlineStr">
        <is>
          <t>NULL</t>
        </is>
      </c>
      <c r="I1355" s="0" t="inlineStr">
        <is>
          <t>NULL</t>
        </is>
      </c>
      <c r="J1355" s="0" t="inlineStr">
        <is>
          <t>NULL</t>
        </is>
      </c>
      <c r="K1355" s="0" t="inlineStr">
        <is>
          <t xml:space="preserve"> NO!  	 c_decimal列源备映射错误，源端为decimal None位	期望更改为text	实际备端为decimal None位</t>
        </is>
      </c>
      <c r="EH1355" s="0" t="inlineStr">
        <is>
          <t>75行 9列，源：None 备：</t>
        </is>
      </c>
      <c r="ES1355" s="0" t="inlineStr">
        <is>
          <t>75行 15列，源：1.23456789e+38 备：</t>
        </is>
      </c>
    </row>
    <row r="1356">
      <c r="B1356" s="0" t="inlineStr">
        <is>
          <t>NULL</t>
        </is>
      </c>
      <c r="C1356" s="0" t="inlineStr">
        <is>
          <t>NULL</t>
        </is>
      </c>
      <c r="D1356" s="0" t="inlineStr">
        <is>
          <t>NULL</t>
        </is>
      </c>
      <c r="E1356" s="0" t="inlineStr">
        <is>
          <t>NULL</t>
        </is>
      </c>
      <c r="F1356" s="0" t="inlineStr">
        <is>
          <t>NULL</t>
        </is>
      </c>
      <c r="G1356" s="0" t="inlineStr">
        <is>
          <t>NULL</t>
        </is>
      </c>
      <c r="H1356" s="0" t="inlineStr">
        <is>
          <t>NULL</t>
        </is>
      </c>
      <c r="I1356" s="0" t="inlineStr">
        <is>
          <t>NULL</t>
        </is>
      </c>
      <c r="J1356" s="0" t="inlineStr">
        <is>
          <t>NULL</t>
        </is>
      </c>
      <c r="K1356" s="0" t="inlineStr">
        <is>
          <t xml:space="preserve"> NO!  	 c_decimal38列源备映射错误，源端为decimal None位	期望更改为text	实际备端为decimal None位</t>
        </is>
      </c>
      <c r="EH1356" s="0" t="inlineStr">
        <is>
          <t>75行 10列，源：None 备：</t>
        </is>
      </c>
      <c r="ES1356" s="0" t="inlineStr">
        <is>
          <t>75行 16列，源：3.4028230607370965e+38 备：</t>
        </is>
      </c>
    </row>
    <row r="1357">
      <c r="B1357" s="0" t="inlineStr">
        <is>
          <t>NULL</t>
        </is>
      </c>
      <c r="C1357" s="0" t="inlineStr">
        <is>
          <t>NULL</t>
        </is>
      </c>
      <c r="D1357" s="0" t="inlineStr">
        <is>
          <t>NULL</t>
        </is>
      </c>
      <c r="E1357" s="0" t="inlineStr">
        <is>
          <t>NULL</t>
        </is>
      </c>
      <c r="F1357" s="0" t="inlineStr">
        <is>
          <t>NULL</t>
        </is>
      </c>
      <c r="G1357" s="0" t="inlineStr">
        <is>
          <t>NULL</t>
        </is>
      </c>
      <c r="H1357" s="0" t="inlineStr">
        <is>
          <t>NULL</t>
        </is>
      </c>
      <c r="I1357" s="0" t="inlineStr">
        <is>
          <t>NULL</t>
        </is>
      </c>
      <c r="J1357" s="0" t="inlineStr">
        <is>
          <t>NULL</t>
        </is>
      </c>
      <c r="K1357" s="0" t="inlineStr">
        <is>
          <t xml:space="preserve"> NO!  	 c_decimal38_38列源备映射错误，源端为decimal None位	期望更改为text	实际备端为decimal None位</t>
        </is>
      </c>
      <c r="EH1357" s="0" t="inlineStr">
        <is>
          <t>75行 11列，源：None 备：</t>
        </is>
      </c>
      <c r="ES1357" s="0" t="inlineStr">
        <is>
          <t>75行 19列，源：True 备：</t>
        </is>
      </c>
    </row>
    <row r="1358">
      <c r="B1358" s="0" t="inlineStr">
        <is>
          <t>NULL</t>
        </is>
      </c>
      <c r="C1358" s="0" t="inlineStr">
        <is>
          <t>NULL</t>
        </is>
      </c>
      <c r="D1358" s="0" t="inlineStr">
        <is>
          <t>NULL</t>
        </is>
      </c>
      <c r="E1358" s="0" t="inlineStr">
        <is>
          <t>NULL</t>
        </is>
      </c>
      <c r="F1358" s="0" t="inlineStr">
        <is>
          <t>NULL</t>
        </is>
      </c>
      <c r="G1358" s="0" t="inlineStr">
        <is>
          <t>NULL</t>
        </is>
      </c>
      <c r="H1358" s="0" t="inlineStr">
        <is>
          <t>NULL</t>
        </is>
      </c>
      <c r="I1358" s="0" t="inlineStr">
        <is>
          <t>NULL</t>
        </is>
      </c>
      <c r="J1358" s="0" t="inlineStr">
        <is>
          <t>NULL</t>
        </is>
      </c>
      <c r="K1358" s="0" t="inlineStr">
        <is>
          <t xml:space="preserve"> NO!  	 c_decimal38_10列源备映射错误，源端为decimal None位	期望更改为text	实际备端为decimal None位</t>
        </is>
      </c>
      <c r="EH1358" s="0" t="inlineStr">
        <is>
          <t>75行 12列，源：None 备：</t>
        </is>
      </c>
      <c r="ES1358" s="0" t="inlineStr">
        <is>
          <t>76行 0列，源：217 备：63</t>
        </is>
      </c>
    </row>
    <row r="1359">
      <c r="B1359" s="0" t="inlineStr">
        <is>
          <t>NULL</t>
        </is>
      </c>
      <c r="C1359" s="0" t="inlineStr">
        <is>
          <t>NULL</t>
        </is>
      </c>
      <c r="D1359" s="0" t="inlineStr">
        <is>
          <t>NULL</t>
        </is>
      </c>
      <c r="E1359" s="0" t="inlineStr">
        <is>
          <t>NULL</t>
        </is>
      </c>
      <c r="F1359" s="0" t="inlineStr">
        <is>
          <t>NULL</t>
        </is>
      </c>
      <c r="G1359" s="0" t="inlineStr">
        <is>
          <t>NULL</t>
        </is>
      </c>
      <c r="H1359" s="0" t="inlineStr">
        <is>
          <t>NULL</t>
        </is>
      </c>
      <c r="I1359" s="0" t="inlineStr">
        <is>
          <t>NULL</t>
        </is>
      </c>
      <c r="J1359" s="0" t="inlineStr">
        <is>
          <t>NULL</t>
        </is>
      </c>
      <c r="K1359" s="0" t="inlineStr">
        <is>
          <t xml:space="preserve"> NO!  	 c_decimal19_4列源备映射错误，源端为decimal None位	期望更改为text	实际备端为decimal None位</t>
        </is>
      </c>
      <c r="EH1359" s="0" t="inlineStr">
        <is>
          <t>75行 13列，源：None 备：</t>
        </is>
      </c>
      <c r="ES1359" s="0" t="inlineStr">
        <is>
          <t>76行 1列，源：nan 备：</t>
        </is>
      </c>
    </row>
    <row r="1360">
      <c r="B1360" s="0" t="inlineStr">
        <is>
          <t>NULL</t>
        </is>
      </c>
      <c r="C1360" s="0" t="inlineStr">
        <is>
          <t>NULL</t>
        </is>
      </c>
      <c r="D1360" s="0" t="inlineStr">
        <is>
          <t>NULL</t>
        </is>
      </c>
      <c r="E1360" s="0" t="inlineStr">
        <is>
          <t>NULL</t>
        </is>
      </c>
      <c r="F1360" s="0" t="inlineStr">
        <is>
          <t>NULL</t>
        </is>
      </c>
      <c r="G1360" s="0" t="inlineStr">
        <is>
          <t>NULL</t>
        </is>
      </c>
      <c r="H1360" s="0" t="inlineStr">
        <is>
          <t>NULL</t>
        </is>
      </c>
      <c r="I1360" s="0" t="inlineStr">
        <is>
          <t>NULL</t>
        </is>
      </c>
      <c r="J1360" s="0" t="inlineStr">
        <is>
          <t>NULL</t>
        </is>
      </c>
      <c r="K1360" s="0" t="inlineStr">
        <is>
          <t xml:space="preserve"> NO!  	 c_numeric列源备映射错误，源端为numeric None位	期望更改为text	实际备端为numeric None位</t>
        </is>
      </c>
      <c r="EH1360" s="0" t="inlineStr">
        <is>
          <t>75行 14列，源：None 备：</t>
        </is>
      </c>
      <c r="ES1360" s="0" t="inlineStr">
        <is>
          <t>76行 2列，源：nan 备：</t>
        </is>
      </c>
    </row>
    <row r="1361">
      <c r="B1361" s="0" t="inlineStr">
        <is>
          <t>NULL</t>
        </is>
      </c>
      <c r="C1361" s="0" t="inlineStr">
        <is>
          <t>NULL</t>
        </is>
      </c>
      <c r="D1361" s="0" t="inlineStr">
        <is>
          <t>NULL</t>
        </is>
      </c>
      <c r="E1361" s="0" t="inlineStr">
        <is>
          <t>NULL</t>
        </is>
      </c>
      <c r="F1361" s="0" t="inlineStr">
        <is>
          <t>NULL</t>
        </is>
      </c>
      <c r="G1361" s="0" t="inlineStr">
        <is>
          <t>NULL</t>
        </is>
      </c>
      <c r="H1361" s="0" t="inlineStr">
        <is>
          <t>NULL</t>
        </is>
      </c>
      <c r="I1361" s="0" t="inlineStr">
        <is>
          <t>NULL</t>
        </is>
      </c>
      <c r="J1361" s="0" t="inlineStr">
        <is>
          <t>NULL</t>
        </is>
      </c>
      <c r="K1361" s="0" t="inlineStr">
        <is>
          <t xml:space="preserve"> NO!  	 c_numeric38列源备映射错误，源端为numeric None位	期望更改为text	实际备端为numeric None位</t>
        </is>
      </c>
      <c r="EH1361" s="0" t="inlineStr">
        <is>
          <t>75行 15列，源：nan 备：</t>
        </is>
      </c>
      <c r="ES1361" s="0" t="inlineStr">
        <is>
          <t>76行 3列，源：nan 备：</t>
        </is>
      </c>
    </row>
    <row r="1362">
      <c r="B1362" s="0" t="inlineStr">
        <is>
          <t>NULL</t>
        </is>
      </c>
      <c r="C1362" s="0" t="inlineStr">
        <is>
          <t>NULL</t>
        </is>
      </c>
      <c r="D1362" s="0" t="inlineStr">
        <is>
          <t>NULL</t>
        </is>
      </c>
      <c r="E1362" s="0" t="inlineStr">
        <is>
          <t>NULL</t>
        </is>
      </c>
      <c r="F1362" s="0" t="inlineStr">
        <is>
          <t>NULL</t>
        </is>
      </c>
      <c r="G1362" s="0" t="inlineStr">
        <is>
          <t>NULL</t>
        </is>
      </c>
      <c r="H1362" s="0" t="inlineStr">
        <is>
          <t>NULL</t>
        </is>
      </c>
      <c r="I1362" s="0" t="inlineStr">
        <is>
          <t>NULL</t>
        </is>
      </c>
      <c r="J1362" s="0" t="inlineStr">
        <is>
          <t>NULL</t>
        </is>
      </c>
      <c r="K1362" s="0" t="inlineStr">
        <is>
          <t xml:space="preserve"> NO!  	 c_numeric38_38列源备映射错误，源端为numeric None位	期望更改为text	实际备端为numeric None位</t>
        </is>
      </c>
      <c r="EH1362" s="0" t="inlineStr">
        <is>
          <t>75行 16列，源：nan 备：</t>
        </is>
      </c>
      <c r="ES1362" s="0" t="inlineStr">
        <is>
          <t>76行 4列，源：nan 备：</t>
        </is>
      </c>
    </row>
    <row r="1363">
      <c r="B1363" s="0" t="inlineStr">
        <is>
          <t>NULL</t>
        </is>
      </c>
      <c r="C1363" s="0" t="inlineStr">
        <is>
          <t>NULL</t>
        </is>
      </c>
      <c r="D1363" s="0" t="inlineStr">
        <is>
          <t>NULL</t>
        </is>
      </c>
      <c r="E1363" s="0" t="inlineStr">
        <is>
          <t>NULL</t>
        </is>
      </c>
      <c r="F1363" s="0" t="inlineStr">
        <is>
          <t>NULL</t>
        </is>
      </c>
      <c r="G1363" s="0" t="inlineStr">
        <is>
          <t>NULL</t>
        </is>
      </c>
      <c r="H1363" s="0" t="inlineStr">
        <is>
          <t>NULL</t>
        </is>
      </c>
      <c r="I1363" s="0" t="inlineStr">
        <is>
          <t>NULL</t>
        </is>
      </c>
      <c r="J1363" s="0" t="inlineStr">
        <is>
          <t>NULL</t>
        </is>
      </c>
      <c r="K1363" s="0" t="inlineStr">
        <is>
          <t xml:space="preserve"> NO!  	 c_numeric38_10列源备映射错误，源端为numeric None位	期望更改为text	实际备端为numeric None位</t>
        </is>
      </c>
      <c r="EH1363" s="0" t="inlineStr">
        <is>
          <t>75行 17列，源：None 备：</t>
        </is>
      </c>
      <c r="ES1363" s="0" t="inlineStr">
        <is>
          <t>76行 5列，源：None 备：</t>
        </is>
      </c>
    </row>
    <row r="1364">
      <c r="B1364" s="0" t="inlineStr">
        <is>
          <t>NULL</t>
        </is>
      </c>
      <c r="C1364" s="0" t="inlineStr">
        <is>
          <t>NULL</t>
        </is>
      </c>
      <c r="D1364" s="0" t="inlineStr">
        <is>
          <t>NULL</t>
        </is>
      </c>
      <c r="E1364" s="0" t="inlineStr">
        <is>
          <t>NULL</t>
        </is>
      </c>
      <c r="F1364" s="0" t="inlineStr">
        <is>
          <t>NULL</t>
        </is>
      </c>
      <c r="G1364" s="0" t="inlineStr">
        <is>
          <t>NULL</t>
        </is>
      </c>
      <c r="H1364" s="0" t="inlineStr">
        <is>
          <t>NULL</t>
        </is>
      </c>
      <c r="I1364" s="0" t="inlineStr">
        <is>
          <t>NULL</t>
        </is>
      </c>
      <c r="J1364" s="0" t="inlineStr">
        <is>
          <t>NULL</t>
        </is>
      </c>
      <c r="K1364" s="0" t="inlineStr">
        <is>
          <t xml:space="preserve"> NO!  	 c_numeric18_2列源备映射错误，源端为numeric None位	期望更改为text	实际备端为numeric None位</t>
        </is>
      </c>
      <c r="EH1364" s="0" t="inlineStr">
        <is>
          <t>75行 18列，源：None 备：</t>
        </is>
      </c>
      <c r="ES1364" s="0" t="inlineStr">
        <is>
          <t>76行 6列，源：None 备：</t>
        </is>
      </c>
    </row>
    <row r="1365">
      <c r="B1365" s="0" t="inlineStr">
        <is>
          <t>NULL</t>
        </is>
      </c>
      <c r="C1365" s="0" t="inlineStr">
        <is>
          <t>NULL</t>
        </is>
      </c>
      <c r="D1365" s="0" t="inlineStr">
        <is>
          <t>NULL</t>
        </is>
      </c>
      <c r="E1365" s="0" t="inlineStr">
        <is>
          <t>NULL</t>
        </is>
      </c>
      <c r="F1365" s="0" t="inlineStr">
        <is>
          <t>NULL</t>
        </is>
      </c>
      <c r="G1365" s="0" t="inlineStr">
        <is>
          <t>NULL</t>
        </is>
      </c>
      <c r="H1365" s="0" t="inlineStr">
        <is>
          <t>NULL</t>
        </is>
      </c>
      <c r="I1365" s="0" t="inlineStr">
        <is>
          <t>NULL</t>
        </is>
      </c>
      <c r="J1365" s="0" t="inlineStr">
        <is>
          <t>NULL</t>
        </is>
      </c>
      <c r="K1365" s="0" t="inlineStr">
        <is>
          <t xml:space="preserve"> NO!  	 c_float列源备映射错误，源端为float None位	期望更改为text	实际备端为float None位</t>
        </is>
      </c>
      <c r="EH1365" s="0" t="inlineStr">
        <is>
          <t>75行 19列，源：None 备：</t>
        </is>
      </c>
      <c r="ES1365" s="0" t="inlineStr">
        <is>
          <t>76行 7列，源：None 备：</t>
        </is>
      </c>
    </row>
    <row r="1366">
      <c r="B1366" s="0" t="inlineStr">
        <is>
          <t>NULL</t>
        </is>
      </c>
      <c r="C1366" s="0" t="inlineStr">
        <is>
          <t>NULL</t>
        </is>
      </c>
      <c r="D1366" s="0" t="inlineStr">
        <is>
          <t>NULL</t>
        </is>
      </c>
      <c r="E1366" s="0" t="inlineStr">
        <is>
          <t>NULL</t>
        </is>
      </c>
      <c r="F1366" s="0" t="inlineStr">
        <is>
          <t>NULL</t>
        </is>
      </c>
      <c r="G1366" s="0" t="inlineStr">
        <is>
          <t>NULL</t>
        </is>
      </c>
      <c r="H1366" s="0" t="inlineStr">
        <is>
          <t>NULL</t>
        </is>
      </c>
      <c r="I1366" s="0" t="inlineStr">
        <is>
          <t>NULL</t>
        </is>
      </c>
      <c r="J1366" s="0" t="inlineStr">
        <is>
          <t>NULL</t>
        </is>
      </c>
      <c r="K1366" s="0" t="inlineStr">
        <is>
          <t xml:space="preserve"> NO!  	 c_real列源备映射错误，源端为real None位	期望更改为text	实际备端为real None位</t>
        </is>
      </c>
      <c r="EH1366" s="0" t="inlineStr">
        <is>
          <t>76行 0列，源：167 备：254</t>
        </is>
      </c>
      <c r="ES1366" s="0" t="inlineStr">
        <is>
          <t>76行 8列，源：None 备：</t>
        </is>
      </c>
    </row>
    <row r="1367">
      <c r="B1367" s="0" t="inlineStr">
        <is>
          <t>NULL</t>
        </is>
      </c>
      <c r="C1367" s="0" t="inlineStr">
        <is>
          <t>NULL</t>
        </is>
      </c>
      <c r="D1367" s="0" t="inlineStr">
        <is>
          <t>NULL</t>
        </is>
      </c>
      <c r="E1367" s="0" t="inlineStr">
        <is>
          <t>NULL</t>
        </is>
      </c>
      <c r="F1367" s="0" t="inlineStr">
        <is>
          <t>NULL</t>
        </is>
      </c>
      <c r="G1367" s="0" t="inlineStr">
        <is>
          <t>NULL</t>
        </is>
      </c>
      <c r="H1367" s="0" t="inlineStr">
        <is>
          <t>NULL</t>
        </is>
      </c>
      <c r="I1367" s="0" t="inlineStr">
        <is>
          <t>NULL</t>
        </is>
      </c>
      <c r="J1367" s="0" t="inlineStr">
        <is>
          <t>NULL</t>
        </is>
      </c>
      <c r="K1367" s="0" t="inlineStr">
        <is>
          <t xml:space="preserve"> NO!  	 c_money列源备映射错误，源端为money None位	期望更改为text	实际备端为money None位</t>
        </is>
      </c>
      <c r="EH1367" s="0" t="inlineStr">
        <is>
          <t>76行 1列，源：nan 备：</t>
        </is>
      </c>
      <c r="ES1367" s="0" t="inlineStr">
        <is>
          <t>76行 9列，源：None 备：</t>
        </is>
      </c>
    </row>
    <row r="1368">
      <c r="B1368" s="0" t="inlineStr">
        <is>
          <t>NULL</t>
        </is>
      </c>
      <c r="C1368" s="0" t="inlineStr">
        <is>
          <t>NULL</t>
        </is>
      </c>
      <c r="D1368" s="0" t="inlineStr">
        <is>
          <t>NULL</t>
        </is>
      </c>
      <c r="E1368" s="0" t="inlineStr">
        <is>
          <t>NULL</t>
        </is>
      </c>
      <c r="F1368" s="0" t="inlineStr">
        <is>
          <t>NULL</t>
        </is>
      </c>
      <c r="G1368" s="0" t="inlineStr">
        <is>
          <t>NULL</t>
        </is>
      </c>
      <c r="H1368" s="0" t="inlineStr">
        <is>
          <t>NULL</t>
        </is>
      </c>
      <c r="I1368" s="0" t="inlineStr">
        <is>
          <t>NULL</t>
        </is>
      </c>
      <c r="J1368" s="0" t="inlineStr">
        <is>
          <t>NULL</t>
        </is>
      </c>
      <c r="K1368" s="0" t="inlineStr">
        <is>
          <t xml:space="preserve"> NO!  	 c_smallmoney列源备映射错误，源端为smallmoney None位	期望更改为text	实际备端为smallmoney None位</t>
        </is>
      </c>
      <c r="EH1368" s="0" t="inlineStr">
        <is>
          <t>76行 2列，源：nan 备：</t>
        </is>
      </c>
      <c r="ES1368" s="0" t="inlineStr">
        <is>
          <t>76行 10列，源：None 备：</t>
        </is>
      </c>
    </row>
    <row r="1369">
      <c r="B1369" s="0" t="inlineStr">
        <is>
          <t>NULL</t>
        </is>
      </c>
      <c r="C1369" s="0" t="inlineStr">
        <is>
          <t>NULL</t>
        </is>
      </c>
      <c r="D1369" s="0" t="inlineStr">
        <is>
          <t>NULL</t>
        </is>
      </c>
      <c r="E1369" s="0" t="inlineStr">
        <is>
          <t>NULL</t>
        </is>
      </c>
      <c r="F1369" s="0" t="inlineStr">
        <is>
          <t>NULL</t>
        </is>
      </c>
      <c r="G1369" s="0" t="inlineStr">
        <is>
          <t>NULL</t>
        </is>
      </c>
      <c r="H1369" s="0" t="inlineStr">
        <is>
          <t>NULL</t>
        </is>
      </c>
      <c r="I1369" s="0" t="inlineStr">
        <is>
          <t>NULL</t>
        </is>
      </c>
      <c r="J1369" s="0" t="inlineStr">
        <is>
          <t>NULL</t>
        </is>
      </c>
      <c r="K1369" s="0" t="inlineStr">
        <is>
          <t xml:space="preserve"> NO!  	 c_bit列源备映射错误，源端为bit None位	期望更改为text	实际备端为bit None位</t>
        </is>
      </c>
      <c r="EH1369" s="0" t="inlineStr">
        <is>
          <t>76行 3列，源：nan 备：</t>
        </is>
      </c>
      <c r="ES1369" s="0" t="inlineStr">
        <is>
          <t>76行 11列，源：None 备：</t>
        </is>
      </c>
    </row>
    <row r="1370">
      <c r="A1370" s="0" t="inlineStr">
        <is>
          <t>info_datetimeoffset_dml_single_pk_irp</t>
        </is>
      </c>
      <c r="K1370" s="0" t="inlineStr">
        <is>
          <t>[0;34m info_datetimeoffset_dml_single_pk_irp [0m源备字段数相同，源端字段：9 	备端字段9</t>
        </is>
      </c>
      <c r="W1370" s="2">
        <f>HYPERLINK("#2026041905hbase4!ET2","NO 源备存在差异，共116个")</f>
        <v/>
      </c>
      <c r="X1370" s="0">
        <f>A1370</f>
        <v/>
      </c>
      <c r="EH1370" s="0" t="inlineStr">
        <is>
          <t>76行 4列，源：nan 备：</t>
        </is>
      </c>
      <c r="ES1370" s="0" t="inlineStr">
        <is>
          <t>76行 12列，源：None 备：</t>
        </is>
      </c>
    </row>
    <row r="1371">
      <c r="B1371" s="0" t="inlineStr">
        <is>
          <t>YES</t>
        </is>
      </c>
      <c r="C1371" s="0" t="inlineStr">
        <is>
          <t>NULL</t>
        </is>
      </c>
      <c r="D1371" s="0" t="inlineStr">
        <is>
          <t>NULL</t>
        </is>
      </c>
      <c r="E1371" s="0" t="inlineStr">
        <is>
          <t>NULL</t>
        </is>
      </c>
      <c r="F1371" s="0" t="inlineStr">
        <is>
          <t>NULL</t>
        </is>
      </c>
      <c r="G1371" s="0" t="inlineStr">
        <is>
          <t>NULL</t>
        </is>
      </c>
      <c r="H1371" s="0" t="inlineStr">
        <is>
          <t>NULL</t>
        </is>
      </c>
      <c r="I1371" s="0" t="inlineStr">
        <is>
          <t>YES!PK__info_dat__3213E83FBF5274F1</t>
        </is>
      </c>
      <c r="J1371" s="0" t="inlineStr">
        <is>
          <t>YES! 主键相关索引</t>
        </is>
      </c>
      <c r="K1371" s="0" t="inlineStr">
        <is>
          <t xml:space="preserve"> NO!  	 id列源备映射错误，源端为int None位	期望更改为text	实际备端为int None位</t>
        </is>
      </c>
      <c r="EH1371" s="0" t="inlineStr">
        <is>
          <t>76行 5列，源：None 备：</t>
        </is>
      </c>
      <c r="ES1371" s="0" t="inlineStr">
        <is>
          <t>76行 13列，源：None 备：</t>
        </is>
      </c>
    </row>
    <row r="1372">
      <c r="B1372" s="0" t="inlineStr">
        <is>
          <t>NULL</t>
        </is>
      </c>
      <c r="C1372" s="0" t="inlineStr">
        <is>
          <t>NULL</t>
        </is>
      </c>
      <c r="D1372" s="0" t="inlineStr">
        <is>
          <t>NULL</t>
        </is>
      </c>
      <c r="E1372" s="0" t="inlineStr">
        <is>
          <t>NULL</t>
        </is>
      </c>
      <c r="F1372" s="0" t="inlineStr">
        <is>
          <t>NULL</t>
        </is>
      </c>
      <c r="G1372" s="0" t="inlineStr">
        <is>
          <t>NULL</t>
        </is>
      </c>
      <c r="H1372" s="0" t="inlineStr">
        <is>
          <t>NULL</t>
        </is>
      </c>
      <c r="I1372" s="0" t="inlineStr">
        <is>
          <t>NULL</t>
        </is>
      </c>
      <c r="J1372" s="0" t="inlineStr">
        <is>
          <t>NULL</t>
        </is>
      </c>
      <c r="K1372" s="0" t="inlineStr">
        <is>
          <t xml:space="preserve"> NO!  	 c_dtoffset_0列源备映射错误，源端为datetimeoffset None位	期望更改为text	实际备端为datetimeoffset None位</t>
        </is>
      </c>
      <c r="EH1372" s="0" t="inlineStr">
        <is>
          <t>76行 6列，源：None 备：</t>
        </is>
      </c>
      <c r="ES1372" s="0" t="inlineStr">
        <is>
          <t>76行 14列，源：None 备：</t>
        </is>
      </c>
    </row>
    <row r="1373">
      <c r="B1373" s="0" t="inlineStr">
        <is>
          <t>NULL</t>
        </is>
      </c>
      <c r="C1373" s="0" t="inlineStr">
        <is>
          <t>NULL</t>
        </is>
      </c>
      <c r="D1373" s="0" t="inlineStr">
        <is>
          <t>NULL</t>
        </is>
      </c>
      <c r="E1373" s="0" t="inlineStr">
        <is>
          <t>NULL</t>
        </is>
      </c>
      <c r="F1373" s="0" t="inlineStr">
        <is>
          <t>NULL</t>
        </is>
      </c>
      <c r="G1373" s="0" t="inlineStr">
        <is>
          <t>NULL</t>
        </is>
      </c>
      <c r="H1373" s="0" t="inlineStr">
        <is>
          <t>NULL</t>
        </is>
      </c>
      <c r="I1373" s="0" t="inlineStr">
        <is>
          <t>NULL</t>
        </is>
      </c>
      <c r="J1373" s="0" t="inlineStr">
        <is>
          <t>NULL</t>
        </is>
      </c>
      <c r="K1373" s="0" t="inlineStr">
        <is>
          <t xml:space="preserve"> NO!  	 c_dtoffset_1列源备映射错误，源端为datetimeoffset None位	期望更改为text	实际备端为datetimeoffset None位</t>
        </is>
      </c>
      <c r="EH1373" s="0" t="inlineStr">
        <is>
          <t>76行 7列，源：None 备：</t>
        </is>
      </c>
      <c r="ES1373" s="0" t="inlineStr">
        <is>
          <t>76行 15列，源：-1.23456789e+38 备：</t>
        </is>
      </c>
    </row>
    <row r="1374">
      <c r="B1374" s="0" t="inlineStr">
        <is>
          <t>NULL</t>
        </is>
      </c>
      <c r="C1374" s="0" t="inlineStr">
        <is>
          <t>NULL</t>
        </is>
      </c>
      <c r="D1374" s="0" t="inlineStr">
        <is>
          <t>NULL</t>
        </is>
      </c>
      <c r="E1374" s="0" t="inlineStr">
        <is>
          <t>NULL</t>
        </is>
      </c>
      <c r="F1374" s="0" t="inlineStr">
        <is>
          <t>NULL</t>
        </is>
      </c>
      <c r="G1374" s="0" t="inlineStr">
        <is>
          <t>NULL</t>
        </is>
      </c>
      <c r="H1374" s="0" t="inlineStr">
        <is>
          <t>NULL</t>
        </is>
      </c>
      <c r="I1374" s="0" t="inlineStr">
        <is>
          <t>NULL</t>
        </is>
      </c>
      <c r="J1374" s="0" t="inlineStr">
        <is>
          <t>NULL</t>
        </is>
      </c>
      <c r="K1374" s="0" t="inlineStr">
        <is>
          <t xml:space="preserve"> NO!  	 c_dtoffset_2列源备映射错误，源端为datetimeoffset None位	期望更改为text	实际备端为datetimeoffset None位</t>
        </is>
      </c>
      <c r="EH1374" s="0" t="inlineStr">
        <is>
          <t>76行 8列，源：None 备：</t>
        </is>
      </c>
      <c r="ES1374" s="0" t="inlineStr">
        <is>
          <t>76行 16列，源：-3.4028230607370965e+38 备：</t>
        </is>
      </c>
    </row>
    <row r="1375">
      <c r="B1375" s="0" t="inlineStr">
        <is>
          <t>NULL</t>
        </is>
      </c>
      <c r="C1375" s="0" t="inlineStr">
        <is>
          <t>NULL</t>
        </is>
      </c>
      <c r="D1375" s="0" t="inlineStr">
        <is>
          <t>NULL</t>
        </is>
      </c>
      <c r="E1375" s="0" t="inlineStr">
        <is>
          <t>NULL</t>
        </is>
      </c>
      <c r="F1375" s="0" t="inlineStr">
        <is>
          <t>NULL</t>
        </is>
      </c>
      <c r="G1375" s="0" t="inlineStr">
        <is>
          <t>NULL</t>
        </is>
      </c>
      <c r="H1375" s="0" t="inlineStr">
        <is>
          <t>NULL</t>
        </is>
      </c>
      <c r="I1375" s="0" t="inlineStr">
        <is>
          <t>NULL</t>
        </is>
      </c>
      <c r="J1375" s="0" t="inlineStr">
        <is>
          <t>NULL</t>
        </is>
      </c>
      <c r="K1375" s="0" t="inlineStr">
        <is>
          <t xml:space="preserve"> NO!  	 c_dtoffset_3列源备映射错误，源端为datetimeoffset None位	期望更改为text	实际备端为datetimeoffset None位</t>
        </is>
      </c>
      <c r="EH1375" s="0" t="inlineStr">
        <is>
          <t>76行 9列，源：None 备：</t>
        </is>
      </c>
      <c r="ES1375" s="0" t="inlineStr">
        <is>
          <t>76行 19列，源：False 备：</t>
        </is>
      </c>
    </row>
    <row r="1376">
      <c r="B1376" s="0" t="inlineStr">
        <is>
          <t>NULL</t>
        </is>
      </c>
      <c r="C1376" s="0" t="inlineStr">
        <is>
          <t>NULL</t>
        </is>
      </c>
      <c r="D1376" s="0" t="inlineStr">
        <is>
          <t>NULL</t>
        </is>
      </c>
      <c r="E1376" s="0" t="inlineStr">
        <is>
          <t>NULL</t>
        </is>
      </c>
      <c r="F1376" s="0" t="inlineStr">
        <is>
          <t>NULL</t>
        </is>
      </c>
      <c r="G1376" s="0" t="inlineStr">
        <is>
          <t>NULL</t>
        </is>
      </c>
      <c r="H1376" s="0" t="inlineStr">
        <is>
          <t>NULL</t>
        </is>
      </c>
      <c r="I1376" s="0" t="inlineStr">
        <is>
          <t>NULL</t>
        </is>
      </c>
      <c r="J1376" s="0" t="inlineStr">
        <is>
          <t>NULL</t>
        </is>
      </c>
      <c r="K1376" s="0" t="inlineStr">
        <is>
          <t xml:space="preserve"> NO!  	 c_dtoffset_4列源备映射错误，源端为datetimeoffset None位	期望更改为text	实际备端为datetimeoffset None位</t>
        </is>
      </c>
      <c r="EH1376" s="0" t="inlineStr">
        <is>
          <t>76行 10列，源：None 备：</t>
        </is>
      </c>
      <c r="ES1376" s="0" t="inlineStr">
        <is>
          <t>77行 0列，源：218 备：64</t>
        </is>
      </c>
    </row>
    <row r="1377">
      <c r="B1377" s="0" t="inlineStr">
        <is>
          <t>NULL</t>
        </is>
      </c>
      <c r="C1377" s="0" t="inlineStr">
        <is>
          <t>NULL</t>
        </is>
      </c>
      <c r="D1377" s="0" t="inlineStr">
        <is>
          <t>NULL</t>
        </is>
      </c>
      <c r="E1377" s="0" t="inlineStr">
        <is>
          <t>NULL</t>
        </is>
      </c>
      <c r="F1377" s="0" t="inlineStr">
        <is>
          <t>NULL</t>
        </is>
      </c>
      <c r="G1377" s="0" t="inlineStr">
        <is>
          <t>NULL</t>
        </is>
      </c>
      <c r="H1377" s="0" t="inlineStr">
        <is>
          <t>NULL</t>
        </is>
      </c>
      <c r="I1377" s="0" t="inlineStr">
        <is>
          <t>NULL</t>
        </is>
      </c>
      <c r="J1377" s="0" t="inlineStr">
        <is>
          <t>NULL</t>
        </is>
      </c>
      <c r="K1377" s="0" t="inlineStr">
        <is>
          <t xml:space="preserve"> NO!  	 c_dtoffset_5列源备映射错误，源端为datetimeoffset None位	期望更改为text	实际备端为datetimeoffset None位</t>
        </is>
      </c>
      <c r="EH1377" s="0" t="inlineStr">
        <is>
          <t>76行 11列，源：None 备：</t>
        </is>
      </c>
      <c r="ES1377" s="0" t="inlineStr">
        <is>
          <t>77行 1列，源：nan 备：</t>
        </is>
      </c>
    </row>
    <row r="1378">
      <c r="B1378" s="0" t="inlineStr">
        <is>
          <t>NULL</t>
        </is>
      </c>
      <c r="C1378" s="0" t="inlineStr">
        <is>
          <t>NULL</t>
        </is>
      </c>
      <c r="D1378" s="0" t="inlineStr">
        <is>
          <t>NULL</t>
        </is>
      </c>
      <c r="E1378" s="0" t="inlineStr">
        <is>
          <t>NULL</t>
        </is>
      </c>
      <c r="F1378" s="0" t="inlineStr">
        <is>
          <t>NULL</t>
        </is>
      </c>
      <c r="G1378" s="0" t="inlineStr">
        <is>
          <t>NULL</t>
        </is>
      </c>
      <c r="H1378" s="0" t="inlineStr">
        <is>
          <t>NULL</t>
        </is>
      </c>
      <c r="I1378" s="0" t="inlineStr">
        <is>
          <t>NULL</t>
        </is>
      </c>
      <c r="J1378" s="0" t="inlineStr">
        <is>
          <t>NULL</t>
        </is>
      </c>
      <c r="K1378" s="0" t="inlineStr">
        <is>
          <t xml:space="preserve"> NO!  	 c_dtoffset_6列源备映射错误，源端为datetimeoffset None位	期望更改为text	实际备端为datetimeoffset None位</t>
        </is>
      </c>
      <c r="EH1378" s="0" t="inlineStr">
        <is>
          <t>76行 12列，源：None 备：</t>
        </is>
      </c>
      <c r="ES1378" s="0" t="inlineStr">
        <is>
          <t>77行 2列，源：nan 备：</t>
        </is>
      </c>
    </row>
    <row r="1379">
      <c r="B1379" s="0" t="inlineStr">
        <is>
          <t>NULL</t>
        </is>
      </c>
      <c r="C1379" s="0" t="inlineStr">
        <is>
          <t>NULL</t>
        </is>
      </c>
      <c r="D1379" s="0" t="inlineStr">
        <is>
          <t>NULL</t>
        </is>
      </c>
      <c r="E1379" s="0" t="inlineStr">
        <is>
          <t>NULL</t>
        </is>
      </c>
      <c r="F1379" s="0" t="inlineStr">
        <is>
          <t>NULL</t>
        </is>
      </c>
      <c r="G1379" s="0" t="inlineStr">
        <is>
          <t>NULL</t>
        </is>
      </c>
      <c r="H1379" s="0" t="inlineStr">
        <is>
          <t>NULL</t>
        </is>
      </c>
      <c r="I1379" s="0" t="inlineStr">
        <is>
          <t>NULL</t>
        </is>
      </c>
      <c r="J1379" s="0" t="inlineStr">
        <is>
          <t>NULL</t>
        </is>
      </c>
      <c r="K1379" s="0" t="inlineStr">
        <is>
          <t xml:space="preserve"> NO!  	 c_dtoffset列源备映射错误，源端为datetimeoffset None位	期望更改为text	实际备端为datetimeoffset None位</t>
        </is>
      </c>
      <c r="EH1379" s="0" t="inlineStr">
        <is>
          <t>76行 13列，源：None 备：</t>
        </is>
      </c>
      <c r="ES1379" s="0" t="inlineStr">
        <is>
          <t>77行 3列，源：nan 备：</t>
        </is>
      </c>
    </row>
    <row r="1380">
      <c r="A1380" s="0" t="inlineStr">
        <is>
          <t>info_varchar_dml_batch1_pk_urp2</t>
        </is>
      </c>
      <c r="K1380" s="0" t="inlineStr">
        <is>
          <t>[0;34m info_varchar_dml_batch1_pk_urp2 [0m源备字段数相同，源端字段：4 	备端字段4</t>
        </is>
      </c>
      <c r="W1380" s="2">
        <f>HYPERLINK("#2026041905hbase4!EU2","NO 源备存在差异，共6个")</f>
        <v/>
      </c>
      <c r="X1380" s="0">
        <f>A1380</f>
        <v/>
      </c>
      <c r="EH1380" s="0" t="inlineStr">
        <is>
          <t>76行 14列，源：None 备：</t>
        </is>
      </c>
      <c r="ES1380" s="0" t="inlineStr">
        <is>
          <t>77行 4列，源：nan 备：</t>
        </is>
      </c>
    </row>
    <row r="1381">
      <c r="B1381" s="0" t="inlineStr">
        <is>
          <t>YES</t>
        </is>
      </c>
      <c r="C1381" s="0" t="inlineStr">
        <is>
          <t>NULL</t>
        </is>
      </c>
      <c r="D1381" s="0" t="inlineStr">
        <is>
          <t>NULL</t>
        </is>
      </c>
      <c r="E1381" s="0" t="inlineStr">
        <is>
          <t>NULL</t>
        </is>
      </c>
      <c r="F1381" s="0" t="inlineStr">
        <is>
          <t>NULL</t>
        </is>
      </c>
      <c r="G1381" s="0" t="inlineStr">
        <is>
          <t>NULL</t>
        </is>
      </c>
      <c r="H1381" s="0" t="inlineStr">
        <is>
          <t>NULL</t>
        </is>
      </c>
      <c r="I1381" s="0" t="inlineStr">
        <is>
          <t>YES!PK__info_var__3213E83F7FA058B2</t>
        </is>
      </c>
      <c r="J1381" s="0" t="inlineStr">
        <is>
          <t>YES! 主键相关索引</t>
        </is>
      </c>
      <c r="K1381" s="0" t="inlineStr">
        <is>
          <t xml:space="preserve"> NO!  	 id列源备映射错误，源端为int None位	期望更改为text	实际备端为int None位</t>
        </is>
      </c>
      <c r="EH1381" s="0" t="inlineStr">
        <is>
          <t>76行 15列，源：nan 备：</t>
        </is>
      </c>
      <c r="ES1381" s="0" t="inlineStr">
        <is>
          <t>77行 5列，源：None 备：</t>
        </is>
      </c>
    </row>
    <row r="1382">
      <c r="B1382" s="0" t="inlineStr">
        <is>
          <t>NULL</t>
        </is>
      </c>
      <c r="C1382" s="0" t="inlineStr">
        <is>
          <t>NULL</t>
        </is>
      </c>
      <c r="D1382" s="0" t="inlineStr">
        <is>
          <t>NULL</t>
        </is>
      </c>
      <c r="E1382" s="0" t="inlineStr">
        <is>
          <t>NULL</t>
        </is>
      </c>
      <c r="F1382" s="0" t="inlineStr">
        <is>
          <t>NULL</t>
        </is>
      </c>
      <c r="G1382" s="0" t="inlineStr">
        <is>
          <t>NULL</t>
        </is>
      </c>
      <c r="H1382" s="0" t="inlineStr">
        <is>
          <t>NULL</t>
        </is>
      </c>
      <c r="I1382" s="0" t="inlineStr">
        <is>
          <t>NULL</t>
        </is>
      </c>
      <c r="J1382" s="0" t="inlineStr">
        <is>
          <t>NULL</t>
        </is>
      </c>
      <c r="K1382" s="0" t="inlineStr">
        <is>
          <t xml:space="preserve"> NO!  	 c_varchar列源备映射错误，源端为varchar 1位	期望更改为text	实际备端为varchar 1位</t>
        </is>
      </c>
      <c r="EH1382" s="0" t="inlineStr">
        <is>
          <t>76行 16列，源：nan 备：</t>
        </is>
      </c>
      <c r="ES1382" s="0" t="inlineStr">
        <is>
          <t>77行 6列，源：None 备：</t>
        </is>
      </c>
    </row>
    <row r="1383">
      <c r="B1383" s="0" t="inlineStr">
        <is>
          <t>NULL</t>
        </is>
      </c>
      <c r="C1383" s="0" t="inlineStr">
        <is>
          <t>NULL</t>
        </is>
      </c>
      <c r="D1383" s="0" t="inlineStr">
        <is>
          <t>NULL</t>
        </is>
      </c>
      <c r="E1383" s="0" t="inlineStr">
        <is>
          <t>NULL</t>
        </is>
      </c>
      <c r="F1383" s="0" t="inlineStr">
        <is>
          <t>NULL</t>
        </is>
      </c>
      <c r="G1383" s="0" t="inlineStr">
        <is>
          <t>NULL</t>
        </is>
      </c>
      <c r="H1383" s="0" t="inlineStr">
        <is>
          <t>NULL</t>
        </is>
      </c>
      <c r="I1383" s="0" t="inlineStr">
        <is>
          <t>NULL</t>
        </is>
      </c>
      <c r="J1383" s="0" t="inlineStr">
        <is>
          <t>NULL</t>
        </is>
      </c>
      <c r="K1383" s="0" t="inlineStr">
        <is>
          <t xml:space="preserve"> NO!  	 c_varchar20列源备映射错误，源端为varchar 20位	期望更改为text	实际备端为varchar 20位</t>
        </is>
      </c>
      <c r="EH1383" s="0" t="inlineStr">
        <is>
          <t>76行 17列，源：None 备：</t>
        </is>
      </c>
      <c r="ES1383" s="0" t="inlineStr">
        <is>
          <t>77行 7列，源：None 备：</t>
        </is>
      </c>
    </row>
    <row r="1384">
      <c r="B1384" s="0" t="inlineStr">
        <is>
          <t>NULL</t>
        </is>
      </c>
      <c r="C1384" s="0" t="inlineStr">
        <is>
          <t>NULL</t>
        </is>
      </c>
      <c r="D1384" s="0" t="inlineStr">
        <is>
          <t>NULL</t>
        </is>
      </c>
      <c r="E1384" s="0" t="inlineStr">
        <is>
          <t>NULL</t>
        </is>
      </c>
      <c r="F1384" s="0" t="inlineStr">
        <is>
          <t>NULL</t>
        </is>
      </c>
      <c r="G1384" s="0" t="inlineStr">
        <is>
          <t>NULL</t>
        </is>
      </c>
      <c r="H1384" s="0" t="inlineStr">
        <is>
          <t>NULL</t>
        </is>
      </c>
      <c r="I1384" s="0" t="inlineStr">
        <is>
          <t>NULL</t>
        </is>
      </c>
      <c r="J1384" s="0" t="inlineStr">
        <is>
          <t>NULL</t>
        </is>
      </c>
      <c r="K1384" s="0" t="inlineStr">
        <is>
          <t xml:space="preserve"> NO!  	 c_varchar7000列源备映射错误，源端为varchar 7000位	期望更改为text	实际备端为varchar 7000位</t>
        </is>
      </c>
      <c r="EH1384" s="0" t="inlineStr">
        <is>
          <t>76行 18列，源：None 备：</t>
        </is>
      </c>
      <c r="ES1384" s="0" t="inlineStr">
        <is>
          <t>77行 8列，源：None 备：</t>
        </is>
      </c>
    </row>
    <row r="1385">
      <c r="A1385" s="0" t="inlineStr">
        <is>
          <t>info_varchar_dml_single_pk</t>
        </is>
      </c>
      <c r="K1385" s="0" t="inlineStr">
        <is>
          <t>[0;34m info_varchar_dml_single_pk [0m源备字段数相同，源端字段：4 	备端字段4</t>
        </is>
      </c>
      <c r="W1385" s="0" t="inlineStr">
        <is>
          <t>YES 源备无差异</t>
        </is>
      </c>
      <c r="X1385" s="0">
        <f>A1385</f>
        <v/>
      </c>
      <c r="EH1385" s="0" t="inlineStr">
        <is>
          <t>76行 19列，源：None 备：</t>
        </is>
      </c>
      <c r="ES1385" s="0" t="inlineStr">
        <is>
          <t>77行 9列，源：None 备：</t>
        </is>
      </c>
    </row>
    <row r="1386">
      <c r="B1386" s="0" t="inlineStr">
        <is>
          <t>YES</t>
        </is>
      </c>
      <c r="C1386" s="0" t="inlineStr">
        <is>
          <t>NULL</t>
        </is>
      </c>
      <c r="D1386" s="0" t="inlineStr">
        <is>
          <t>NULL</t>
        </is>
      </c>
      <c r="E1386" s="0" t="inlineStr">
        <is>
          <t>NULL</t>
        </is>
      </c>
      <c r="F1386" s="0" t="inlineStr">
        <is>
          <t>NULL</t>
        </is>
      </c>
      <c r="G1386" s="0" t="inlineStr">
        <is>
          <t>NULL</t>
        </is>
      </c>
      <c r="H1386" s="0" t="inlineStr">
        <is>
          <t>NULL</t>
        </is>
      </c>
      <c r="I1386" s="0" t="inlineStr">
        <is>
          <t>YES!PK__info_var__3213E83F7498166E</t>
        </is>
      </c>
      <c r="J1386" s="0" t="inlineStr">
        <is>
          <t>YES! 主键相关索引</t>
        </is>
      </c>
      <c r="K1386" s="0" t="inlineStr">
        <is>
          <t xml:space="preserve"> NO!  	 id列源备映射错误，源端为int None位	期望更改为text	实际备端为int None位</t>
        </is>
      </c>
      <c r="EH1386" s="0" t="inlineStr">
        <is>
          <t>77行 0列，源：168 备：255</t>
        </is>
      </c>
      <c r="ES1386" s="0" t="inlineStr">
        <is>
          <t>77行 10列，源：None 备：</t>
        </is>
      </c>
    </row>
    <row r="1387">
      <c r="B1387" s="0" t="inlineStr">
        <is>
          <t>NULL</t>
        </is>
      </c>
      <c r="C1387" s="0" t="inlineStr">
        <is>
          <t>NULL</t>
        </is>
      </c>
      <c r="D1387" s="0" t="inlineStr">
        <is>
          <t>NULL</t>
        </is>
      </c>
      <c r="E1387" s="0" t="inlineStr">
        <is>
          <t>NULL</t>
        </is>
      </c>
      <c r="F1387" s="0" t="inlineStr">
        <is>
          <t>NULL</t>
        </is>
      </c>
      <c r="G1387" s="0" t="inlineStr">
        <is>
          <t>NULL</t>
        </is>
      </c>
      <c r="H1387" s="0" t="inlineStr">
        <is>
          <t>NULL</t>
        </is>
      </c>
      <c r="I1387" s="0" t="inlineStr">
        <is>
          <t>NULL</t>
        </is>
      </c>
      <c r="J1387" s="0" t="inlineStr">
        <is>
          <t>NULL</t>
        </is>
      </c>
      <c r="K1387" s="0" t="inlineStr">
        <is>
          <t xml:space="preserve"> NO!  	 c_varchar列源备映射错误，源端为varchar 1位	期望更改为text	实际备端为varchar 1位</t>
        </is>
      </c>
      <c r="EH1387" s="0" t="inlineStr">
        <is>
          <t>77行 1列，源：nan 备：</t>
        </is>
      </c>
      <c r="ES1387" s="0" t="inlineStr">
        <is>
          <t>77行 11列，源：None 备：</t>
        </is>
      </c>
    </row>
    <row r="1388">
      <c r="B1388" s="0" t="inlineStr">
        <is>
          <t>NULL</t>
        </is>
      </c>
      <c r="C1388" s="0" t="inlineStr">
        <is>
          <t>NULL</t>
        </is>
      </c>
      <c r="D1388" s="0" t="inlineStr">
        <is>
          <t>NULL</t>
        </is>
      </c>
      <c r="E1388" s="0" t="inlineStr">
        <is>
          <t>NULL</t>
        </is>
      </c>
      <c r="F1388" s="0" t="inlineStr">
        <is>
          <t>NULL</t>
        </is>
      </c>
      <c r="G1388" s="0" t="inlineStr">
        <is>
          <t>NULL</t>
        </is>
      </c>
      <c r="H1388" s="0" t="inlineStr">
        <is>
          <t>NULL</t>
        </is>
      </c>
      <c r="I1388" s="0" t="inlineStr">
        <is>
          <t>NULL</t>
        </is>
      </c>
      <c r="J1388" s="0" t="inlineStr">
        <is>
          <t>NULL</t>
        </is>
      </c>
      <c r="K1388" s="0" t="inlineStr">
        <is>
          <t xml:space="preserve"> NO!  	 c_varchar50列源备映射错误，源端为varchar 50位	期望更改为text	实际备端为varchar 50位</t>
        </is>
      </c>
      <c r="EH1388" s="0" t="inlineStr">
        <is>
          <t>77行 2列，源：nan 备：</t>
        </is>
      </c>
      <c r="ES1388" s="0" t="inlineStr">
        <is>
          <t>77行 12列，源：None 备：</t>
        </is>
      </c>
    </row>
    <row r="1389">
      <c r="B1389" s="0" t="inlineStr">
        <is>
          <t>NULL</t>
        </is>
      </c>
      <c r="C1389" s="0" t="inlineStr">
        <is>
          <t>NULL</t>
        </is>
      </c>
      <c r="D1389" s="0" t="inlineStr">
        <is>
          <t>NULL</t>
        </is>
      </c>
      <c r="E1389" s="0" t="inlineStr">
        <is>
          <t>NULL</t>
        </is>
      </c>
      <c r="F1389" s="0" t="inlineStr">
        <is>
          <t>NULL</t>
        </is>
      </c>
      <c r="G1389" s="0" t="inlineStr">
        <is>
          <t>NULL</t>
        </is>
      </c>
      <c r="H1389" s="0" t="inlineStr">
        <is>
          <t>NULL</t>
        </is>
      </c>
      <c r="I1389" s="0" t="inlineStr">
        <is>
          <t>NULL</t>
        </is>
      </c>
      <c r="J1389" s="0" t="inlineStr">
        <is>
          <t>NULL</t>
        </is>
      </c>
      <c r="K1389" s="0" t="inlineStr">
        <is>
          <t xml:space="preserve"> NO!  	 c_varchar200列源备映射错误，源端为varchar 200位	期望更改为text	实际备端为varchar 200位</t>
        </is>
      </c>
      <c r="EH1389" s="0" t="inlineStr">
        <is>
          <t>77行 3列，源：nan 备：</t>
        </is>
      </c>
      <c r="ES1389" s="0" t="inlineStr">
        <is>
          <t>77行 13列，源：None 备：</t>
        </is>
      </c>
    </row>
    <row r="1390">
      <c r="A1390" s="0" t="inlineStr">
        <is>
          <t>info_sdt_dml_batch2_pk_irp1</t>
        </is>
      </c>
      <c r="K1390" s="0" t="inlineStr">
        <is>
          <t>[0;34m info_sdt_dml_batch2_pk_irp1 [0m源备字段数相同，源端字段：2 	备端字段2</t>
        </is>
      </c>
      <c r="W1390" s="2">
        <f>HYPERLINK("#2026041905hbase4!EV2","NO 源备存在差异，共26个")</f>
        <v/>
      </c>
      <c r="X1390" s="0">
        <f>A1390</f>
        <v/>
      </c>
      <c r="EH1390" s="0" t="inlineStr">
        <is>
          <t>77行 4列，源：nan 备：</t>
        </is>
      </c>
      <c r="ES1390" s="0" t="inlineStr">
        <is>
          <t>77行 14列，源：None 备：</t>
        </is>
      </c>
    </row>
    <row r="1391">
      <c r="B1391" s="0" t="inlineStr">
        <is>
          <t>YES</t>
        </is>
      </c>
      <c r="C1391" s="0" t="inlineStr">
        <is>
          <t>NULL</t>
        </is>
      </c>
      <c r="D1391" s="0" t="inlineStr">
        <is>
          <t>NULL</t>
        </is>
      </c>
      <c r="E1391" s="0" t="inlineStr">
        <is>
          <t>NULL</t>
        </is>
      </c>
      <c r="F1391" s="0" t="inlineStr">
        <is>
          <t>NULL</t>
        </is>
      </c>
      <c r="G1391" s="0" t="inlineStr">
        <is>
          <t>NULL</t>
        </is>
      </c>
      <c r="H1391" s="0" t="inlineStr">
        <is>
          <t>NULL</t>
        </is>
      </c>
      <c r="I1391" s="0" t="inlineStr">
        <is>
          <t>YES!PK__info_sdt__3213E83FE7901422</t>
        </is>
      </c>
      <c r="J1391" s="0" t="inlineStr">
        <is>
          <t>YES! 主键相关索引</t>
        </is>
      </c>
      <c r="K1391" s="0" t="inlineStr">
        <is>
          <t xml:space="preserve"> NO!  	 id列源备映射错误，源端为int None位	期望更改为text	实际备端为int None位</t>
        </is>
      </c>
      <c r="EH1391" s="0" t="inlineStr">
        <is>
          <t>77行 5列，源：None 备：</t>
        </is>
      </c>
      <c r="ES1391" s="0" t="inlineStr">
        <is>
          <t>77行 15列，源：1.23456789e-38 备：</t>
        </is>
      </c>
    </row>
    <row r="1392">
      <c r="B1392" s="0" t="inlineStr">
        <is>
          <t>NULL</t>
        </is>
      </c>
      <c r="C1392" s="0" t="inlineStr">
        <is>
          <t>NULL</t>
        </is>
      </c>
      <c r="D1392" s="0" t="inlineStr">
        <is>
          <t>NULL</t>
        </is>
      </c>
      <c r="E1392" s="0" t="inlineStr">
        <is>
          <t>NULL</t>
        </is>
      </c>
      <c r="F1392" s="0" t="inlineStr">
        <is>
          <t>NULL</t>
        </is>
      </c>
      <c r="G1392" s="0" t="inlineStr">
        <is>
          <t>NULL</t>
        </is>
      </c>
      <c r="H1392" s="0" t="inlineStr">
        <is>
          <t>NULL</t>
        </is>
      </c>
      <c r="I1392" s="0" t="inlineStr">
        <is>
          <t>NULL</t>
        </is>
      </c>
      <c r="J1392" s="0" t="inlineStr">
        <is>
          <t>NULL</t>
        </is>
      </c>
      <c r="K1392" s="0" t="inlineStr">
        <is>
          <t xml:space="preserve"> NO!  	 c_sdt列源备映射错误，源端为smalldatetime None位	期望更改为text	实际备端为smalldatetime None位</t>
        </is>
      </c>
      <c r="EH1392" s="0" t="inlineStr">
        <is>
          <t>77行 6列，源：None 备：</t>
        </is>
      </c>
      <c r="ES1392" s="0" t="inlineStr">
        <is>
          <t>77行 16列，源：1.1754939304327482e-38 备：</t>
        </is>
      </c>
    </row>
    <row r="1393">
      <c r="EH1393" s="0" t="inlineStr">
        <is>
          <t>77行 7列，源：None 备：</t>
        </is>
      </c>
      <c r="ES1393" s="0" t="inlineStr">
        <is>
          <t>77行 19列，源：True 备：</t>
        </is>
      </c>
    </row>
    <row r="1394">
      <c r="EH1394" s="0" t="inlineStr">
        <is>
          <t>77行 8列，源：None 备：</t>
        </is>
      </c>
      <c r="ES1394" s="0" t="inlineStr">
        <is>
          <t>78行 0列，源：219 备：65</t>
        </is>
      </c>
    </row>
    <row r="1395">
      <c r="EH1395" s="0" t="inlineStr">
        <is>
          <t>77行 9列，源：None 备：</t>
        </is>
      </c>
      <c r="ES1395" s="0" t="inlineStr">
        <is>
          <t>78行 1列，源：nan 备：</t>
        </is>
      </c>
    </row>
    <row r="1396">
      <c r="EH1396" s="0" t="inlineStr">
        <is>
          <t>77行 10列，源：None 备：</t>
        </is>
      </c>
      <c r="ES1396" s="0" t="inlineStr">
        <is>
          <t>78行 2列，源：nan 备：</t>
        </is>
      </c>
    </row>
    <row r="1397">
      <c r="EH1397" s="0" t="inlineStr">
        <is>
          <t>77行 11列，源：None 备：</t>
        </is>
      </c>
      <c r="ES1397" s="0" t="inlineStr">
        <is>
          <t>78行 3列，源：nan 备：</t>
        </is>
      </c>
    </row>
    <row r="1398">
      <c r="EH1398" s="0" t="inlineStr">
        <is>
          <t>77行 12列，源：None 备：</t>
        </is>
      </c>
      <c r="ES1398" s="0" t="inlineStr">
        <is>
          <t>78行 4列，源：nan 备：</t>
        </is>
      </c>
    </row>
    <row r="1399">
      <c r="EH1399" s="0" t="inlineStr">
        <is>
          <t>77行 13列，源：None 备：</t>
        </is>
      </c>
      <c r="ES1399" s="0" t="inlineStr">
        <is>
          <t>78行 5列，源：None 备：</t>
        </is>
      </c>
    </row>
    <row r="1400">
      <c r="EH1400" s="0" t="inlineStr">
        <is>
          <t>77行 14列，源：None 备：</t>
        </is>
      </c>
      <c r="ES1400" s="0" t="inlineStr">
        <is>
          <t>78行 6列，源：None 备：</t>
        </is>
      </c>
    </row>
    <row r="1401">
      <c r="EH1401" s="0" t="inlineStr">
        <is>
          <t>77行 15列，源：nan 备：</t>
        </is>
      </c>
      <c r="ES1401" s="0" t="inlineStr">
        <is>
          <t>78行 7列，源：None 备：</t>
        </is>
      </c>
    </row>
    <row r="1402">
      <c r="EH1402" s="0" t="inlineStr">
        <is>
          <t>77行 16列，源：nan 备：</t>
        </is>
      </c>
      <c r="ES1402" s="0" t="inlineStr">
        <is>
          <t>78行 8列，源：None 备：</t>
        </is>
      </c>
    </row>
    <row r="1403">
      <c r="EH1403" s="0" t="inlineStr">
        <is>
          <t>77行 17列，源：None 备：</t>
        </is>
      </c>
      <c r="ES1403" s="0" t="inlineStr">
        <is>
          <t>78行 9列，源：None 备：</t>
        </is>
      </c>
    </row>
    <row r="1404">
      <c r="EH1404" s="0" t="inlineStr">
        <is>
          <t>77行 18列，源：None 备：</t>
        </is>
      </c>
      <c r="ES1404" s="0" t="inlineStr">
        <is>
          <t>78行 10列，源：None 备：</t>
        </is>
      </c>
    </row>
    <row r="1405">
      <c r="EH1405" s="0" t="inlineStr">
        <is>
          <t>77行 19列，源：None 备：</t>
        </is>
      </c>
      <c r="ES1405" s="0" t="inlineStr">
        <is>
          <t>78行 11列，源：None 备：</t>
        </is>
      </c>
    </row>
    <row r="1406">
      <c r="EH1406" s="0" t="inlineStr">
        <is>
          <t>78行 0列，源：169 备：256</t>
        </is>
      </c>
      <c r="ES1406" s="0" t="inlineStr">
        <is>
          <t>78行 12列，源：None 备：</t>
        </is>
      </c>
    </row>
    <row r="1407">
      <c r="EH1407" s="0" t="inlineStr">
        <is>
          <t>78行 1列，源：nan 备：</t>
        </is>
      </c>
      <c r="ES1407" s="0" t="inlineStr">
        <is>
          <t>78行 13列，源：None 备：</t>
        </is>
      </c>
    </row>
    <row r="1408">
      <c r="EH1408" s="0" t="inlineStr">
        <is>
          <t>78行 2列，源：nan 备：</t>
        </is>
      </c>
      <c r="ES1408" s="0" t="inlineStr">
        <is>
          <t>78行 14列，源：None 备：</t>
        </is>
      </c>
    </row>
    <row r="1409">
      <c r="EH1409" s="0" t="inlineStr">
        <is>
          <t>78行 3列，源：nan 备：</t>
        </is>
      </c>
      <c r="ES1409" s="0" t="inlineStr">
        <is>
          <t>78行 15列，源：3.402823466e+38 备：</t>
        </is>
      </c>
    </row>
    <row r="1410">
      <c r="EH1410" s="0" t="inlineStr">
        <is>
          <t>78行 4列，源：nan 备：</t>
        </is>
      </c>
      <c r="ES1410" s="0" t="inlineStr">
        <is>
          <t>78行 16列，源：3.4028230607370965e+38 备：</t>
        </is>
      </c>
    </row>
    <row r="1411">
      <c r="EH1411" s="0" t="inlineStr">
        <is>
          <t>78行 5列，源：None 备：</t>
        </is>
      </c>
      <c r="ES1411" s="0" t="inlineStr">
        <is>
          <t>78行 19列，源：True 备：</t>
        </is>
      </c>
    </row>
    <row r="1412">
      <c r="EH1412" s="0" t="inlineStr">
        <is>
          <t>78行 6列，源：None 备：</t>
        </is>
      </c>
      <c r="ES1412" s="0" t="inlineStr">
        <is>
          <t>79行 0列，源：220 备：66</t>
        </is>
      </c>
    </row>
    <row r="1413">
      <c r="EH1413" s="0" t="inlineStr">
        <is>
          <t>78行 7列，源：None 备：</t>
        </is>
      </c>
      <c r="ES1413" s="0" t="inlineStr">
        <is>
          <t>79行 1列，源：nan 备：</t>
        </is>
      </c>
    </row>
    <row r="1414">
      <c r="EH1414" s="0" t="inlineStr">
        <is>
          <t>78行 8列，源：None 备：</t>
        </is>
      </c>
      <c r="ES1414" s="0" t="inlineStr">
        <is>
          <t>79行 2列，源：nan 备：</t>
        </is>
      </c>
    </row>
    <row r="1415">
      <c r="EH1415" s="0" t="inlineStr">
        <is>
          <t>78行 9列，源：None 备：</t>
        </is>
      </c>
      <c r="ES1415" s="0" t="inlineStr">
        <is>
          <t>79行 3列，源：nan 备：</t>
        </is>
      </c>
    </row>
    <row r="1416">
      <c r="EH1416" s="0" t="inlineStr">
        <is>
          <t>78行 10列，源：None 备：</t>
        </is>
      </c>
      <c r="ES1416" s="0" t="inlineStr">
        <is>
          <t>79行 4列，源：nan 备：</t>
        </is>
      </c>
    </row>
    <row r="1417">
      <c r="EH1417" s="0" t="inlineStr">
        <is>
          <t>78行 11列，源：None 备：</t>
        </is>
      </c>
      <c r="ES1417" s="0" t="inlineStr">
        <is>
          <t>79行 5列，源：None 备：</t>
        </is>
      </c>
    </row>
    <row r="1418">
      <c r="EH1418" s="0" t="inlineStr">
        <is>
          <t>78行 12列，源：None 备：</t>
        </is>
      </c>
      <c r="ES1418" s="0" t="inlineStr">
        <is>
          <t>79行 6列，源：None 备：</t>
        </is>
      </c>
    </row>
    <row r="1419">
      <c r="EH1419" s="0" t="inlineStr">
        <is>
          <t>78行 13列，源：None 备：</t>
        </is>
      </c>
      <c r="ES1419" s="0" t="inlineStr">
        <is>
          <t>79行 7列，源：None 备：</t>
        </is>
      </c>
    </row>
    <row r="1420">
      <c r="EH1420" s="0" t="inlineStr">
        <is>
          <t>78行 14列，源：None 备：</t>
        </is>
      </c>
      <c r="ES1420" s="0" t="inlineStr">
        <is>
          <t>79行 8列，源：None 备：</t>
        </is>
      </c>
    </row>
    <row r="1421">
      <c r="EH1421" s="0" t="inlineStr">
        <is>
          <t>78行 15列，源：nan 备：</t>
        </is>
      </c>
      <c r="ES1421" s="0" t="inlineStr">
        <is>
          <t>79行 9列，源：None 备：</t>
        </is>
      </c>
    </row>
    <row r="1422">
      <c r="EH1422" s="0" t="inlineStr">
        <is>
          <t>78行 16列，源：nan 备：</t>
        </is>
      </c>
      <c r="ES1422" s="0" t="inlineStr">
        <is>
          <t>79行 10列，源：None 备：</t>
        </is>
      </c>
    </row>
    <row r="1423">
      <c r="EH1423" s="0" t="inlineStr">
        <is>
          <t>78行 17列，源：None 备：</t>
        </is>
      </c>
      <c r="ES1423" s="0" t="inlineStr">
        <is>
          <t>79行 11列，源：None 备：</t>
        </is>
      </c>
    </row>
    <row r="1424">
      <c r="EH1424" s="0" t="inlineStr">
        <is>
          <t>78行 18列，源：None 备：</t>
        </is>
      </c>
      <c r="ES1424" s="0" t="inlineStr">
        <is>
          <t>79行 12列，源：None 备：</t>
        </is>
      </c>
    </row>
    <row r="1425">
      <c r="EH1425" s="0" t="inlineStr">
        <is>
          <t>78行 19列，源：None 备：</t>
        </is>
      </c>
      <c r="ES1425" s="0" t="inlineStr">
        <is>
          <t>79行 13列，源：None 备：</t>
        </is>
      </c>
    </row>
    <row r="1426">
      <c r="EH1426" s="0" t="inlineStr">
        <is>
          <t>79行 0列，源：170 备：257</t>
        </is>
      </c>
      <c r="ES1426" s="0" t="inlineStr">
        <is>
          <t>79行 14列，源：None 备：</t>
        </is>
      </c>
    </row>
    <row r="1427">
      <c r="EH1427" s="0" t="inlineStr">
        <is>
          <t>79行 1列，源：nan 备：</t>
        </is>
      </c>
      <c r="ES1427" s="0" t="inlineStr">
        <is>
          <t>79行 15列，源：-3.402823466e+38 备：</t>
        </is>
      </c>
    </row>
    <row r="1428">
      <c r="EH1428" s="0" t="inlineStr">
        <is>
          <t>79行 2列，源：nan 备：</t>
        </is>
      </c>
      <c r="ES1428" s="0" t="inlineStr">
        <is>
          <t>79行 16列，源：-3.4028230607370965e+38 备：</t>
        </is>
      </c>
    </row>
    <row r="1429">
      <c r="EH1429" s="0" t="inlineStr">
        <is>
          <t>79行 3列，源：nan 备：</t>
        </is>
      </c>
      <c r="ES1429" s="0" t="inlineStr">
        <is>
          <t>79行 19列，源：False 备：</t>
        </is>
      </c>
    </row>
    <row r="1430">
      <c r="EH1430" s="0" t="inlineStr">
        <is>
          <t>79行 4列，源：nan 备：</t>
        </is>
      </c>
      <c r="ES1430" s="0" t="inlineStr">
        <is>
          <t>80行 0列，源：404 备：67</t>
        </is>
      </c>
    </row>
    <row r="1431">
      <c r="EH1431" s="0" t="inlineStr">
        <is>
          <t>79行 5列，源：None 备：</t>
        </is>
      </c>
      <c r="ES1431" s="0" t="inlineStr">
        <is>
          <t>80行 1列，源：123.0 备：</t>
        </is>
      </c>
    </row>
    <row r="1432">
      <c r="EH1432" s="0" t="inlineStr">
        <is>
          <t>79行 6列，源：None 备：</t>
        </is>
      </c>
      <c r="ES1432" s="0" t="inlineStr">
        <is>
          <t>80行 2列，源：12345.0 备：</t>
        </is>
      </c>
    </row>
    <row r="1433">
      <c r="EH1433" s="0" t="inlineStr">
        <is>
          <t>79行 7列，源：None 备：</t>
        </is>
      </c>
      <c r="ES1433" s="0" t="inlineStr">
        <is>
          <t>80行 3列，源：1234567890.0 备：</t>
        </is>
      </c>
    </row>
    <row r="1434">
      <c r="EH1434" s="0" t="inlineStr">
        <is>
          <t>79行 8列，源：None 备：</t>
        </is>
      </c>
      <c r="ES1434" s="0" t="inlineStr">
        <is>
          <t>80行 4列，源：1234567890123456.0 备：</t>
        </is>
      </c>
    </row>
    <row r="1435">
      <c r="EH1435" s="0" t="inlineStr">
        <is>
          <t>79行 9列，源：None 备：</t>
        </is>
      </c>
      <c r="ES1435" s="0" t="inlineStr">
        <is>
          <t>80行 5列，源：None 备：</t>
        </is>
      </c>
    </row>
    <row r="1436">
      <c r="EH1436" s="0" t="inlineStr">
        <is>
          <t>79行 10列，源：None 备：</t>
        </is>
      </c>
      <c r="ES1436" s="0" t="inlineStr">
        <is>
          <t>80行 6列，源：None 备：</t>
        </is>
      </c>
    </row>
    <row r="1437">
      <c r="EH1437" s="0" t="inlineStr">
        <is>
          <t>79行 11列，源：None 备：</t>
        </is>
      </c>
      <c r="ES1437" s="0" t="inlineStr">
        <is>
          <t>80行 7列，源：None 备：</t>
        </is>
      </c>
    </row>
    <row r="1438">
      <c r="EH1438" s="0" t="inlineStr">
        <is>
          <t>79行 12列，源：None 备：</t>
        </is>
      </c>
      <c r="ES1438" s="0" t="inlineStr">
        <is>
          <t>80行 8列，源：None 备：</t>
        </is>
      </c>
    </row>
    <row r="1439">
      <c r="EH1439" s="0" t="inlineStr">
        <is>
          <t>79行 13列，源：None 备：</t>
        </is>
      </c>
      <c r="ES1439" s="0" t="inlineStr">
        <is>
          <t>80行 9列，源：None 备：</t>
        </is>
      </c>
    </row>
    <row r="1440">
      <c r="EH1440" s="0" t="inlineStr">
        <is>
          <t>79行 14列，源：None 备：</t>
        </is>
      </c>
      <c r="ES1440" s="0" t="inlineStr">
        <is>
          <t>80行 10列，源：None 备：</t>
        </is>
      </c>
    </row>
    <row r="1441">
      <c r="EH1441" s="0" t="inlineStr">
        <is>
          <t>79行 15列，源：nan 备：</t>
        </is>
      </c>
      <c r="ES1441" s="0" t="inlineStr">
        <is>
          <t>80行 11列，源：None 备：</t>
        </is>
      </c>
    </row>
    <row r="1442">
      <c r="EH1442" s="0" t="inlineStr">
        <is>
          <t>79行 16列，源：nan 备：</t>
        </is>
      </c>
      <c r="ES1442" s="0" t="inlineStr">
        <is>
          <t>80行 12列，源：None 备：</t>
        </is>
      </c>
    </row>
    <row r="1443">
      <c r="EH1443" s="0" t="inlineStr">
        <is>
          <t>79行 17列，源：None 备：</t>
        </is>
      </c>
      <c r="ES1443" s="0" t="inlineStr">
        <is>
          <t>80行 13列，源：None 备：</t>
        </is>
      </c>
    </row>
    <row r="1444">
      <c r="EH1444" s="0" t="inlineStr">
        <is>
          <t>79行 18列，源：None 备：</t>
        </is>
      </c>
      <c r="ES1444" s="0" t="inlineStr">
        <is>
          <t>80行 14列，源：None 备：</t>
        </is>
      </c>
    </row>
    <row r="1445">
      <c r="EH1445" s="0" t="inlineStr">
        <is>
          <t>79行 19列，源：None 备：</t>
        </is>
      </c>
      <c r="ES1445" s="0" t="inlineStr">
        <is>
          <t>80行 15列，源：nan 备：</t>
        </is>
      </c>
    </row>
    <row r="1446">
      <c r="EH1446" s="0" t="inlineStr">
        <is>
          <t>80行 0列，源：201 备：258</t>
        </is>
      </c>
      <c r="ES1446" s="0" t="inlineStr">
        <is>
          <t>80行 16列，源：nan 备：</t>
        </is>
      </c>
    </row>
    <row r="1447">
      <c r="EH1447" s="0" t="inlineStr">
        <is>
          <t>80行 1列，源：nan 备：</t>
        </is>
      </c>
      <c r="ES1447" s="0" t="inlineStr">
        <is>
          <t>80行 17列，源：None 备：</t>
        </is>
      </c>
    </row>
    <row r="1448">
      <c r="EH1448" s="0" t="inlineStr">
        <is>
          <t>80行 2列，源：nan 备：</t>
        </is>
      </c>
      <c r="ES1448" s="0" t="inlineStr">
        <is>
          <t>80行 18列，源：None 备：</t>
        </is>
      </c>
    </row>
    <row r="1449">
      <c r="EH1449" s="0" t="inlineStr">
        <is>
          <t>80行 3列，源：nan 备：</t>
        </is>
      </c>
      <c r="ES1449" s="0" t="inlineStr">
        <is>
          <t>80行 19列，源：None 备：</t>
        </is>
      </c>
    </row>
    <row r="1450">
      <c r="EH1450" s="0" t="inlineStr">
        <is>
          <t>80行 4列，源：nan 备：</t>
        </is>
      </c>
      <c r="ES1450" s="0" t="inlineStr">
        <is>
          <t>81行 0列，源：406 备：68</t>
        </is>
      </c>
    </row>
    <row r="1451">
      <c r="EH1451" s="0" t="inlineStr">
        <is>
          <t>80行 5列，源：None 备：</t>
        </is>
      </c>
      <c r="ES1451" s="0" t="inlineStr">
        <is>
          <t>81行 1列，源：127.0 备：</t>
        </is>
      </c>
    </row>
    <row r="1452">
      <c r="EH1452" s="0" t="inlineStr">
        <is>
          <t>80行 6列，源：None 备：</t>
        </is>
      </c>
      <c r="ES1452" s="0" t="inlineStr">
        <is>
          <t>81行 2列，源：255.0 备：</t>
        </is>
      </c>
    </row>
    <row r="1453">
      <c r="EH1453" s="0" t="inlineStr">
        <is>
          <t>80行 7列，源：None 备：</t>
        </is>
      </c>
      <c r="ES1453" s="0" t="inlineStr">
        <is>
          <t>81行 3列，源：65535.0 备：</t>
        </is>
      </c>
    </row>
    <row r="1454">
      <c r="EH1454" s="0" t="inlineStr">
        <is>
          <t>80行 8列，源：None 备：</t>
        </is>
      </c>
      <c r="ES1454" s="0" t="inlineStr">
        <is>
          <t>81行 4列，源：4294967295.0 备：</t>
        </is>
      </c>
    </row>
    <row r="1455">
      <c r="EH1455" s="0" t="inlineStr">
        <is>
          <t>80行 9列，源：None 备：</t>
        </is>
      </c>
      <c r="ES1455" s="0" t="inlineStr">
        <is>
          <t>81行 5列，源：None 备：</t>
        </is>
      </c>
    </row>
    <row r="1456">
      <c r="EH1456" s="0" t="inlineStr">
        <is>
          <t>80行 10列，源：None 备：</t>
        </is>
      </c>
      <c r="ES1456" s="0" t="inlineStr">
        <is>
          <t>81行 6列，源：None 备：</t>
        </is>
      </c>
    </row>
    <row r="1457">
      <c r="EH1457" s="0" t="inlineStr">
        <is>
          <t>80行 11列，源：None 备：</t>
        </is>
      </c>
      <c r="ES1457" s="0" t="inlineStr">
        <is>
          <t>81行 7列，源：None 备：</t>
        </is>
      </c>
    </row>
    <row r="1458">
      <c r="EH1458" s="0" t="inlineStr">
        <is>
          <t>80行 12列，源：None 备：</t>
        </is>
      </c>
      <c r="ES1458" s="0" t="inlineStr">
        <is>
          <t>81行 8列，源：None 备：</t>
        </is>
      </c>
    </row>
    <row r="1459">
      <c r="EH1459" s="0" t="inlineStr">
        <is>
          <t>80行 13列，源：None 备：</t>
        </is>
      </c>
      <c r="ES1459" s="0" t="inlineStr">
        <is>
          <t>81行 9列，源：None 备：</t>
        </is>
      </c>
    </row>
    <row r="1460">
      <c r="EH1460" s="0" t="inlineStr">
        <is>
          <t>80行 14列，源：None 备：</t>
        </is>
      </c>
      <c r="ES1460" s="0" t="inlineStr">
        <is>
          <t>81行 10列，源：None 备：</t>
        </is>
      </c>
    </row>
    <row r="1461">
      <c r="EH1461" s="0" t="inlineStr">
        <is>
          <t>80行 15列，源：-1.79e+308 备：</t>
        </is>
      </c>
      <c r="ES1461" s="0" t="inlineStr">
        <is>
          <t>81行 11列，源：None 备：</t>
        </is>
      </c>
    </row>
    <row r="1462">
      <c r="EH1462" s="0" t="inlineStr">
        <is>
          <t>80行 16列，源：-3.3999999521443642e+38 备：</t>
        </is>
      </c>
      <c r="ES1462" s="0" t="inlineStr">
        <is>
          <t>81行 12列，源：None 备：</t>
        </is>
      </c>
    </row>
    <row r="1463">
      <c r="EH1463" s="0" t="inlineStr">
        <is>
          <t>80行 19列，源：False 备：</t>
        </is>
      </c>
      <c r="ES1463" s="0" t="inlineStr">
        <is>
          <t>81行 13列，源：None 备：</t>
        </is>
      </c>
    </row>
    <row r="1464">
      <c r="EH1464" s="0" t="inlineStr">
        <is>
          <t>81行 0列，源：202 备：259</t>
        </is>
      </c>
      <c r="ES1464" s="0" t="inlineStr">
        <is>
          <t>81行 14列，源：None 备：</t>
        </is>
      </c>
    </row>
    <row r="1465">
      <c r="EH1465" s="0" t="inlineStr">
        <is>
          <t>81行 1列，源：nan 备：</t>
        </is>
      </c>
      <c r="ES1465" s="0" t="inlineStr">
        <is>
          <t>81行 15列，源：nan 备：</t>
        </is>
      </c>
    </row>
    <row r="1466">
      <c r="EH1466" s="0" t="inlineStr">
        <is>
          <t>81行 2列，源：nan 备：</t>
        </is>
      </c>
      <c r="ES1466" s="0" t="inlineStr">
        <is>
          <t>81行 16列，源：nan 备：</t>
        </is>
      </c>
    </row>
    <row r="1467">
      <c r="EH1467" s="0" t="inlineStr">
        <is>
          <t>81行 3列，源：nan 备：</t>
        </is>
      </c>
      <c r="ES1467" s="0" t="inlineStr">
        <is>
          <t>81行 17列，源：None 备：</t>
        </is>
      </c>
    </row>
    <row r="1468">
      <c r="EH1468" s="0" t="inlineStr">
        <is>
          <t>81行 4列，源：nan 备：</t>
        </is>
      </c>
      <c r="ES1468" s="0" t="inlineStr">
        <is>
          <t>81行 18列，源：None 备：</t>
        </is>
      </c>
    </row>
    <row r="1469">
      <c r="EH1469" s="0" t="inlineStr">
        <is>
          <t>81行 5列，源：None 备：</t>
        </is>
      </c>
      <c r="ES1469" s="0" t="inlineStr">
        <is>
          <t>81行 19列，源：None 备：</t>
        </is>
      </c>
    </row>
    <row r="1470">
      <c r="EH1470" s="0" t="inlineStr">
        <is>
          <t>81行 6列，源：None 备：</t>
        </is>
      </c>
      <c r="ES1470" s="0" t="inlineStr">
        <is>
          <t>82行 0列，源：502 备：69</t>
        </is>
      </c>
    </row>
    <row r="1471">
      <c r="EH1471" s="0" t="inlineStr">
        <is>
          <t>81行 7列，源：None 备：</t>
        </is>
      </c>
      <c r="ES1471" s="0" t="inlineStr">
        <is>
          <t>82行 1列，源：nan 备：</t>
        </is>
      </c>
    </row>
    <row r="1472">
      <c r="EH1472" s="0" t="inlineStr">
        <is>
          <t>81行 8列，源：None 备：</t>
        </is>
      </c>
      <c r="ES1472" s="0" t="inlineStr">
        <is>
          <t>82行 2列，源：nan 备：</t>
        </is>
      </c>
    </row>
    <row r="1473">
      <c r="EH1473" s="0" t="inlineStr">
        <is>
          <t>81行 9列，源：None 备：</t>
        </is>
      </c>
      <c r="ES1473" s="0" t="inlineStr">
        <is>
          <t>82行 3列，源：nan 备：</t>
        </is>
      </c>
    </row>
    <row r="1474">
      <c r="EH1474" s="0" t="inlineStr">
        <is>
          <t>81行 10列，源：None 备：</t>
        </is>
      </c>
      <c r="ES1474" s="0" t="inlineStr">
        <is>
          <t>82行 4列，源：nan 备：</t>
        </is>
      </c>
    </row>
    <row r="1475">
      <c r="EH1475" s="0" t="inlineStr">
        <is>
          <t>81行 11列，源：None 备：</t>
        </is>
      </c>
      <c r="ES1475" s="0" t="inlineStr">
        <is>
          <t>82行 15列，源：nan 备：</t>
        </is>
      </c>
    </row>
    <row r="1476">
      <c r="EH1476" s="0" t="inlineStr">
        <is>
          <t>81行 12列，源：None 备：</t>
        </is>
      </c>
      <c r="ES1476" s="0" t="inlineStr">
        <is>
          <t>82行 16列，源：nan 备：</t>
        </is>
      </c>
    </row>
    <row r="1477">
      <c r="EH1477" s="0" t="inlineStr">
        <is>
          <t>81行 13列，源：None 备：</t>
        </is>
      </c>
      <c r="ES1477" s="0" t="inlineStr">
        <is>
          <t>82行 17列，源：None 备：</t>
        </is>
      </c>
    </row>
    <row r="1478">
      <c r="EH1478" s="0" t="inlineStr">
        <is>
          <t>81行 14列，源：None 备：</t>
        </is>
      </c>
      <c r="ES1478" s="0" t="inlineStr">
        <is>
          <t>82行 18列，源：None 备：</t>
        </is>
      </c>
    </row>
    <row r="1479">
      <c r="EH1479" s="0" t="inlineStr">
        <is>
          <t>81行 15列，源：1.79e+308 备：</t>
        </is>
      </c>
      <c r="ES1479" s="0" t="inlineStr">
        <is>
          <t>82行 19列，源：None 备：</t>
        </is>
      </c>
    </row>
    <row r="1480">
      <c r="EH1480" s="0" t="inlineStr">
        <is>
          <t>81行 16列，源：3.3999999521443642e+38 备：</t>
        </is>
      </c>
      <c r="ES1480" s="0" t="inlineStr">
        <is>
          <t>83行 0列，源：504 备：7</t>
        </is>
      </c>
    </row>
    <row r="1481">
      <c r="EH1481" s="0" t="inlineStr">
        <is>
          <t>81行 19列，源：True 备：</t>
        </is>
      </c>
      <c r="ES1481" s="0" t="inlineStr">
        <is>
          <t>83行 1列，源：nan 备：255</t>
        </is>
      </c>
    </row>
    <row r="1482">
      <c r="EH1482" s="0" t="inlineStr">
        <is>
          <t>82行 0列，源：203 备：260</t>
        </is>
      </c>
      <c r="ES1482" s="0" t="inlineStr">
        <is>
          <t>83行 2列，源：nan 备：32767</t>
        </is>
      </c>
    </row>
    <row r="1483">
      <c r="EH1483" s="0" t="inlineStr">
        <is>
          <t>82行 1列，源：nan 备：</t>
        </is>
      </c>
      <c r="ES1483" s="0" t="inlineStr">
        <is>
          <t>83行 3列，源：nan 备：2147483647</t>
        </is>
      </c>
    </row>
    <row r="1484">
      <c r="EH1484" s="0" t="inlineStr">
        <is>
          <t>82行 2列，源：nan 备：</t>
        </is>
      </c>
      <c r="ES1484" s="0" t="inlineStr">
        <is>
          <t>83行 4列，源：nan 备：9223372036854775807</t>
        </is>
      </c>
    </row>
    <row r="1485">
      <c r="EH1485" s="0" t="inlineStr">
        <is>
          <t>82行 3列，源：nan 备：</t>
        </is>
      </c>
      <c r="ES1485" s="0" t="inlineStr">
        <is>
          <t>83行 15列，源：nan 备：</t>
        </is>
      </c>
    </row>
    <row r="1486">
      <c r="EH1486" s="0" t="inlineStr">
        <is>
          <t>82行 4列，源：nan 备：</t>
        </is>
      </c>
      <c r="ES1486" s="0" t="inlineStr">
        <is>
          <t>83行 16列，源：nan 备：</t>
        </is>
      </c>
    </row>
    <row r="1487">
      <c r="EH1487" s="0" t="inlineStr">
        <is>
          <t>82行 5列，源：None 备：</t>
        </is>
      </c>
      <c r="ES1487" s="0" t="inlineStr">
        <is>
          <t>83行 17列，源：None 备：</t>
        </is>
      </c>
    </row>
    <row r="1488">
      <c r="EH1488" s="0" t="inlineStr">
        <is>
          <t>82行 6列，源：None 备：</t>
        </is>
      </c>
      <c r="ES1488" s="0" t="inlineStr">
        <is>
          <t>83行 18列，源：None 备：</t>
        </is>
      </c>
    </row>
    <row r="1489">
      <c r="EH1489" s="0" t="inlineStr">
        <is>
          <t>82行 7列，源：None 备：</t>
        </is>
      </c>
      <c r="ES1489" s="0" t="inlineStr">
        <is>
          <t>83行 19列，源：None 备：</t>
        </is>
      </c>
    </row>
    <row r="1490">
      <c r="EH1490" s="0" t="inlineStr">
        <is>
          <t>82行 8列，源：None 备：</t>
        </is>
      </c>
      <c r="ES1490" s="0" t="inlineStr">
        <is>
          <t>84行 0列，源：512 备：70</t>
        </is>
      </c>
    </row>
    <row r="1491">
      <c r="EH1491" s="0" t="inlineStr">
        <is>
          <t>82行 9列，源：None 备：</t>
        </is>
      </c>
      <c r="ES1491" s="0" t="inlineStr">
        <is>
          <t>84行 1列，源：nan 备：</t>
        </is>
      </c>
    </row>
    <row r="1492">
      <c r="EH1492" s="0" t="inlineStr">
        <is>
          <t>82行 10列，源：None 备：</t>
        </is>
      </c>
      <c r="ES1492" s="0" t="inlineStr">
        <is>
          <t>84行 2列，源：nan 备：</t>
        </is>
      </c>
    </row>
    <row r="1493">
      <c r="EH1493" s="0" t="inlineStr">
        <is>
          <t>82行 11列，源：None 备：</t>
        </is>
      </c>
      <c r="ES1493" s="0" t="inlineStr">
        <is>
          <t>84行 3列，源：nan 备：</t>
        </is>
      </c>
    </row>
    <row r="1494">
      <c r="EH1494" s="0" t="inlineStr">
        <is>
          <t>82行 12列，源：None 备：</t>
        </is>
      </c>
      <c r="ES1494" s="0" t="inlineStr">
        <is>
          <t>84行 4列，源：nan 备：</t>
        </is>
      </c>
    </row>
    <row r="1495">
      <c r="EH1495" s="0" t="inlineStr">
        <is>
          <t>82行 13列，源：None 备：</t>
        </is>
      </c>
      <c r="ES1495" s="0" t="inlineStr">
        <is>
          <t>84行 15列，源：nan 备：</t>
        </is>
      </c>
    </row>
    <row r="1496">
      <c r="EH1496" s="0" t="inlineStr">
        <is>
          <t>82行 14列，源：None 备：</t>
        </is>
      </c>
      <c r="ES1496" s="0" t="inlineStr">
        <is>
          <t>84行 16列，源：nan 备：</t>
        </is>
      </c>
    </row>
    <row r="1497">
      <c r="EH1497" s="0" t="inlineStr">
        <is>
          <t>82行 15列，源：nan 备：</t>
        </is>
      </c>
      <c r="ES1497" s="0" t="inlineStr">
        <is>
          <t>84行 17列，源：None 备：</t>
        </is>
      </c>
    </row>
    <row r="1498">
      <c r="EH1498" s="0" t="inlineStr">
        <is>
          <t>82行 16列，源：nan 备：</t>
        </is>
      </c>
      <c r="ES1498" s="0" t="inlineStr">
        <is>
          <t>84行 18列，源：None 备：</t>
        </is>
      </c>
    </row>
    <row r="1499">
      <c r="EH1499" s="0" t="inlineStr">
        <is>
          <t>82行 17列，源：None 备：</t>
        </is>
      </c>
      <c r="ES1499" s="0" t="inlineStr">
        <is>
          <t>84行 19列，源：None 备：</t>
        </is>
      </c>
    </row>
    <row r="1500">
      <c r="EH1500" s="0" t="inlineStr">
        <is>
          <t>82行 18列，源：None 备：</t>
        </is>
      </c>
      <c r="ES1500" s="0" t="inlineStr">
        <is>
          <t>85行 0列，源：514 备：701</t>
        </is>
      </c>
    </row>
    <row r="1501">
      <c r="EH1501" s="0" t="inlineStr">
        <is>
          <t>82行 19列，源：None 备：</t>
        </is>
      </c>
      <c r="ES1501" s="0" t="inlineStr">
        <is>
          <t>85行 1列，源：nan 备：</t>
        </is>
      </c>
    </row>
    <row r="1502">
      <c r="EH1502" s="0" t="inlineStr">
        <is>
          <t>83行 0列，源：204 备：261</t>
        </is>
      </c>
      <c r="ES1502" s="0" t="inlineStr">
        <is>
          <t>85行 2列，源：nan 备：</t>
        </is>
      </c>
    </row>
    <row r="1503">
      <c r="EH1503" s="0" t="inlineStr">
        <is>
          <t>83行 1列，源：nan 备：</t>
        </is>
      </c>
      <c r="ES1503" s="0" t="inlineStr">
        <is>
          <t>85行 3列，源：nan 备：</t>
        </is>
      </c>
    </row>
    <row r="1504">
      <c r="EH1504" s="0" t="inlineStr">
        <is>
          <t>83行 2列，源：nan 备：</t>
        </is>
      </c>
      <c r="ES1504" s="0" t="inlineStr">
        <is>
          <t>85行 4列，源：nan 备：</t>
        </is>
      </c>
    </row>
    <row r="1505">
      <c r="EH1505" s="0" t="inlineStr">
        <is>
          <t>83行 3列，源：nan 备：</t>
        </is>
      </c>
      <c r="ES1505" s="0" t="inlineStr">
        <is>
          <t>85行 15列，源：nan 备：-1.7900000000000e+308</t>
        </is>
      </c>
    </row>
    <row r="1506">
      <c r="EH1506" s="0" t="inlineStr">
        <is>
          <t>83行 4列，源：nan 备：</t>
        </is>
      </c>
      <c r="ES1506" s="0" t="inlineStr">
        <is>
          <t>85行 16列，源：nan 备：-339999995214436424907732413799364296704.000000</t>
        </is>
      </c>
    </row>
    <row r="1507">
      <c r="EH1507" s="0" t="inlineStr">
        <is>
          <t>83行 5列，源：None 备：</t>
        </is>
      </c>
      <c r="ES1507" s="0" t="inlineStr">
        <is>
          <t>85行 17列，源：None 备：-922337203685477.5808</t>
        </is>
      </c>
    </row>
    <row r="1508">
      <c r="EH1508" s="0" t="inlineStr">
        <is>
          <t>83行 6列，源：None 备：</t>
        </is>
      </c>
      <c r="ES1508" s="0" t="inlineStr">
        <is>
          <t>85行 18列，源：None 备：-214748.3648</t>
        </is>
      </c>
    </row>
    <row r="1509">
      <c r="EH1509" s="0" t="inlineStr">
        <is>
          <t>83行 7列，源：None 备：</t>
        </is>
      </c>
      <c r="ES1509" s="0" t="inlineStr">
        <is>
          <t>85行 19列，源：None 备：0</t>
        </is>
      </c>
    </row>
    <row r="1510">
      <c r="EH1510" s="0" t="inlineStr">
        <is>
          <t>83行 8列，源：None 备：</t>
        </is>
      </c>
      <c r="ES1510" s="0" t="inlineStr">
        <is>
          <t>86行 0列，源：515 备：717</t>
        </is>
      </c>
    </row>
    <row r="1511">
      <c r="EH1511" s="0" t="inlineStr">
        <is>
          <t>83行 9列，源：None 备：</t>
        </is>
      </c>
      <c r="ES1511" s="0" t="inlineStr">
        <is>
          <t>86行 1列，源：nan 备：</t>
        </is>
      </c>
    </row>
    <row r="1512">
      <c r="EH1512" s="0" t="inlineStr">
        <is>
          <t>83行 10列，源：None 备：</t>
        </is>
      </c>
      <c r="ES1512" s="0" t="inlineStr">
        <is>
          <t>86行 2列，源：nan 备：</t>
        </is>
      </c>
    </row>
    <row r="1513">
      <c r="EH1513" s="0" t="inlineStr">
        <is>
          <t>83行 11列，源：None 备：</t>
        </is>
      </c>
      <c r="ES1513" s="0" t="inlineStr">
        <is>
          <t>86行 3列，源：nan 备：</t>
        </is>
      </c>
    </row>
    <row r="1514">
      <c r="EH1514" s="0" t="inlineStr">
        <is>
          <t>83行 12列，源：None 备：</t>
        </is>
      </c>
      <c r="ES1514" s="0" t="inlineStr">
        <is>
          <t>86行 4列，源：nan 备：</t>
        </is>
      </c>
    </row>
    <row r="1515">
      <c r="EH1515" s="0" t="inlineStr">
        <is>
          <t>83行 13列，源：None 备：</t>
        </is>
      </c>
      <c r="ES1515" s="0" t="inlineStr">
        <is>
          <t>86行 15列，源：nan 备：-123456789000000002003480098325095514112.0000000000000</t>
        </is>
      </c>
    </row>
    <row r="1516">
      <c r="EH1516" s="0" t="inlineStr">
        <is>
          <t>83行 14列，源：None 备：</t>
        </is>
      </c>
      <c r="ES1516" s="0" t="inlineStr">
        <is>
          <t>86行 16列，源：nan 备：-340282306073709652508363335590014353408.000000</t>
        </is>
      </c>
    </row>
    <row r="1517">
      <c r="EH1517" s="0" t="inlineStr">
        <is>
          <t>83行 15列，源：6.62607015e-34 备：</t>
        </is>
      </c>
      <c r="ES1517" s="0" t="inlineStr">
        <is>
          <t>86行 17列，源：None 备：-123456.7890</t>
        </is>
      </c>
    </row>
    <row r="1518">
      <c r="EH1518" s="0" t="inlineStr">
        <is>
          <t>83行 16列，源：299792448.0 备：</t>
        </is>
      </c>
      <c r="ES1518" s="0" t="inlineStr">
        <is>
          <t>86行 18列，源：None 备：-1234.5678</t>
        </is>
      </c>
    </row>
    <row r="1519">
      <c r="EH1519" s="0" t="inlineStr">
        <is>
          <t>83行 19列，源：True 备：</t>
        </is>
      </c>
      <c r="ES1519" s="0" t="inlineStr">
        <is>
          <t>86行 19列，源：None 备：0</t>
        </is>
      </c>
    </row>
    <row r="1520">
      <c r="EH1520" s="0" t="inlineStr">
        <is>
          <t>84行 0列，源：205 备：262</t>
        </is>
      </c>
      <c r="ES1520" s="0" t="inlineStr">
        <is>
          <t>87行 0列，源：701 备：720</t>
        </is>
      </c>
    </row>
    <row r="1521">
      <c r="EH1521" s="0" t="inlineStr">
        <is>
          <t>84行 1列，源：nan 备：</t>
        </is>
      </c>
      <c r="ES1521" s="0" t="inlineStr">
        <is>
          <t>87行 1列，源：nan 备：</t>
        </is>
      </c>
    </row>
    <row r="1522">
      <c r="EH1522" s="0" t="inlineStr">
        <is>
          <t>84行 2列，源：nan 备：</t>
        </is>
      </c>
      <c r="ES1522" s="0" t="inlineStr">
        <is>
          <t>87行 2列，源：nan 备：</t>
        </is>
      </c>
    </row>
    <row r="1523">
      <c r="EH1523" s="0" t="inlineStr">
        <is>
          <t>84行 3列，源：nan 备：</t>
        </is>
      </c>
      <c r="ES1523" s="0" t="inlineStr">
        <is>
          <t>87行 3列，源：nan 备：</t>
        </is>
      </c>
    </row>
    <row r="1524">
      <c r="EH1524" s="0" t="inlineStr">
        <is>
          <t>84行 4列，源：nan 备：</t>
        </is>
      </c>
      <c r="ES1524" s="0" t="inlineStr">
        <is>
          <t>87行 4列，源：nan 备：</t>
        </is>
      </c>
    </row>
    <row r="1525">
      <c r="EH1525" s="0" t="inlineStr">
        <is>
          <t>84行 5列，源：None 备：</t>
        </is>
      </c>
      <c r="ES1525" s="0" t="inlineStr">
        <is>
          <t>87行 5列，源：None 备：</t>
        </is>
      </c>
    </row>
    <row r="1526">
      <c r="EH1526" s="0" t="inlineStr">
        <is>
          <t>84行 6列，源：None 备：</t>
        </is>
      </c>
      <c r="ES1526" s="0" t="inlineStr">
        <is>
          <t>87行 6列，源：None 备：</t>
        </is>
      </c>
    </row>
    <row r="1527">
      <c r="EH1527" s="0" t="inlineStr">
        <is>
          <t>84行 7列，源：None 备：</t>
        </is>
      </c>
      <c r="ES1527" s="0" t="inlineStr">
        <is>
          <t>87行 7列，源：None 备：</t>
        </is>
      </c>
    </row>
    <row r="1528">
      <c r="EH1528" s="0" t="inlineStr">
        <is>
          <t>84行 8列，源：None 备：</t>
        </is>
      </c>
      <c r="ES1528" s="0" t="inlineStr">
        <is>
          <t>87行 8列，源：None 备：</t>
        </is>
      </c>
    </row>
    <row r="1529">
      <c r="EH1529" s="0" t="inlineStr">
        <is>
          <t>84行 9列，源：None 备：</t>
        </is>
      </c>
      <c r="ES1529" s="0" t="inlineStr">
        <is>
          <t>87行 9列，源：None 备：</t>
        </is>
      </c>
    </row>
    <row r="1530">
      <c r="EH1530" s="0" t="inlineStr">
        <is>
          <t>84行 10列，源：None 备：</t>
        </is>
      </c>
      <c r="ES1530" s="0" t="inlineStr">
        <is>
          <t>87行 10列，源：None 备：</t>
        </is>
      </c>
    </row>
    <row r="1531">
      <c r="EH1531" s="0" t="inlineStr">
        <is>
          <t>84行 11列，源：None 备：</t>
        </is>
      </c>
      <c r="ES1531" s="0" t="inlineStr">
        <is>
          <t>87行 11列，源：None 备：</t>
        </is>
      </c>
    </row>
    <row r="1532">
      <c r="EH1532" s="0" t="inlineStr">
        <is>
          <t>84行 12列，源：None 备：</t>
        </is>
      </c>
      <c r="ES1532" s="0" t="inlineStr">
        <is>
          <t>87行 12列，源：None 备：</t>
        </is>
      </c>
    </row>
    <row r="1533">
      <c r="EH1533" s="0" t="inlineStr">
        <is>
          <t>84行 13列，源：None 备：</t>
        </is>
      </c>
      <c r="ES1533" s="0" t="inlineStr">
        <is>
          <t>87行 13列，源：None 备：</t>
        </is>
      </c>
    </row>
    <row r="1534">
      <c r="EH1534" s="0" t="inlineStr">
        <is>
          <t>84行 14列，源：None 备：</t>
        </is>
      </c>
      <c r="ES1534" s="0" t="inlineStr">
        <is>
          <t>87行 14列，源：None 备：</t>
        </is>
      </c>
    </row>
    <row r="1535">
      <c r="EH1535" s="0" t="inlineStr">
        <is>
          <t>84行 15列，源：nan 备：</t>
        </is>
      </c>
      <c r="ES1535" s="0" t="inlineStr">
        <is>
          <t>87行 15列，源：-1.79e+308 备：-340282346600000016151267322115014000640.0000000000000</t>
        </is>
      </c>
    </row>
    <row r="1536">
      <c r="EH1536" s="0" t="inlineStr">
        <is>
          <t>84行 16列，源：nan 备：</t>
        </is>
      </c>
      <c r="ES1536" s="0" t="inlineStr">
        <is>
          <t>87行 16列，源：-3.3999999521443642e+38 备：-340282306073709652508363335590014353408.000000</t>
        </is>
      </c>
    </row>
    <row r="1537">
      <c r="EH1537" s="0" t="inlineStr">
        <is>
          <t>84行 17列，源：None 备：</t>
        </is>
      </c>
      <c r="ES1537" s="0" t="inlineStr">
        <is>
          <t>87行 19列，源：False 备：0</t>
        </is>
      </c>
    </row>
    <row r="1538">
      <c r="EH1538" s="0" t="inlineStr">
        <is>
          <t>84行 18列，源：None 备：</t>
        </is>
      </c>
      <c r="ES1538" s="0" t="inlineStr">
        <is>
          <t>88行 0列，源：717 备：8</t>
        </is>
      </c>
    </row>
    <row r="1539">
      <c r="EH1539" s="0" t="inlineStr">
        <is>
          <t>84行 19列，源：None 备：</t>
        </is>
      </c>
      <c r="ES1539" s="0" t="inlineStr">
        <is>
          <t>88行 1列，源：nan 备：0</t>
        </is>
      </c>
    </row>
    <row r="1540">
      <c r="EH1540" s="0" t="inlineStr">
        <is>
          <t>85行 0列，源：206 备：263</t>
        </is>
      </c>
      <c r="ES1540" s="0" t="inlineStr">
        <is>
          <t>88行 2列，源：nan 备：-32768</t>
        </is>
      </c>
    </row>
    <row r="1541">
      <c r="EH1541" s="0" t="inlineStr">
        <is>
          <t>85行 1列，源：nan 备：</t>
        </is>
      </c>
      <c r="ES1541" s="0" t="inlineStr">
        <is>
          <t>88行 3列，源：nan 备：-2147483648</t>
        </is>
      </c>
    </row>
    <row r="1542">
      <c r="EH1542" s="0" t="inlineStr">
        <is>
          <t>85行 2列，源：nan 备：</t>
        </is>
      </c>
      <c r="ES1542" s="0" t="inlineStr">
        <is>
          <t>88行 4列，源：nan 备：-9223372036854775808</t>
        </is>
      </c>
    </row>
    <row r="1543">
      <c r="EH1543" s="0" t="inlineStr">
        <is>
          <t>85行 3列，源：nan 备：</t>
        </is>
      </c>
      <c r="ES1543" s="0" t="inlineStr">
        <is>
          <t>88行 5列，源：None 备：</t>
        </is>
      </c>
    </row>
    <row r="1544">
      <c r="EH1544" s="0" t="inlineStr">
        <is>
          <t>85行 4列，源：nan 备：</t>
        </is>
      </c>
      <c r="ES1544" s="0" t="inlineStr">
        <is>
          <t>88行 6列，源：None 备：</t>
        </is>
      </c>
    </row>
    <row r="1545">
      <c r="EH1545" s="0" t="inlineStr">
        <is>
          <t>85行 5列，源：None 备：</t>
        </is>
      </c>
      <c r="ES1545" s="0" t="inlineStr">
        <is>
          <t>88行 7列，源：None 备：</t>
        </is>
      </c>
    </row>
    <row r="1546">
      <c r="EH1546" s="0" t="inlineStr">
        <is>
          <t>85行 6列，源：None 备：</t>
        </is>
      </c>
      <c r="ES1546" s="0" t="inlineStr">
        <is>
          <t>88行 8列，源：None 备：</t>
        </is>
      </c>
    </row>
    <row r="1547">
      <c r="EH1547" s="0" t="inlineStr">
        <is>
          <t>85行 7列，源：None 备：</t>
        </is>
      </c>
      <c r="ES1547" s="0" t="inlineStr">
        <is>
          <t>88行 9列，源：None 备：</t>
        </is>
      </c>
    </row>
    <row r="1548">
      <c r="EH1548" s="0" t="inlineStr">
        <is>
          <t>85行 8列，源：None 备：</t>
        </is>
      </c>
      <c r="ES1548" s="0" t="inlineStr">
        <is>
          <t>88行 10列，源：None 备：</t>
        </is>
      </c>
    </row>
    <row r="1549">
      <c r="EH1549" s="0" t="inlineStr">
        <is>
          <t>85行 9列，源：None 备：</t>
        </is>
      </c>
      <c r="ES1549" s="0" t="inlineStr">
        <is>
          <t>88行 11列，源：None 备：</t>
        </is>
      </c>
    </row>
    <row r="1550">
      <c r="EH1550" s="0" t="inlineStr">
        <is>
          <t>85行 10列，源：None 备：</t>
        </is>
      </c>
      <c r="ES1550" s="0" t="inlineStr">
        <is>
          <t>88行 12列，源：None 备：</t>
        </is>
      </c>
    </row>
    <row r="1551">
      <c r="EH1551" s="0" t="inlineStr">
        <is>
          <t>85行 11列，源：None 备：</t>
        </is>
      </c>
      <c r="ES1551" s="0" t="inlineStr">
        <is>
          <t>88行 13列，源：None 备：</t>
        </is>
      </c>
    </row>
    <row r="1552">
      <c r="EH1552" s="0" t="inlineStr">
        <is>
          <t>85行 12列，源：None 备：</t>
        </is>
      </c>
      <c r="ES1552" s="0" t="inlineStr">
        <is>
          <t>88行 14列，源：None 备：</t>
        </is>
      </c>
    </row>
    <row r="1553">
      <c r="EH1553" s="0" t="inlineStr">
        <is>
          <t>85行 13列，源：None 备：</t>
        </is>
      </c>
      <c r="ES1553" s="0" t="inlineStr">
        <is>
          <t>88行 15列，源：-1.23456789e+38 备：</t>
        </is>
      </c>
    </row>
    <row r="1554">
      <c r="EH1554" s="0" t="inlineStr">
        <is>
          <t>85行 14列，源：None 备：</t>
        </is>
      </c>
      <c r="ES1554" s="0" t="inlineStr">
        <is>
          <t>88行 16列，源：-3.4028230607370965e+38 备：</t>
        </is>
      </c>
    </row>
    <row r="1555">
      <c r="EH1555" s="0" t="inlineStr">
        <is>
          <t>85行 15列，源：nan 备：</t>
        </is>
      </c>
      <c r="ES1555" s="0" t="inlineStr">
        <is>
          <t>88行 19列，源：False 备：</t>
        </is>
      </c>
    </row>
    <row r="1556">
      <c r="EH1556" s="0" t="inlineStr">
        <is>
          <t>85行 16列，源：nan 备：</t>
        </is>
      </c>
      <c r="ES1556" s="0" t="inlineStr">
        <is>
          <t>89行 0列，源：720 备：9</t>
        </is>
      </c>
    </row>
    <row r="1557">
      <c r="EH1557" s="0" t="inlineStr">
        <is>
          <t>85行 17列，源：None 备：</t>
        </is>
      </c>
      <c r="ES1557" s="0" t="inlineStr">
        <is>
          <t>89行 1列，源：nan 备：42</t>
        </is>
      </c>
    </row>
    <row r="1558">
      <c r="EH1558" s="0" t="inlineStr">
        <is>
          <t>85行 18列，源：None 备：</t>
        </is>
      </c>
      <c r="ES1558" s="0" t="inlineStr">
        <is>
          <t>89行 2列，源：nan 备：12345</t>
        </is>
      </c>
    </row>
    <row r="1559">
      <c r="EH1559" s="0" t="inlineStr">
        <is>
          <t>85行 19列，源：None 备：</t>
        </is>
      </c>
      <c r="ES1559" s="0" t="inlineStr">
        <is>
          <t>89行 3列，源：nan 备：123456789</t>
        </is>
      </c>
    </row>
    <row r="1560">
      <c r="EH1560" s="0" t="inlineStr">
        <is>
          <t>86行 0列，源：207 备：264</t>
        </is>
      </c>
      <c r="ES1560" s="0" t="inlineStr">
        <is>
          <t>89行 4列，源：nan 备：123456789012345</t>
        </is>
      </c>
    </row>
    <row r="1561">
      <c r="EH1561" s="0" t="inlineStr">
        <is>
          <t>86行 1列，源：nan 备：</t>
        </is>
      </c>
      <c r="ES1561" s="0" t="inlineStr">
        <is>
          <t>89行 5列，源：None 备：</t>
        </is>
      </c>
    </row>
    <row r="1562">
      <c r="EH1562" s="0" t="inlineStr">
        <is>
          <t>86行 2列，源：nan 备：</t>
        </is>
      </c>
      <c r="ES1562" s="0" t="inlineStr">
        <is>
          <t>89行 6列，源：None 备：</t>
        </is>
      </c>
    </row>
    <row r="1563">
      <c r="EH1563" s="0" t="inlineStr">
        <is>
          <t>86行 3列，源：nan 备：</t>
        </is>
      </c>
      <c r="ES1563" s="0" t="inlineStr">
        <is>
          <t>89行 7列，源：None 备：</t>
        </is>
      </c>
    </row>
    <row r="1564">
      <c r="EH1564" s="0" t="inlineStr">
        <is>
          <t>86行 4列，源：nan 备：</t>
        </is>
      </c>
      <c r="ES1564" s="0" t="inlineStr">
        <is>
          <t>89行 8列，源：None 备：</t>
        </is>
      </c>
    </row>
    <row r="1565">
      <c r="EH1565" s="0" t="inlineStr">
        <is>
          <t>86行 5列，源：None 备：</t>
        </is>
      </c>
      <c r="ES1565" s="0" t="inlineStr">
        <is>
          <t>89行 9列，源：None 备：</t>
        </is>
      </c>
    </row>
    <row r="1566">
      <c r="EH1566" s="0" t="inlineStr">
        <is>
          <t>86行 6列，源：None 备：</t>
        </is>
      </c>
      <c r="ES1566" s="0" t="inlineStr">
        <is>
          <t>89行 10列，源：None 备：</t>
        </is>
      </c>
    </row>
    <row r="1567">
      <c r="EH1567" s="0" t="inlineStr">
        <is>
          <t>86行 7列，源：None 备：</t>
        </is>
      </c>
      <c r="ES1567" s="0" t="inlineStr">
        <is>
          <t>89行 11列，源：None 备：</t>
        </is>
      </c>
    </row>
    <row r="1568">
      <c r="EH1568" s="0" t="inlineStr">
        <is>
          <t>86行 8列，源：None 备：</t>
        </is>
      </c>
      <c r="ES1568" s="0" t="inlineStr">
        <is>
          <t>89行 12列，源：None 备：</t>
        </is>
      </c>
    </row>
    <row r="1569">
      <c r="EH1569" s="0" t="inlineStr">
        <is>
          <t>86行 9列，源：None 备：</t>
        </is>
      </c>
      <c r="ES1569" s="0" t="inlineStr">
        <is>
          <t>89行 13列，源：None 备：</t>
        </is>
      </c>
    </row>
    <row r="1570">
      <c r="EH1570" s="0" t="inlineStr">
        <is>
          <t>86行 10列，源：None 备：</t>
        </is>
      </c>
      <c r="ES1570" s="0" t="inlineStr">
        <is>
          <t>89行 14列，源：None 备：</t>
        </is>
      </c>
    </row>
    <row r="1571">
      <c r="EH1571" s="0" t="inlineStr">
        <is>
          <t>86行 11列，源：None 备：</t>
        </is>
      </c>
      <c r="ES1571" s="0" t="inlineStr">
        <is>
          <t>89行 15列，源：-3.402823466e+38 备：</t>
        </is>
      </c>
    </row>
    <row r="1572">
      <c r="EH1572" s="0" t="inlineStr">
        <is>
          <t>86行 12列，源：None 备：</t>
        </is>
      </c>
      <c r="ES1572" s="0" t="inlineStr">
        <is>
          <t>89行 16列，源：-3.4028230607370965e+38 备：</t>
        </is>
      </c>
    </row>
    <row r="1573">
      <c r="EH1573" s="0" t="inlineStr">
        <is>
          <t>86行 13列，源：None 备：</t>
        </is>
      </c>
      <c r="ES1573" s="0" t="inlineStr">
        <is>
          <t>89行 19列，源：False 备：</t>
        </is>
      </c>
    </row>
    <row r="1574">
      <c r="EH1574" s="0" t="inlineStr">
        <is>
          <t>86行 14列，源：None 备：</t>
        </is>
      </c>
    </row>
    <row r="1575">
      <c r="EH1575" s="0" t="inlineStr">
        <is>
          <t>86行 15列，源：nan 备：</t>
        </is>
      </c>
    </row>
    <row r="1576">
      <c r="EH1576" s="0" t="inlineStr">
        <is>
          <t>86行 16列，源：nan 备：</t>
        </is>
      </c>
    </row>
    <row r="1577">
      <c r="EH1577" s="0" t="inlineStr">
        <is>
          <t>86行 17列，源：None 备：</t>
        </is>
      </c>
    </row>
    <row r="1578">
      <c r="EH1578" s="0" t="inlineStr">
        <is>
          <t>86行 18列，源：None 备：</t>
        </is>
      </c>
    </row>
    <row r="1579">
      <c r="EH1579" s="0" t="inlineStr">
        <is>
          <t>86行 19列，源：None 备：</t>
        </is>
      </c>
    </row>
    <row r="1580">
      <c r="EH1580" s="0" t="inlineStr">
        <is>
          <t>87行 0列，源：208 备：265</t>
        </is>
      </c>
    </row>
    <row r="1581">
      <c r="EH1581" s="0" t="inlineStr">
        <is>
          <t>87行 1列，源：nan 备：</t>
        </is>
      </c>
    </row>
    <row r="1582">
      <c r="EH1582" s="0" t="inlineStr">
        <is>
          <t>87行 2列，源：nan 备：</t>
        </is>
      </c>
    </row>
    <row r="1583">
      <c r="EH1583" s="0" t="inlineStr">
        <is>
          <t>87行 3列，源：nan 备：</t>
        </is>
      </c>
    </row>
    <row r="1584">
      <c r="EH1584" s="0" t="inlineStr">
        <is>
          <t>87行 4列，源：nan 备：</t>
        </is>
      </c>
    </row>
    <row r="1585">
      <c r="EH1585" s="0" t="inlineStr">
        <is>
          <t>87行 5列，源：None 备：</t>
        </is>
      </c>
    </row>
    <row r="1586">
      <c r="EH1586" s="0" t="inlineStr">
        <is>
          <t>87行 6列，源：None 备：</t>
        </is>
      </c>
    </row>
    <row r="1587">
      <c r="EH1587" s="0" t="inlineStr">
        <is>
          <t>87行 7列，源：None 备：</t>
        </is>
      </c>
    </row>
    <row r="1588">
      <c r="EH1588" s="0" t="inlineStr">
        <is>
          <t>87行 8列，源：None 备：</t>
        </is>
      </c>
    </row>
    <row r="1589">
      <c r="EH1589" s="0" t="inlineStr">
        <is>
          <t>87行 9列，源：None 备：</t>
        </is>
      </c>
    </row>
    <row r="1590">
      <c r="EH1590" s="0" t="inlineStr">
        <is>
          <t>87行 10列，源：None 备：</t>
        </is>
      </c>
    </row>
    <row r="1591">
      <c r="EH1591" s="0" t="inlineStr">
        <is>
          <t>87行 11列，源：None 备：</t>
        </is>
      </c>
    </row>
    <row r="1592">
      <c r="EH1592" s="0" t="inlineStr">
        <is>
          <t>87行 12列，源：None 备：</t>
        </is>
      </c>
    </row>
    <row r="1593">
      <c r="EH1593" s="0" t="inlineStr">
        <is>
          <t>87行 13列，源：None 备：</t>
        </is>
      </c>
    </row>
    <row r="1594">
      <c r="EH1594" s="0" t="inlineStr">
        <is>
          <t>87行 14列，源：None 备：</t>
        </is>
      </c>
    </row>
    <row r="1595">
      <c r="EH1595" s="0" t="inlineStr">
        <is>
          <t>87行 15列，源：nan 备：</t>
        </is>
      </c>
    </row>
    <row r="1596">
      <c r="EH1596" s="0" t="inlineStr">
        <is>
          <t>87行 16列，源：nan 备：</t>
        </is>
      </c>
    </row>
    <row r="1597">
      <c r="EH1597" s="0" t="inlineStr">
        <is>
          <t>87行 17列，源：None 备：</t>
        </is>
      </c>
    </row>
    <row r="1598">
      <c r="EH1598" s="0" t="inlineStr">
        <is>
          <t>87行 18列，源：None 备：</t>
        </is>
      </c>
    </row>
    <row r="1599">
      <c r="EH1599" s="0" t="inlineStr">
        <is>
          <t>87行 19列，源：None 备：</t>
        </is>
      </c>
    </row>
    <row r="1600">
      <c r="EH1600" s="0" t="inlineStr">
        <is>
          <t>88行 0列，源：209 备：266</t>
        </is>
      </c>
    </row>
    <row r="1601">
      <c r="EH1601" s="0" t="inlineStr">
        <is>
          <t>88行 1列，源：nan 备：</t>
        </is>
      </c>
    </row>
    <row r="1602">
      <c r="EH1602" s="0" t="inlineStr">
        <is>
          <t>88行 2列，源：nan 备：</t>
        </is>
      </c>
    </row>
    <row r="1603">
      <c r="EH1603" s="0" t="inlineStr">
        <is>
          <t>88行 3列，源：nan 备：</t>
        </is>
      </c>
    </row>
    <row r="1604">
      <c r="EH1604" s="0" t="inlineStr">
        <is>
          <t>88行 4列，源：nan 备：</t>
        </is>
      </c>
    </row>
    <row r="1605">
      <c r="EH1605" s="0" t="inlineStr">
        <is>
          <t>88行 5列，源：None 备：</t>
        </is>
      </c>
    </row>
    <row r="1606">
      <c r="EH1606" s="0" t="inlineStr">
        <is>
          <t>88行 6列，源：None 备：</t>
        </is>
      </c>
    </row>
    <row r="1607">
      <c r="EH1607" s="0" t="inlineStr">
        <is>
          <t>88行 7列，源：None 备：</t>
        </is>
      </c>
    </row>
    <row r="1608">
      <c r="EH1608" s="0" t="inlineStr">
        <is>
          <t>88行 8列，源：None 备：</t>
        </is>
      </c>
    </row>
    <row r="1609">
      <c r="EH1609" s="0" t="inlineStr">
        <is>
          <t>88行 9列，源：None 备：</t>
        </is>
      </c>
    </row>
    <row r="1610">
      <c r="EH1610" s="0" t="inlineStr">
        <is>
          <t>88行 10列，源：None 备：</t>
        </is>
      </c>
    </row>
    <row r="1611">
      <c r="EH1611" s="0" t="inlineStr">
        <is>
          <t>88行 11列，源：None 备：</t>
        </is>
      </c>
    </row>
    <row r="1612">
      <c r="EH1612" s="0" t="inlineStr">
        <is>
          <t>88行 12列，源：None 备：</t>
        </is>
      </c>
    </row>
    <row r="1613">
      <c r="EH1613" s="0" t="inlineStr">
        <is>
          <t>88行 13列，源：None 备：</t>
        </is>
      </c>
    </row>
    <row r="1614">
      <c r="EH1614" s="0" t="inlineStr">
        <is>
          <t>88行 14列，源：None 备：</t>
        </is>
      </c>
    </row>
    <row r="1615">
      <c r="EH1615" s="0" t="inlineStr">
        <is>
          <t>88行 15列，源：nan 备：</t>
        </is>
      </c>
    </row>
    <row r="1616">
      <c r="EH1616" s="0" t="inlineStr">
        <is>
          <t>88行 16列，源：nan 备：</t>
        </is>
      </c>
    </row>
    <row r="1617">
      <c r="EH1617" s="0" t="inlineStr">
        <is>
          <t>88行 17列，源：None 备：</t>
        </is>
      </c>
    </row>
    <row r="1618">
      <c r="EH1618" s="0" t="inlineStr">
        <is>
          <t>88行 18列，源：None 备：</t>
        </is>
      </c>
    </row>
    <row r="1619">
      <c r="EH1619" s="0" t="inlineStr">
        <is>
          <t>88行 19列，源：None 备：</t>
        </is>
      </c>
    </row>
    <row r="1620">
      <c r="EH1620" s="0" t="inlineStr">
        <is>
          <t>89行 0列，源：210 备：267</t>
        </is>
      </c>
    </row>
    <row r="1621">
      <c r="EH1621" s="0" t="inlineStr">
        <is>
          <t>89行 1列，源：nan 备：</t>
        </is>
      </c>
    </row>
    <row r="1622">
      <c r="EH1622" s="0" t="inlineStr">
        <is>
          <t>89行 2列，源：nan 备：</t>
        </is>
      </c>
    </row>
    <row r="1623">
      <c r="EH1623" s="0" t="inlineStr">
        <is>
          <t>89行 3列，源：nan 备：</t>
        </is>
      </c>
    </row>
    <row r="1624">
      <c r="EH1624" s="0" t="inlineStr">
        <is>
          <t>89行 4列，源：nan 备：</t>
        </is>
      </c>
    </row>
    <row r="1625">
      <c r="EH1625" s="0" t="inlineStr">
        <is>
          <t>89行 5列，源：None 备：</t>
        </is>
      </c>
    </row>
    <row r="1626">
      <c r="EH1626" s="0" t="inlineStr">
        <is>
          <t>89行 6列，源：None 备：</t>
        </is>
      </c>
    </row>
    <row r="1627">
      <c r="EH1627" s="0" t="inlineStr">
        <is>
          <t>89行 7列，源：None 备：</t>
        </is>
      </c>
    </row>
    <row r="1628">
      <c r="EH1628" s="0" t="inlineStr">
        <is>
          <t>89行 8列，源：None 备：</t>
        </is>
      </c>
    </row>
    <row r="1629">
      <c r="EH1629" s="0" t="inlineStr">
        <is>
          <t>89行 9列，源：None 备：</t>
        </is>
      </c>
    </row>
    <row r="1630">
      <c r="EH1630" s="0" t="inlineStr">
        <is>
          <t>89行 10列，源：None 备：</t>
        </is>
      </c>
    </row>
    <row r="1631">
      <c r="EH1631" s="0" t="inlineStr">
        <is>
          <t>89行 11列，源：None 备：</t>
        </is>
      </c>
    </row>
    <row r="1632">
      <c r="EH1632" s="0" t="inlineStr">
        <is>
          <t>89行 12列，源：None 备：</t>
        </is>
      </c>
    </row>
    <row r="1633">
      <c r="EH1633" s="0" t="inlineStr">
        <is>
          <t>89行 13列，源：None 备：</t>
        </is>
      </c>
    </row>
    <row r="1634">
      <c r="EH1634" s="0" t="inlineStr">
        <is>
          <t>89行 14列，源：None 备：</t>
        </is>
      </c>
    </row>
    <row r="1635">
      <c r="EH1635" s="0" t="inlineStr">
        <is>
          <t>89行 15列，源：nan 备：</t>
        </is>
      </c>
    </row>
    <row r="1636">
      <c r="EH1636" s="0" t="inlineStr">
        <is>
          <t>89行 16列，源：nan 备：</t>
        </is>
      </c>
    </row>
    <row r="1637">
      <c r="EH1637" s="0" t="inlineStr">
        <is>
          <t>89行 17列，源：None 备：</t>
        </is>
      </c>
    </row>
    <row r="1638">
      <c r="EH1638" s="0" t="inlineStr">
        <is>
          <t>89行 18列，源：None 备：</t>
        </is>
      </c>
    </row>
    <row r="1639">
      <c r="EH1639" s="0" t="inlineStr">
        <is>
          <t>89行 19列，源：None 备：</t>
        </is>
      </c>
    </row>
    <row r="1640">
      <c r="EH1640" s="0" t="inlineStr">
        <is>
          <t>90行 0列，源：211 备：268</t>
        </is>
      </c>
    </row>
    <row r="1641">
      <c r="EH1641" s="0" t="inlineStr">
        <is>
          <t>90行 1列，源：nan 备：</t>
        </is>
      </c>
    </row>
    <row r="1642">
      <c r="EH1642" s="0" t="inlineStr">
        <is>
          <t>90行 2列，源：nan 备：</t>
        </is>
      </c>
    </row>
    <row r="1643">
      <c r="EH1643" s="0" t="inlineStr">
        <is>
          <t>90行 3列，源：nan 备：</t>
        </is>
      </c>
    </row>
    <row r="1644">
      <c r="EH1644" s="0" t="inlineStr">
        <is>
          <t>90行 4列，源：nan 备：</t>
        </is>
      </c>
    </row>
    <row r="1645">
      <c r="EH1645" s="0" t="inlineStr">
        <is>
          <t>90行 5列，源：None 备：</t>
        </is>
      </c>
    </row>
    <row r="1646">
      <c r="EH1646" s="0" t="inlineStr">
        <is>
          <t>90行 6列，源：None 备：</t>
        </is>
      </c>
    </row>
    <row r="1647">
      <c r="EH1647" s="0" t="inlineStr">
        <is>
          <t>90行 7列，源：None 备：</t>
        </is>
      </c>
    </row>
    <row r="1648">
      <c r="EH1648" s="0" t="inlineStr">
        <is>
          <t>90行 8列，源：None 备：</t>
        </is>
      </c>
    </row>
    <row r="1649">
      <c r="EH1649" s="0" t="inlineStr">
        <is>
          <t>90行 9列，源：None 备：</t>
        </is>
      </c>
    </row>
    <row r="1650">
      <c r="EH1650" s="0" t="inlineStr">
        <is>
          <t>90行 10列，源：None 备：</t>
        </is>
      </c>
    </row>
    <row r="1651">
      <c r="EH1651" s="0" t="inlineStr">
        <is>
          <t>90行 11列，源：None 备：</t>
        </is>
      </c>
    </row>
    <row r="1652">
      <c r="EH1652" s="0" t="inlineStr">
        <is>
          <t>90行 12列，源：None 备：</t>
        </is>
      </c>
    </row>
    <row r="1653">
      <c r="EH1653" s="0" t="inlineStr">
        <is>
          <t>90行 13列，源：None 备：</t>
        </is>
      </c>
    </row>
    <row r="1654">
      <c r="EH1654" s="0" t="inlineStr">
        <is>
          <t>90行 14列，源：None 备：</t>
        </is>
      </c>
    </row>
    <row r="1655">
      <c r="EH1655" s="0" t="inlineStr">
        <is>
          <t>90行 15列，源：nan 备：</t>
        </is>
      </c>
    </row>
    <row r="1656">
      <c r="EH1656" s="0" t="inlineStr">
        <is>
          <t>90行 16列，源：nan 备：</t>
        </is>
      </c>
    </row>
    <row r="1657">
      <c r="EH1657" s="0" t="inlineStr">
        <is>
          <t>90行 17列，源：None 备：</t>
        </is>
      </c>
    </row>
    <row r="1658">
      <c r="EH1658" s="0" t="inlineStr">
        <is>
          <t>90行 18列，源：None 备：</t>
        </is>
      </c>
    </row>
    <row r="1659">
      <c r="EH1659" s="0" t="inlineStr">
        <is>
          <t>90行 19列，源：None 备：</t>
        </is>
      </c>
    </row>
    <row r="1660">
      <c r="EH1660" s="0" t="inlineStr">
        <is>
          <t>91行 0列，源：212 备：269</t>
        </is>
      </c>
    </row>
    <row r="1661">
      <c r="EH1661" s="0" t="inlineStr">
        <is>
          <t>91行 1列，源：nan 备：</t>
        </is>
      </c>
    </row>
    <row r="1662">
      <c r="EH1662" s="0" t="inlineStr">
        <is>
          <t>91行 2列，源：nan 备：</t>
        </is>
      </c>
    </row>
    <row r="1663">
      <c r="EH1663" s="0" t="inlineStr">
        <is>
          <t>91行 3列，源：nan 备：</t>
        </is>
      </c>
    </row>
    <row r="1664">
      <c r="EH1664" s="0" t="inlineStr">
        <is>
          <t>91行 4列，源：nan 备：</t>
        </is>
      </c>
    </row>
    <row r="1665">
      <c r="EH1665" s="0" t="inlineStr">
        <is>
          <t>91行 5列，源：None 备：</t>
        </is>
      </c>
    </row>
    <row r="1666">
      <c r="EH1666" s="0" t="inlineStr">
        <is>
          <t>91行 6列，源：None 备：</t>
        </is>
      </c>
    </row>
    <row r="1667">
      <c r="EH1667" s="0" t="inlineStr">
        <is>
          <t>91行 7列，源：None 备：</t>
        </is>
      </c>
    </row>
    <row r="1668">
      <c r="EH1668" s="0" t="inlineStr">
        <is>
          <t>91行 8列，源：None 备：</t>
        </is>
      </c>
    </row>
    <row r="1669">
      <c r="EH1669" s="0" t="inlineStr">
        <is>
          <t>91行 9列，源：None 备：</t>
        </is>
      </c>
    </row>
    <row r="1670">
      <c r="EH1670" s="0" t="inlineStr">
        <is>
          <t>91行 10列，源：None 备：</t>
        </is>
      </c>
    </row>
    <row r="1671">
      <c r="EH1671" s="0" t="inlineStr">
        <is>
          <t>91行 11列，源：None 备：</t>
        </is>
      </c>
    </row>
    <row r="1672">
      <c r="EH1672" s="0" t="inlineStr">
        <is>
          <t>91行 12列，源：None 备：</t>
        </is>
      </c>
    </row>
    <row r="1673">
      <c r="EH1673" s="0" t="inlineStr">
        <is>
          <t>91行 13列，源：None 备：</t>
        </is>
      </c>
    </row>
    <row r="1674">
      <c r="EH1674" s="0" t="inlineStr">
        <is>
          <t>91行 14列，源：None 备：</t>
        </is>
      </c>
    </row>
    <row r="1675">
      <c r="EH1675" s="0" t="inlineStr">
        <is>
          <t>91行 15列，源：nan 备：</t>
        </is>
      </c>
    </row>
    <row r="1676">
      <c r="EH1676" s="0" t="inlineStr">
        <is>
          <t>91行 16列，源：nan 备：</t>
        </is>
      </c>
    </row>
    <row r="1677">
      <c r="EH1677" s="0" t="inlineStr">
        <is>
          <t>91行 17列，源：None 备：</t>
        </is>
      </c>
    </row>
    <row r="1678">
      <c r="EH1678" s="0" t="inlineStr">
        <is>
          <t>91行 18列，源：None 备：</t>
        </is>
      </c>
    </row>
    <row r="1679">
      <c r="EH1679" s="0" t="inlineStr">
        <is>
          <t>91行 19列，源：None 备：</t>
        </is>
      </c>
    </row>
    <row r="1680">
      <c r="EH1680" s="0" t="inlineStr">
        <is>
          <t>92行 0列，源：213 备：270</t>
        </is>
      </c>
    </row>
    <row r="1681">
      <c r="EH1681" s="0" t="inlineStr">
        <is>
          <t>92行 1列，源：nan 备：</t>
        </is>
      </c>
    </row>
    <row r="1682">
      <c r="EH1682" s="0" t="inlineStr">
        <is>
          <t>92行 2列，源：nan 备：</t>
        </is>
      </c>
    </row>
    <row r="1683">
      <c r="EH1683" s="0" t="inlineStr">
        <is>
          <t>92行 3列，源：nan 备：</t>
        </is>
      </c>
    </row>
    <row r="1684">
      <c r="EH1684" s="0" t="inlineStr">
        <is>
          <t>92行 4列，源：nan 备：</t>
        </is>
      </c>
    </row>
    <row r="1685">
      <c r="EH1685" s="0" t="inlineStr">
        <is>
          <t>92行 5列，源：None 备：</t>
        </is>
      </c>
    </row>
    <row r="1686">
      <c r="EH1686" s="0" t="inlineStr">
        <is>
          <t>92行 6列，源：None 备：</t>
        </is>
      </c>
    </row>
    <row r="1687">
      <c r="EH1687" s="0" t="inlineStr">
        <is>
          <t>92行 7列，源：None 备：</t>
        </is>
      </c>
    </row>
    <row r="1688">
      <c r="EH1688" s="0" t="inlineStr">
        <is>
          <t>92行 8列，源：None 备：</t>
        </is>
      </c>
    </row>
    <row r="1689">
      <c r="EH1689" s="0" t="inlineStr">
        <is>
          <t>92行 9列，源：None 备：</t>
        </is>
      </c>
    </row>
    <row r="1690">
      <c r="EH1690" s="0" t="inlineStr">
        <is>
          <t>92行 10列，源：None 备：</t>
        </is>
      </c>
    </row>
    <row r="1691">
      <c r="EH1691" s="0" t="inlineStr">
        <is>
          <t>92行 11列，源：None 备：</t>
        </is>
      </c>
    </row>
    <row r="1692">
      <c r="EH1692" s="0" t="inlineStr">
        <is>
          <t>92行 12列，源：None 备：</t>
        </is>
      </c>
    </row>
    <row r="1693">
      <c r="EH1693" s="0" t="inlineStr">
        <is>
          <t>92行 13列，源：None 备：</t>
        </is>
      </c>
    </row>
    <row r="1694">
      <c r="EH1694" s="0" t="inlineStr">
        <is>
          <t>92行 14列，源：None 备：</t>
        </is>
      </c>
    </row>
    <row r="1695">
      <c r="EH1695" s="0" t="inlineStr">
        <is>
          <t>92行 15列，源：nan 备：</t>
        </is>
      </c>
    </row>
    <row r="1696">
      <c r="EH1696" s="0" t="inlineStr">
        <is>
          <t>92行 16列，源：nan 备：</t>
        </is>
      </c>
    </row>
    <row r="1697">
      <c r="EH1697" s="0" t="inlineStr">
        <is>
          <t>92行 17列，源：None 备：</t>
        </is>
      </c>
    </row>
    <row r="1698">
      <c r="EH1698" s="0" t="inlineStr">
        <is>
          <t>92行 18列，源：None 备：</t>
        </is>
      </c>
    </row>
    <row r="1699">
      <c r="EH1699" s="0" t="inlineStr">
        <is>
          <t>92行 19列，源：None 备：</t>
        </is>
      </c>
    </row>
    <row r="1700">
      <c r="EH1700" s="0" t="inlineStr">
        <is>
          <t>93行 0列，源：214 备：3</t>
        </is>
      </c>
    </row>
    <row r="1701">
      <c r="EH1701" s="0" t="inlineStr">
        <is>
          <t>93行 1列，源：nan 备：</t>
        </is>
      </c>
    </row>
    <row r="1702">
      <c r="EH1702" s="0" t="inlineStr">
        <is>
          <t>93行 2列，源：nan 备：</t>
        </is>
      </c>
    </row>
    <row r="1703">
      <c r="EH1703" s="0" t="inlineStr">
        <is>
          <t>93行 3列，源：nan 备：</t>
        </is>
      </c>
    </row>
    <row r="1704">
      <c r="EH1704" s="0" t="inlineStr">
        <is>
          <t>93行 4列，源：nan 备：</t>
        </is>
      </c>
    </row>
    <row r="1705">
      <c r="EH1705" s="0" t="inlineStr">
        <is>
          <t>93行 5列，源：None 备：</t>
        </is>
      </c>
    </row>
    <row r="1706">
      <c r="EH1706" s="0" t="inlineStr">
        <is>
          <t>93行 6列，源：None 备：</t>
        </is>
      </c>
    </row>
    <row r="1707">
      <c r="EH1707" s="0" t="inlineStr">
        <is>
          <t>93行 7列，源：None 备：</t>
        </is>
      </c>
    </row>
    <row r="1708">
      <c r="EH1708" s="0" t="inlineStr">
        <is>
          <t>93行 8列，源：None 备：</t>
        </is>
      </c>
    </row>
    <row r="1709">
      <c r="EH1709" s="0" t="inlineStr">
        <is>
          <t>93行 9列，源：None 备：</t>
        </is>
      </c>
    </row>
    <row r="1710">
      <c r="EH1710" s="0" t="inlineStr">
        <is>
          <t>93行 10列，源：None 备：</t>
        </is>
      </c>
    </row>
    <row r="1711">
      <c r="EH1711" s="0" t="inlineStr">
        <is>
          <t>93行 11列，源：None 备：</t>
        </is>
      </c>
    </row>
    <row r="1712">
      <c r="EH1712" s="0" t="inlineStr">
        <is>
          <t>93行 12列，源：None 备：</t>
        </is>
      </c>
    </row>
    <row r="1713">
      <c r="EH1713" s="0" t="inlineStr">
        <is>
          <t>93行 13列，源：None 备：</t>
        </is>
      </c>
    </row>
    <row r="1714">
      <c r="EH1714" s="0" t="inlineStr">
        <is>
          <t>93行 14列，源：None 备：</t>
        </is>
      </c>
    </row>
    <row r="1715">
      <c r="EH1715" s="0" t="inlineStr">
        <is>
          <t>93行 15列，源：nan 备：</t>
        </is>
      </c>
    </row>
    <row r="1716">
      <c r="EH1716" s="0" t="inlineStr">
        <is>
          <t>93行 16列，源：nan 备：</t>
        </is>
      </c>
    </row>
    <row r="1717">
      <c r="EH1717" s="0" t="inlineStr">
        <is>
          <t>93行 17列，源：None 备：</t>
        </is>
      </c>
    </row>
    <row r="1718">
      <c r="EH1718" s="0" t="inlineStr">
        <is>
          <t>93行 18列，源：None 备：</t>
        </is>
      </c>
    </row>
    <row r="1719">
      <c r="EH1719" s="0" t="inlineStr">
        <is>
          <t>93行 19列，源：None 备：</t>
        </is>
      </c>
    </row>
    <row r="1720">
      <c r="EH1720" s="0" t="inlineStr">
        <is>
          <t>94行 0列，源：215 备：301</t>
        </is>
      </c>
    </row>
    <row r="1721">
      <c r="EH1721" s="0" t="inlineStr">
        <is>
          <t>94行 1列，源：nan 备：</t>
        </is>
      </c>
    </row>
    <row r="1722">
      <c r="EH1722" s="0" t="inlineStr">
        <is>
          <t>94行 2列，源：nan 备：</t>
        </is>
      </c>
    </row>
    <row r="1723">
      <c r="EH1723" s="0" t="inlineStr">
        <is>
          <t>94行 3列，源：nan 备：</t>
        </is>
      </c>
    </row>
    <row r="1724">
      <c r="EH1724" s="0" t="inlineStr">
        <is>
          <t>94行 4列，源：nan 备：</t>
        </is>
      </c>
    </row>
    <row r="1725">
      <c r="EH1725" s="0" t="inlineStr">
        <is>
          <t>94行 5列，源：None 备：</t>
        </is>
      </c>
    </row>
    <row r="1726">
      <c r="EH1726" s="0" t="inlineStr">
        <is>
          <t>94行 6列，源：None 备：</t>
        </is>
      </c>
    </row>
    <row r="1727">
      <c r="EH1727" s="0" t="inlineStr">
        <is>
          <t>94行 7列，源：None 备：</t>
        </is>
      </c>
    </row>
    <row r="1728">
      <c r="EH1728" s="0" t="inlineStr">
        <is>
          <t>94行 8列，源：None 备：</t>
        </is>
      </c>
    </row>
    <row r="1729">
      <c r="EH1729" s="0" t="inlineStr">
        <is>
          <t>94行 9列，源：None 备：</t>
        </is>
      </c>
    </row>
    <row r="1730">
      <c r="EH1730" s="0" t="inlineStr">
        <is>
          <t>94行 10列，源：None 备：</t>
        </is>
      </c>
    </row>
    <row r="1731">
      <c r="EH1731" s="0" t="inlineStr">
        <is>
          <t>94行 11列，源：None 备：</t>
        </is>
      </c>
    </row>
    <row r="1732">
      <c r="EH1732" s="0" t="inlineStr">
        <is>
          <t>94行 12列，源：None 备：</t>
        </is>
      </c>
    </row>
    <row r="1733">
      <c r="EH1733" s="0" t="inlineStr">
        <is>
          <t>94行 13列，源：None 备：</t>
        </is>
      </c>
    </row>
    <row r="1734">
      <c r="EH1734" s="0" t="inlineStr">
        <is>
          <t>94行 14列，源：None 备：</t>
        </is>
      </c>
    </row>
    <row r="1735">
      <c r="EH1735" s="0" t="inlineStr">
        <is>
          <t>94行 15列，源：nan 备：</t>
        </is>
      </c>
    </row>
    <row r="1736">
      <c r="EH1736" s="0" t="inlineStr">
        <is>
          <t>94行 16列，源：nan 备：</t>
        </is>
      </c>
    </row>
    <row r="1737">
      <c r="EH1737" s="0" t="inlineStr">
        <is>
          <t>94行 17列，源：None 备：</t>
        </is>
      </c>
    </row>
    <row r="1738">
      <c r="EH1738" s="0" t="inlineStr">
        <is>
          <t>94行 18列，源：None 备：</t>
        </is>
      </c>
    </row>
    <row r="1739">
      <c r="EH1739" s="0" t="inlineStr">
        <is>
          <t>94行 19列，源：None 备：</t>
        </is>
      </c>
    </row>
    <row r="1740">
      <c r="EH1740" s="0" t="inlineStr">
        <is>
          <t>95行 0列，源：216 备：302</t>
        </is>
      </c>
    </row>
    <row r="1741">
      <c r="EH1741" s="0" t="inlineStr">
        <is>
          <t>95行 1列，源：nan 备：</t>
        </is>
      </c>
    </row>
    <row r="1742">
      <c r="EH1742" s="0" t="inlineStr">
        <is>
          <t>95行 2列，源：nan 备：</t>
        </is>
      </c>
    </row>
    <row r="1743">
      <c r="EH1743" s="0" t="inlineStr">
        <is>
          <t>95行 3列，源：nan 备：</t>
        </is>
      </c>
    </row>
    <row r="1744">
      <c r="EH1744" s="0" t="inlineStr">
        <is>
          <t>95行 4列，源：nan 备：</t>
        </is>
      </c>
    </row>
    <row r="1745">
      <c r="EH1745" s="0" t="inlineStr">
        <is>
          <t>95行 5列，源：None 备：</t>
        </is>
      </c>
    </row>
    <row r="1746">
      <c r="EH1746" s="0" t="inlineStr">
        <is>
          <t>95行 6列，源：None 备：</t>
        </is>
      </c>
    </row>
    <row r="1747">
      <c r="EH1747" s="0" t="inlineStr">
        <is>
          <t>95行 7列，源：None 备：</t>
        </is>
      </c>
    </row>
    <row r="1748">
      <c r="EH1748" s="0" t="inlineStr">
        <is>
          <t>95行 8列，源：None 备：</t>
        </is>
      </c>
    </row>
    <row r="1749">
      <c r="EH1749" s="0" t="inlineStr">
        <is>
          <t>95行 9列，源：None 备：</t>
        </is>
      </c>
    </row>
    <row r="1750">
      <c r="EH1750" s="0" t="inlineStr">
        <is>
          <t>95行 10列，源：None 备：</t>
        </is>
      </c>
    </row>
    <row r="1751">
      <c r="EH1751" s="0" t="inlineStr">
        <is>
          <t>95行 11列，源：None 备：</t>
        </is>
      </c>
    </row>
    <row r="1752">
      <c r="EH1752" s="0" t="inlineStr">
        <is>
          <t>95行 12列，源：None 备：</t>
        </is>
      </c>
    </row>
    <row r="1753">
      <c r="EH1753" s="0" t="inlineStr">
        <is>
          <t>95行 13列，源：None 备：</t>
        </is>
      </c>
    </row>
    <row r="1754">
      <c r="EH1754" s="0" t="inlineStr">
        <is>
          <t>95行 14列，源：None 备：</t>
        </is>
      </c>
    </row>
    <row r="1755">
      <c r="EH1755" s="0" t="inlineStr">
        <is>
          <t>95行 15列，源：1.23456789e+38 备：</t>
        </is>
      </c>
    </row>
    <row r="1756">
      <c r="EH1756" s="0" t="inlineStr">
        <is>
          <t>95行 16列，源：3.4028230607370965e+38 备：</t>
        </is>
      </c>
    </row>
    <row r="1757">
      <c r="EH1757" s="0" t="inlineStr">
        <is>
          <t>95行 19列，源：True 备：</t>
        </is>
      </c>
    </row>
    <row r="1758">
      <c r="EH1758" s="0" t="inlineStr">
        <is>
          <t>96行 0列，源：217 备：303</t>
        </is>
      </c>
    </row>
    <row r="1759">
      <c r="EH1759" s="0" t="inlineStr">
        <is>
          <t>96行 1列，源：nan 备：</t>
        </is>
      </c>
    </row>
    <row r="1760">
      <c r="EH1760" s="0" t="inlineStr">
        <is>
          <t>96行 2列，源：nan 备：</t>
        </is>
      </c>
    </row>
    <row r="1761">
      <c r="EH1761" s="0" t="inlineStr">
        <is>
          <t>96行 3列，源：nan 备：</t>
        </is>
      </c>
    </row>
    <row r="1762">
      <c r="EH1762" s="0" t="inlineStr">
        <is>
          <t>96行 4列，源：nan 备：</t>
        </is>
      </c>
    </row>
    <row r="1763">
      <c r="EH1763" s="0" t="inlineStr">
        <is>
          <t>96行 5列，源：None 备：</t>
        </is>
      </c>
    </row>
    <row r="1764">
      <c r="EH1764" s="0" t="inlineStr">
        <is>
          <t>96行 6列，源：None 备：</t>
        </is>
      </c>
    </row>
    <row r="1765">
      <c r="EH1765" s="0" t="inlineStr">
        <is>
          <t>96行 7列，源：None 备：</t>
        </is>
      </c>
    </row>
    <row r="1766">
      <c r="EH1766" s="0" t="inlineStr">
        <is>
          <t>96行 8列，源：None 备：</t>
        </is>
      </c>
    </row>
    <row r="1767">
      <c r="EH1767" s="0" t="inlineStr">
        <is>
          <t>96行 9列，源：None 备：</t>
        </is>
      </c>
    </row>
    <row r="1768">
      <c r="EH1768" s="0" t="inlineStr">
        <is>
          <t>96行 10列，源：None 备：</t>
        </is>
      </c>
    </row>
    <row r="1769">
      <c r="EH1769" s="0" t="inlineStr">
        <is>
          <t>96行 11列，源：None 备：</t>
        </is>
      </c>
    </row>
    <row r="1770">
      <c r="EH1770" s="0" t="inlineStr">
        <is>
          <t>96行 12列，源：None 备：</t>
        </is>
      </c>
    </row>
    <row r="1771">
      <c r="EH1771" s="0" t="inlineStr">
        <is>
          <t>96行 13列，源：None 备：</t>
        </is>
      </c>
    </row>
    <row r="1772">
      <c r="EH1772" s="0" t="inlineStr">
        <is>
          <t>96行 14列，源：None 备：</t>
        </is>
      </c>
    </row>
    <row r="1773">
      <c r="EH1773" s="0" t="inlineStr">
        <is>
          <t>96行 15列，源：-1.23456789e+38 备：</t>
        </is>
      </c>
    </row>
    <row r="1774">
      <c r="EH1774" s="0" t="inlineStr">
        <is>
          <t>96行 16列，源：-3.4028230607370965e+38 备：</t>
        </is>
      </c>
    </row>
    <row r="1775">
      <c r="EH1775" s="0" t="inlineStr">
        <is>
          <t>96行 19列，源：False 备：</t>
        </is>
      </c>
    </row>
    <row r="1776">
      <c r="EH1776" s="0" t="inlineStr">
        <is>
          <t>97行 0列，源：218 备：304</t>
        </is>
      </c>
    </row>
    <row r="1777">
      <c r="EH1777" s="0" t="inlineStr">
        <is>
          <t>97行 1列，源：nan 备：</t>
        </is>
      </c>
    </row>
    <row r="1778">
      <c r="EH1778" s="0" t="inlineStr">
        <is>
          <t>97行 2列，源：nan 备：</t>
        </is>
      </c>
    </row>
    <row r="1779">
      <c r="EH1779" s="0" t="inlineStr">
        <is>
          <t>97行 3列，源：nan 备：</t>
        </is>
      </c>
    </row>
    <row r="1780">
      <c r="EH1780" s="0" t="inlineStr">
        <is>
          <t>97行 4列，源：nan 备：</t>
        </is>
      </c>
    </row>
    <row r="1781">
      <c r="EH1781" s="0" t="inlineStr">
        <is>
          <t>97行 5列，源：None 备：</t>
        </is>
      </c>
    </row>
    <row r="1782">
      <c r="EH1782" s="0" t="inlineStr">
        <is>
          <t>97行 6列，源：None 备：</t>
        </is>
      </c>
    </row>
    <row r="1783">
      <c r="EH1783" s="0" t="inlineStr">
        <is>
          <t>97行 7列，源：None 备：</t>
        </is>
      </c>
    </row>
    <row r="1784">
      <c r="EH1784" s="0" t="inlineStr">
        <is>
          <t>97行 8列，源：None 备：</t>
        </is>
      </c>
    </row>
    <row r="1785">
      <c r="EH1785" s="0" t="inlineStr">
        <is>
          <t>97行 9列，源：None 备：</t>
        </is>
      </c>
    </row>
    <row r="1786">
      <c r="EH1786" s="0" t="inlineStr">
        <is>
          <t>97行 10列，源：None 备：</t>
        </is>
      </c>
    </row>
    <row r="1787">
      <c r="EH1787" s="0" t="inlineStr">
        <is>
          <t>97行 11列，源：None 备：</t>
        </is>
      </c>
    </row>
    <row r="1788">
      <c r="EH1788" s="0" t="inlineStr">
        <is>
          <t>97行 12列，源：None 备：</t>
        </is>
      </c>
    </row>
    <row r="1789">
      <c r="EH1789" s="0" t="inlineStr">
        <is>
          <t>97行 13列，源：None 备：</t>
        </is>
      </c>
    </row>
    <row r="1790">
      <c r="EH1790" s="0" t="inlineStr">
        <is>
          <t>97行 14列，源：None 备：</t>
        </is>
      </c>
    </row>
    <row r="1791">
      <c r="EH1791" s="0" t="inlineStr">
        <is>
          <t>97行 15列，源：1.23456789e-38 备：</t>
        </is>
      </c>
    </row>
    <row r="1792">
      <c r="EH1792" s="0" t="inlineStr">
        <is>
          <t>97行 16列，源：1.1754939304327482e-38 备：</t>
        </is>
      </c>
    </row>
    <row r="1793">
      <c r="EH1793" s="0" t="inlineStr">
        <is>
          <t>97行 19列，源：True 备：</t>
        </is>
      </c>
    </row>
    <row r="1794">
      <c r="EH1794" s="0" t="inlineStr">
        <is>
          <t>98行 0列，源：219 备：305</t>
        </is>
      </c>
    </row>
    <row r="1795">
      <c r="EH1795" s="0" t="inlineStr">
        <is>
          <t>98行 1列，源：nan 备：</t>
        </is>
      </c>
    </row>
    <row r="1796">
      <c r="EH1796" s="0" t="inlineStr">
        <is>
          <t>98行 2列，源：nan 备：</t>
        </is>
      </c>
    </row>
    <row r="1797">
      <c r="EH1797" s="0" t="inlineStr">
        <is>
          <t>98行 3列，源：nan 备：</t>
        </is>
      </c>
    </row>
    <row r="1798">
      <c r="EH1798" s="0" t="inlineStr">
        <is>
          <t>98行 4列，源：nan 备：</t>
        </is>
      </c>
    </row>
    <row r="1799">
      <c r="EH1799" s="0" t="inlineStr">
        <is>
          <t>98行 5列，源：None 备：</t>
        </is>
      </c>
    </row>
    <row r="1800">
      <c r="EH1800" s="0" t="inlineStr">
        <is>
          <t>98行 6列，源：None 备：</t>
        </is>
      </c>
    </row>
    <row r="1801">
      <c r="EH1801" s="0" t="inlineStr">
        <is>
          <t>98行 7列，源：None 备：</t>
        </is>
      </c>
    </row>
    <row r="1802">
      <c r="EH1802" s="0" t="inlineStr">
        <is>
          <t>98行 8列，源：None 备：</t>
        </is>
      </c>
    </row>
    <row r="1803">
      <c r="EH1803" s="0" t="inlineStr">
        <is>
          <t>98行 9列，源：None 备：</t>
        </is>
      </c>
    </row>
    <row r="1804">
      <c r="EH1804" s="0" t="inlineStr">
        <is>
          <t>98行 10列，源：None 备：</t>
        </is>
      </c>
    </row>
    <row r="1805">
      <c r="EH1805" s="0" t="inlineStr">
        <is>
          <t>98行 11列，源：None 备：</t>
        </is>
      </c>
    </row>
    <row r="1806">
      <c r="EH1806" s="0" t="inlineStr">
        <is>
          <t>98行 12列，源：None 备：</t>
        </is>
      </c>
    </row>
    <row r="1807">
      <c r="EH1807" s="0" t="inlineStr">
        <is>
          <t>98行 13列，源：None 备：</t>
        </is>
      </c>
    </row>
    <row r="1808">
      <c r="EH1808" s="0" t="inlineStr">
        <is>
          <t>98行 14列，源：None 备：</t>
        </is>
      </c>
    </row>
    <row r="1809">
      <c r="EH1809" s="0" t="inlineStr">
        <is>
          <t>98行 15列，源：3.402823466e+38 备：</t>
        </is>
      </c>
    </row>
    <row r="1810">
      <c r="EH1810" s="0" t="inlineStr">
        <is>
          <t>98行 16列，源：3.4028230607370965e+38 备：</t>
        </is>
      </c>
    </row>
    <row r="1811">
      <c r="EH1811" s="0" t="inlineStr">
        <is>
          <t>98行 19列，源：True 备：</t>
        </is>
      </c>
    </row>
    <row r="1812">
      <c r="EH1812" s="0" t="inlineStr">
        <is>
          <t>99行 0列，源：220 备：306</t>
        </is>
      </c>
    </row>
    <row r="1813">
      <c r="EH1813" s="0" t="inlineStr">
        <is>
          <t>99行 1列，源：nan 备：</t>
        </is>
      </c>
    </row>
    <row r="1814">
      <c r="EH1814" s="0" t="inlineStr">
        <is>
          <t>99行 2列，源：nan 备：</t>
        </is>
      </c>
    </row>
    <row r="1815">
      <c r="EH1815" s="0" t="inlineStr">
        <is>
          <t>99行 3列，源：nan 备：</t>
        </is>
      </c>
    </row>
    <row r="1816">
      <c r="EH1816" s="0" t="inlineStr">
        <is>
          <t>99行 4列，源：nan 备：</t>
        </is>
      </c>
    </row>
    <row r="1817">
      <c r="EH1817" s="0" t="inlineStr">
        <is>
          <t>99行 5列，源：None 备：</t>
        </is>
      </c>
    </row>
    <row r="1818">
      <c r="EH1818" s="0" t="inlineStr">
        <is>
          <t>99行 6列，源：None 备：</t>
        </is>
      </c>
    </row>
    <row r="1819">
      <c r="EH1819" s="0" t="inlineStr">
        <is>
          <t>99行 7列，源：None 备：</t>
        </is>
      </c>
    </row>
    <row r="1820">
      <c r="EH1820" s="0" t="inlineStr">
        <is>
          <t>99行 8列，源：None 备：</t>
        </is>
      </c>
    </row>
    <row r="1821">
      <c r="EH1821" s="0" t="inlineStr">
        <is>
          <t>99行 9列，源：None 备：</t>
        </is>
      </c>
    </row>
    <row r="1822">
      <c r="EH1822" s="0" t="inlineStr">
        <is>
          <t>99行 10列，源：None 备：</t>
        </is>
      </c>
    </row>
    <row r="1823">
      <c r="EH1823" s="0" t="inlineStr">
        <is>
          <t>99行 11列，源：None 备：</t>
        </is>
      </c>
    </row>
    <row r="1824">
      <c r="EH1824" s="0" t="inlineStr">
        <is>
          <t>99行 12列，源：None 备：</t>
        </is>
      </c>
    </row>
    <row r="1825">
      <c r="EH1825" s="0" t="inlineStr">
        <is>
          <t>99行 13列，源：None 备：</t>
        </is>
      </c>
    </row>
    <row r="1826">
      <c r="EH1826" s="0" t="inlineStr">
        <is>
          <t>99行 14列，源：None 备：</t>
        </is>
      </c>
    </row>
    <row r="1827">
      <c r="EH1827" s="0" t="inlineStr">
        <is>
          <t>99行 15列，源：-3.402823466e+38 备：</t>
        </is>
      </c>
    </row>
    <row r="1828">
      <c r="EH1828" s="0" t="inlineStr">
        <is>
          <t>99行 16列，源：-3.4028230607370965e+38 备：</t>
        </is>
      </c>
    </row>
    <row r="1829">
      <c r="EH1829" s="0" t="inlineStr">
        <is>
          <t>99行 19列，源：False 备：</t>
        </is>
      </c>
    </row>
    <row r="1830">
      <c r="EH1830" s="0" t="inlineStr">
        <is>
          <t>100行 0列，源：251 备：307</t>
        </is>
      </c>
    </row>
    <row r="1831">
      <c r="EH1831" s="0" t="inlineStr">
        <is>
          <t>100行 1列，源：nan 备：</t>
        </is>
      </c>
    </row>
    <row r="1832">
      <c r="EH1832" s="0" t="inlineStr">
        <is>
          <t>100行 2列，源：nan 备：</t>
        </is>
      </c>
    </row>
    <row r="1833">
      <c r="EH1833" s="0" t="inlineStr">
        <is>
          <t>100行 3列，源：nan 备：</t>
        </is>
      </c>
    </row>
    <row r="1834">
      <c r="EH1834" s="0" t="inlineStr">
        <is>
          <t>100行 4列，源：nan 备：</t>
        </is>
      </c>
    </row>
    <row r="1835">
      <c r="EH1835" s="0" t="inlineStr">
        <is>
          <t>100行 5列，源：None 备：</t>
        </is>
      </c>
    </row>
    <row r="1836">
      <c r="EH1836" s="0" t="inlineStr">
        <is>
          <t>100行 6列，源：None 备：</t>
        </is>
      </c>
    </row>
    <row r="1837">
      <c r="EH1837" s="0" t="inlineStr">
        <is>
          <t>100行 7列，源：None 备：</t>
        </is>
      </c>
    </row>
    <row r="1838">
      <c r="EH1838" s="0" t="inlineStr">
        <is>
          <t>100行 8列，源：None 备：</t>
        </is>
      </c>
    </row>
    <row r="1839">
      <c r="EH1839" s="0" t="inlineStr">
        <is>
          <t>100行 9列，源：None 备：</t>
        </is>
      </c>
    </row>
    <row r="1840">
      <c r="EH1840" s="0" t="inlineStr">
        <is>
          <t>100行 10列，源：None 备：</t>
        </is>
      </c>
    </row>
    <row r="1841">
      <c r="EH1841" s="0" t="inlineStr">
        <is>
          <t>100行 11列，源：None 备：</t>
        </is>
      </c>
    </row>
    <row r="1842">
      <c r="EH1842" s="0" t="inlineStr">
        <is>
          <t>100行 12列，源：None 备：</t>
        </is>
      </c>
    </row>
    <row r="1843">
      <c r="EH1843" s="0" t="inlineStr">
        <is>
          <t>100行 13列，源：None 备：</t>
        </is>
      </c>
    </row>
    <row r="1844">
      <c r="EH1844" s="0" t="inlineStr">
        <is>
          <t>100行 14列，源：None 备：</t>
        </is>
      </c>
    </row>
    <row r="1845">
      <c r="EH1845" s="0" t="inlineStr">
        <is>
          <t>100行 15列，源：nan 备：</t>
        </is>
      </c>
    </row>
    <row r="1846">
      <c r="EH1846" s="0" t="inlineStr">
        <is>
          <t>100行 16列，源：nan 备：</t>
        </is>
      </c>
    </row>
    <row r="1847">
      <c r="EH1847" s="0" t="inlineStr">
        <is>
          <t>100行 17列，源：None 备：</t>
        </is>
      </c>
    </row>
    <row r="1848">
      <c r="EH1848" s="0" t="inlineStr">
        <is>
          <t>100行 18列，源：None 备：</t>
        </is>
      </c>
    </row>
    <row r="1849">
      <c r="EH1849" s="0" t="inlineStr">
        <is>
          <t>100行 19列，源：None 备：</t>
        </is>
      </c>
    </row>
    <row r="1850">
      <c r="EH1850" s="0" t="inlineStr">
        <is>
          <t>101行 0列，源：252 备：308</t>
        </is>
      </c>
    </row>
    <row r="1851">
      <c r="EH1851" s="0" t="inlineStr">
        <is>
          <t>101行 1列，源：nan 备：</t>
        </is>
      </c>
    </row>
    <row r="1852">
      <c r="EH1852" s="0" t="inlineStr">
        <is>
          <t>101行 2列，源：nan 备：</t>
        </is>
      </c>
    </row>
    <row r="1853">
      <c r="EH1853" s="0" t="inlineStr">
        <is>
          <t>101行 3列，源：nan 备：</t>
        </is>
      </c>
    </row>
    <row r="1854">
      <c r="EH1854" s="0" t="inlineStr">
        <is>
          <t>101行 4列，源：nan 备：</t>
        </is>
      </c>
    </row>
    <row r="1855">
      <c r="EH1855" s="0" t="inlineStr">
        <is>
          <t>101行 5列，源：None 备：</t>
        </is>
      </c>
    </row>
    <row r="1856">
      <c r="EH1856" s="0" t="inlineStr">
        <is>
          <t>101行 6列，源：None 备：</t>
        </is>
      </c>
    </row>
    <row r="1857">
      <c r="EH1857" s="0" t="inlineStr">
        <is>
          <t>101行 7列，源：None 备：</t>
        </is>
      </c>
    </row>
    <row r="1858">
      <c r="EH1858" s="0" t="inlineStr">
        <is>
          <t>101行 8列，源：None 备：</t>
        </is>
      </c>
    </row>
    <row r="1859">
      <c r="EH1859" s="0" t="inlineStr">
        <is>
          <t>101行 9列，源：None 备：</t>
        </is>
      </c>
    </row>
    <row r="1860">
      <c r="EH1860" s="0" t="inlineStr">
        <is>
          <t>101行 10列，源：None 备：</t>
        </is>
      </c>
    </row>
    <row r="1861">
      <c r="EH1861" s="0" t="inlineStr">
        <is>
          <t>101行 11列，源：None 备：</t>
        </is>
      </c>
    </row>
    <row r="1862">
      <c r="EH1862" s="0" t="inlineStr">
        <is>
          <t>101行 12列，源：None 备：</t>
        </is>
      </c>
    </row>
    <row r="1863">
      <c r="EH1863" s="0" t="inlineStr">
        <is>
          <t>101行 13列，源：None 备：</t>
        </is>
      </c>
    </row>
    <row r="1864">
      <c r="EH1864" s="0" t="inlineStr">
        <is>
          <t>101行 14列，源：None 备：</t>
        </is>
      </c>
    </row>
    <row r="1865">
      <c r="EH1865" s="0" t="inlineStr">
        <is>
          <t>101行 15列，源：nan 备：</t>
        </is>
      </c>
    </row>
    <row r="1866">
      <c r="EH1866" s="0" t="inlineStr">
        <is>
          <t>101行 16列，源：nan 备：</t>
        </is>
      </c>
    </row>
    <row r="1867">
      <c r="EH1867" s="0" t="inlineStr">
        <is>
          <t>101行 17列，源：None 备：</t>
        </is>
      </c>
    </row>
    <row r="1868">
      <c r="EH1868" s="0" t="inlineStr">
        <is>
          <t>101行 18列，源：None 备：</t>
        </is>
      </c>
    </row>
    <row r="1869">
      <c r="EH1869" s="0" t="inlineStr">
        <is>
          <t>101行 19列，源：None 备：</t>
        </is>
      </c>
    </row>
    <row r="1870">
      <c r="EH1870" s="0" t="inlineStr">
        <is>
          <t>102行 0列，源：253 备：309</t>
        </is>
      </c>
    </row>
    <row r="1871">
      <c r="EH1871" s="0" t="inlineStr">
        <is>
          <t>102行 1列，源：nan 备：</t>
        </is>
      </c>
    </row>
    <row r="1872">
      <c r="EH1872" s="0" t="inlineStr">
        <is>
          <t>102行 2列，源：nan 备：</t>
        </is>
      </c>
    </row>
    <row r="1873">
      <c r="EH1873" s="0" t="inlineStr">
        <is>
          <t>102行 3列，源：nan 备：</t>
        </is>
      </c>
    </row>
    <row r="1874">
      <c r="EH1874" s="0" t="inlineStr">
        <is>
          <t>102行 4列，源：nan 备：</t>
        </is>
      </c>
    </row>
    <row r="1875">
      <c r="EH1875" s="0" t="inlineStr">
        <is>
          <t>102行 5列，源：None 备：</t>
        </is>
      </c>
    </row>
    <row r="1876">
      <c r="EH1876" s="0" t="inlineStr">
        <is>
          <t>102行 6列，源：None 备：</t>
        </is>
      </c>
    </row>
    <row r="1877">
      <c r="EH1877" s="0" t="inlineStr">
        <is>
          <t>102行 7列，源：None 备：</t>
        </is>
      </c>
    </row>
    <row r="1878">
      <c r="EH1878" s="0" t="inlineStr">
        <is>
          <t>102行 8列，源：None 备：</t>
        </is>
      </c>
    </row>
    <row r="1879">
      <c r="EH1879" s="0" t="inlineStr">
        <is>
          <t>102行 9列，源：None 备：</t>
        </is>
      </c>
    </row>
    <row r="1880">
      <c r="EH1880" s="0" t="inlineStr">
        <is>
          <t>102行 10列，源：None 备：</t>
        </is>
      </c>
    </row>
    <row r="1881">
      <c r="EH1881" s="0" t="inlineStr">
        <is>
          <t>102行 11列，源：None 备：</t>
        </is>
      </c>
    </row>
    <row r="1882">
      <c r="EH1882" s="0" t="inlineStr">
        <is>
          <t>102行 12列，源：None 备：</t>
        </is>
      </c>
    </row>
    <row r="1883">
      <c r="EH1883" s="0" t="inlineStr">
        <is>
          <t>102行 13列，源：None 备：</t>
        </is>
      </c>
    </row>
    <row r="1884">
      <c r="EH1884" s="0" t="inlineStr">
        <is>
          <t>102行 14列，源：None 备：</t>
        </is>
      </c>
    </row>
    <row r="1885">
      <c r="EH1885" s="0" t="inlineStr">
        <is>
          <t>102行 15列，源：nan 备：</t>
        </is>
      </c>
    </row>
    <row r="1886">
      <c r="EH1886" s="0" t="inlineStr">
        <is>
          <t>102行 16列，源：nan 备：</t>
        </is>
      </c>
    </row>
    <row r="1887">
      <c r="EH1887" s="0" t="inlineStr">
        <is>
          <t>102行 17列，源：None 备：</t>
        </is>
      </c>
    </row>
    <row r="1888">
      <c r="EH1888" s="0" t="inlineStr">
        <is>
          <t>102行 18列，源：None 备：</t>
        </is>
      </c>
    </row>
    <row r="1889">
      <c r="EH1889" s="0" t="inlineStr">
        <is>
          <t>102行 19列，源：None 备：</t>
        </is>
      </c>
    </row>
    <row r="1890">
      <c r="EH1890" s="0" t="inlineStr">
        <is>
          <t>103行 0列，源：254 备：310</t>
        </is>
      </c>
    </row>
    <row r="1891">
      <c r="EH1891" s="0" t="inlineStr">
        <is>
          <t>103行 1列，源：nan 备：</t>
        </is>
      </c>
    </row>
    <row r="1892">
      <c r="EH1892" s="0" t="inlineStr">
        <is>
          <t>103行 2列，源：nan 备：</t>
        </is>
      </c>
    </row>
    <row r="1893">
      <c r="EH1893" s="0" t="inlineStr">
        <is>
          <t>103行 3列，源：nan 备：</t>
        </is>
      </c>
    </row>
    <row r="1894">
      <c r="EH1894" s="0" t="inlineStr">
        <is>
          <t>103行 4列，源：nan 备：</t>
        </is>
      </c>
    </row>
    <row r="1895">
      <c r="EH1895" s="0" t="inlineStr">
        <is>
          <t>103行 5列，源：None 备：</t>
        </is>
      </c>
    </row>
    <row r="1896">
      <c r="EH1896" s="0" t="inlineStr">
        <is>
          <t>103行 6列，源：None 备：</t>
        </is>
      </c>
    </row>
    <row r="1897">
      <c r="EH1897" s="0" t="inlineStr">
        <is>
          <t>103行 7列，源：None 备：</t>
        </is>
      </c>
    </row>
    <row r="1898">
      <c r="EH1898" s="0" t="inlineStr">
        <is>
          <t>103行 8列，源：None 备：</t>
        </is>
      </c>
    </row>
    <row r="1899">
      <c r="EH1899" s="0" t="inlineStr">
        <is>
          <t>103行 9列，源：None 备：</t>
        </is>
      </c>
    </row>
    <row r="1900">
      <c r="EH1900" s="0" t="inlineStr">
        <is>
          <t>103行 10列，源：None 备：</t>
        </is>
      </c>
    </row>
    <row r="1901">
      <c r="EH1901" s="0" t="inlineStr">
        <is>
          <t>103行 11列，源：None 备：</t>
        </is>
      </c>
    </row>
    <row r="1902">
      <c r="EH1902" s="0" t="inlineStr">
        <is>
          <t>103行 12列，源：None 备：</t>
        </is>
      </c>
    </row>
    <row r="1903">
      <c r="EH1903" s="0" t="inlineStr">
        <is>
          <t>103行 13列，源：None 备：</t>
        </is>
      </c>
    </row>
    <row r="1904">
      <c r="EH1904" s="0" t="inlineStr">
        <is>
          <t>103行 14列，源：None 备：</t>
        </is>
      </c>
    </row>
    <row r="1905">
      <c r="EH1905" s="0" t="inlineStr">
        <is>
          <t>103行 15列，源：nan 备：</t>
        </is>
      </c>
    </row>
    <row r="1906">
      <c r="EH1906" s="0" t="inlineStr">
        <is>
          <t>103行 16列，源：nan 备：</t>
        </is>
      </c>
    </row>
    <row r="1907">
      <c r="EH1907" s="0" t="inlineStr">
        <is>
          <t>103行 17列，源：None 备：</t>
        </is>
      </c>
    </row>
    <row r="1908">
      <c r="EH1908" s="0" t="inlineStr">
        <is>
          <t>103行 18列，源：None 备：</t>
        </is>
      </c>
    </row>
    <row r="1909">
      <c r="EH1909" s="0" t="inlineStr">
        <is>
          <t>103行 19列，源：None 备：</t>
        </is>
      </c>
    </row>
    <row r="1910">
      <c r="EH1910" s="0" t="inlineStr">
        <is>
          <t>104行 0列，源：255 备：311</t>
        </is>
      </c>
    </row>
    <row r="1911">
      <c r="EH1911" s="0" t="inlineStr">
        <is>
          <t>104行 1列，源：nan 备：</t>
        </is>
      </c>
    </row>
    <row r="1912">
      <c r="EH1912" s="0" t="inlineStr">
        <is>
          <t>104行 2列，源：nan 备：</t>
        </is>
      </c>
    </row>
    <row r="1913">
      <c r="EH1913" s="0" t="inlineStr">
        <is>
          <t>104行 3列，源：nan 备：</t>
        </is>
      </c>
    </row>
    <row r="1914">
      <c r="EH1914" s="0" t="inlineStr">
        <is>
          <t>104行 4列，源：nan 备：</t>
        </is>
      </c>
    </row>
    <row r="1915">
      <c r="EH1915" s="0" t="inlineStr">
        <is>
          <t>104行 5列，源：None 备：</t>
        </is>
      </c>
    </row>
    <row r="1916">
      <c r="EH1916" s="0" t="inlineStr">
        <is>
          <t>104行 6列，源：None 备：</t>
        </is>
      </c>
    </row>
    <row r="1917">
      <c r="EH1917" s="0" t="inlineStr">
        <is>
          <t>104行 7列，源：None 备：</t>
        </is>
      </c>
    </row>
    <row r="1918">
      <c r="EH1918" s="0" t="inlineStr">
        <is>
          <t>104行 8列，源：None 备：</t>
        </is>
      </c>
    </row>
    <row r="1919">
      <c r="EH1919" s="0" t="inlineStr">
        <is>
          <t>104行 9列，源：None 备：</t>
        </is>
      </c>
    </row>
    <row r="1920">
      <c r="EH1920" s="0" t="inlineStr">
        <is>
          <t>104行 10列，源：None 备：</t>
        </is>
      </c>
    </row>
    <row r="1921">
      <c r="EH1921" s="0" t="inlineStr">
        <is>
          <t>104行 11列，源：None 备：</t>
        </is>
      </c>
    </row>
    <row r="1922">
      <c r="EH1922" s="0" t="inlineStr">
        <is>
          <t>104行 12列，源：None 备：</t>
        </is>
      </c>
    </row>
    <row r="1923">
      <c r="EH1923" s="0" t="inlineStr">
        <is>
          <t>104行 13列，源：None 备：</t>
        </is>
      </c>
    </row>
    <row r="1924">
      <c r="EH1924" s="0" t="inlineStr">
        <is>
          <t>104行 14列，源：None 备：</t>
        </is>
      </c>
    </row>
    <row r="1925">
      <c r="EH1925" s="0" t="inlineStr">
        <is>
          <t>104行 15列，源：nan 备：</t>
        </is>
      </c>
    </row>
    <row r="1926">
      <c r="EH1926" s="0" t="inlineStr">
        <is>
          <t>104行 16列，源：nan 备：</t>
        </is>
      </c>
    </row>
    <row r="1927">
      <c r="EH1927" s="0" t="inlineStr">
        <is>
          <t>104行 17列，源：None 备：</t>
        </is>
      </c>
    </row>
    <row r="1928">
      <c r="EH1928" s="0" t="inlineStr">
        <is>
          <t>104行 18列，源：None 备：</t>
        </is>
      </c>
    </row>
    <row r="1929">
      <c r="EH1929" s="0" t="inlineStr">
        <is>
          <t>104行 19列，源：None 备：</t>
        </is>
      </c>
    </row>
    <row r="1930">
      <c r="EH1930" s="0" t="inlineStr">
        <is>
          <t>105行 0列，源：256 备：312</t>
        </is>
      </c>
    </row>
    <row r="1931">
      <c r="EH1931" s="0" t="inlineStr">
        <is>
          <t>105行 1列，源：nan 备：</t>
        </is>
      </c>
    </row>
    <row r="1932">
      <c r="EH1932" s="0" t="inlineStr">
        <is>
          <t>105行 2列，源：nan 备：</t>
        </is>
      </c>
    </row>
    <row r="1933">
      <c r="EH1933" s="0" t="inlineStr">
        <is>
          <t>105行 3列，源：nan 备：</t>
        </is>
      </c>
    </row>
    <row r="1934">
      <c r="EH1934" s="0" t="inlineStr">
        <is>
          <t>105行 4列，源：nan 备：</t>
        </is>
      </c>
    </row>
    <row r="1935">
      <c r="EH1935" s="0" t="inlineStr">
        <is>
          <t>105行 5列，源：None 备：</t>
        </is>
      </c>
    </row>
    <row r="1936">
      <c r="EH1936" s="0" t="inlineStr">
        <is>
          <t>105行 6列，源：None 备：</t>
        </is>
      </c>
    </row>
    <row r="1937">
      <c r="EH1937" s="0" t="inlineStr">
        <is>
          <t>105行 7列，源：None 备：</t>
        </is>
      </c>
    </row>
    <row r="1938">
      <c r="EH1938" s="0" t="inlineStr">
        <is>
          <t>105行 8列，源：None 备：</t>
        </is>
      </c>
    </row>
    <row r="1939">
      <c r="EH1939" s="0" t="inlineStr">
        <is>
          <t>105行 9列，源：None 备：</t>
        </is>
      </c>
    </row>
    <row r="1940">
      <c r="EH1940" s="0" t="inlineStr">
        <is>
          <t>105行 10列，源：None 备：</t>
        </is>
      </c>
    </row>
    <row r="1941">
      <c r="EH1941" s="0" t="inlineStr">
        <is>
          <t>105行 11列，源：None 备：</t>
        </is>
      </c>
    </row>
    <row r="1942">
      <c r="EH1942" s="0" t="inlineStr">
        <is>
          <t>105行 12列，源：None 备：</t>
        </is>
      </c>
    </row>
    <row r="1943">
      <c r="EH1943" s="0" t="inlineStr">
        <is>
          <t>105行 13列，源：None 备：</t>
        </is>
      </c>
    </row>
    <row r="1944">
      <c r="EH1944" s="0" t="inlineStr">
        <is>
          <t>105行 14列，源：None 备：</t>
        </is>
      </c>
    </row>
    <row r="1945">
      <c r="EH1945" s="0" t="inlineStr">
        <is>
          <t>105行 15列，源：nan 备：</t>
        </is>
      </c>
    </row>
    <row r="1946">
      <c r="EH1946" s="0" t="inlineStr">
        <is>
          <t>105行 16列，源：nan 备：</t>
        </is>
      </c>
    </row>
    <row r="1947">
      <c r="EH1947" s="0" t="inlineStr">
        <is>
          <t>105行 17列，源：None 备：</t>
        </is>
      </c>
    </row>
    <row r="1948">
      <c r="EH1948" s="0" t="inlineStr">
        <is>
          <t>105行 18列，源：None 备：</t>
        </is>
      </c>
    </row>
    <row r="1949">
      <c r="EH1949" s="0" t="inlineStr">
        <is>
          <t>105行 19列，源：None 备：</t>
        </is>
      </c>
    </row>
    <row r="1950">
      <c r="EH1950" s="0" t="inlineStr">
        <is>
          <t>106行 0列，源：257 备：313</t>
        </is>
      </c>
    </row>
    <row r="1951">
      <c r="EH1951" s="0" t="inlineStr">
        <is>
          <t>106行 1列，源：nan 备：</t>
        </is>
      </c>
    </row>
    <row r="1952">
      <c r="EH1952" s="0" t="inlineStr">
        <is>
          <t>106行 2列，源：nan 备：</t>
        </is>
      </c>
    </row>
    <row r="1953">
      <c r="EH1953" s="0" t="inlineStr">
        <is>
          <t>106行 3列，源：nan 备：</t>
        </is>
      </c>
    </row>
    <row r="1954">
      <c r="EH1954" s="0" t="inlineStr">
        <is>
          <t>106行 4列，源：nan 备：</t>
        </is>
      </c>
    </row>
    <row r="1955">
      <c r="EH1955" s="0" t="inlineStr">
        <is>
          <t>106行 5列，源：None 备：</t>
        </is>
      </c>
    </row>
    <row r="1956">
      <c r="EH1956" s="0" t="inlineStr">
        <is>
          <t>106行 6列，源：None 备：</t>
        </is>
      </c>
    </row>
    <row r="1957">
      <c r="EH1957" s="0" t="inlineStr">
        <is>
          <t>106行 7列，源：None 备：</t>
        </is>
      </c>
    </row>
    <row r="1958">
      <c r="EH1958" s="0" t="inlineStr">
        <is>
          <t>106行 8列，源：None 备：</t>
        </is>
      </c>
    </row>
    <row r="1959">
      <c r="EH1959" s="0" t="inlineStr">
        <is>
          <t>106行 9列，源：None 备：</t>
        </is>
      </c>
    </row>
    <row r="1960">
      <c r="EH1960" s="0" t="inlineStr">
        <is>
          <t>106行 10列，源：None 备：</t>
        </is>
      </c>
    </row>
    <row r="1961">
      <c r="EH1961" s="0" t="inlineStr">
        <is>
          <t>106行 11列，源：None 备：</t>
        </is>
      </c>
    </row>
    <row r="1962">
      <c r="EH1962" s="0" t="inlineStr">
        <is>
          <t>106行 12列，源：None 备：</t>
        </is>
      </c>
    </row>
    <row r="1963">
      <c r="EH1963" s="0" t="inlineStr">
        <is>
          <t>106行 13列，源：None 备：</t>
        </is>
      </c>
    </row>
    <row r="1964">
      <c r="EH1964" s="0" t="inlineStr">
        <is>
          <t>106行 14列，源：None 备：</t>
        </is>
      </c>
    </row>
    <row r="1965">
      <c r="EH1965" s="0" t="inlineStr">
        <is>
          <t>106行 15列，源：nan 备：</t>
        </is>
      </c>
    </row>
    <row r="1966">
      <c r="EH1966" s="0" t="inlineStr">
        <is>
          <t>106行 16列，源：nan 备：</t>
        </is>
      </c>
    </row>
    <row r="1967">
      <c r="EH1967" s="0" t="inlineStr">
        <is>
          <t>106行 17列，源：None 备：</t>
        </is>
      </c>
    </row>
    <row r="1968">
      <c r="EH1968" s="0" t="inlineStr">
        <is>
          <t>106行 18列，源：None 备：</t>
        </is>
      </c>
    </row>
    <row r="1969">
      <c r="EH1969" s="0" t="inlineStr">
        <is>
          <t>106行 19列，源：None 备：</t>
        </is>
      </c>
    </row>
    <row r="1970">
      <c r="EH1970" s="0" t="inlineStr">
        <is>
          <t>107行 0列，源：258 备：314</t>
        </is>
      </c>
    </row>
    <row r="1971">
      <c r="EH1971" s="0" t="inlineStr">
        <is>
          <t>107行 1列，源：nan 备：</t>
        </is>
      </c>
    </row>
    <row r="1972">
      <c r="EH1972" s="0" t="inlineStr">
        <is>
          <t>107行 2列，源：nan 备：</t>
        </is>
      </c>
    </row>
    <row r="1973">
      <c r="EH1973" s="0" t="inlineStr">
        <is>
          <t>107行 3列，源：nan 备：</t>
        </is>
      </c>
    </row>
    <row r="1974">
      <c r="EH1974" s="0" t="inlineStr">
        <is>
          <t>107行 4列，源：nan 备：</t>
        </is>
      </c>
    </row>
    <row r="1975">
      <c r="EH1975" s="0" t="inlineStr">
        <is>
          <t>107行 5列，源：None 备：</t>
        </is>
      </c>
    </row>
    <row r="1976">
      <c r="EH1976" s="0" t="inlineStr">
        <is>
          <t>107行 6列，源：None 备：</t>
        </is>
      </c>
    </row>
    <row r="1977">
      <c r="EH1977" s="0" t="inlineStr">
        <is>
          <t>107行 7列，源：None 备：</t>
        </is>
      </c>
    </row>
    <row r="1978">
      <c r="EH1978" s="0" t="inlineStr">
        <is>
          <t>107行 8列，源：None 备：</t>
        </is>
      </c>
    </row>
    <row r="1979">
      <c r="EH1979" s="0" t="inlineStr">
        <is>
          <t>107行 9列，源：None 备：</t>
        </is>
      </c>
    </row>
    <row r="1980">
      <c r="EH1980" s="0" t="inlineStr">
        <is>
          <t>107行 10列，源：None 备：</t>
        </is>
      </c>
    </row>
    <row r="1981">
      <c r="EH1981" s="0" t="inlineStr">
        <is>
          <t>107行 11列，源：None 备：</t>
        </is>
      </c>
    </row>
    <row r="1982">
      <c r="EH1982" s="0" t="inlineStr">
        <is>
          <t>107行 12列，源：None 备：</t>
        </is>
      </c>
    </row>
    <row r="1983">
      <c r="EH1983" s="0" t="inlineStr">
        <is>
          <t>107行 13列，源：None 备：</t>
        </is>
      </c>
    </row>
    <row r="1984">
      <c r="EH1984" s="0" t="inlineStr">
        <is>
          <t>107行 14列，源：None 备：</t>
        </is>
      </c>
    </row>
    <row r="1985">
      <c r="EH1985" s="0" t="inlineStr">
        <is>
          <t>107行 15列，源：nan 备：</t>
        </is>
      </c>
    </row>
    <row r="1986">
      <c r="EH1986" s="0" t="inlineStr">
        <is>
          <t>107行 16列，源：nan 备：</t>
        </is>
      </c>
    </row>
    <row r="1987">
      <c r="EH1987" s="0" t="inlineStr">
        <is>
          <t>107行 17列，源：None 备：</t>
        </is>
      </c>
    </row>
    <row r="1988">
      <c r="EH1988" s="0" t="inlineStr">
        <is>
          <t>107行 18列，源：None 备：</t>
        </is>
      </c>
    </row>
    <row r="1989">
      <c r="EH1989" s="0" t="inlineStr">
        <is>
          <t>107行 19列，源：None 备：</t>
        </is>
      </c>
    </row>
    <row r="1990">
      <c r="EH1990" s="0" t="inlineStr">
        <is>
          <t>108行 0列，源：259 备：315</t>
        </is>
      </c>
    </row>
    <row r="1991">
      <c r="EH1991" s="0" t="inlineStr">
        <is>
          <t>108行 1列，源：nan 备：</t>
        </is>
      </c>
    </row>
    <row r="1992">
      <c r="EH1992" s="0" t="inlineStr">
        <is>
          <t>108行 2列，源：nan 备：</t>
        </is>
      </c>
    </row>
    <row r="1993">
      <c r="EH1993" s="0" t="inlineStr">
        <is>
          <t>108行 3列，源：nan 备：</t>
        </is>
      </c>
    </row>
    <row r="1994">
      <c r="EH1994" s="0" t="inlineStr">
        <is>
          <t>108行 4列，源：nan 备：</t>
        </is>
      </c>
    </row>
    <row r="1995">
      <c r="EH1995" s="0" t="inlineStr">
        <is>
          <t>108行 5列，源：None 备：</t>
        </is>
      </c>
    </row>
    <row r="1996">
      <c r="EH1996" s="0" t="inlineStr">
        <is>
          <t>108行 6列，源：None 备：</t>
        </is>
      </c>
    </row>
    <row r="1997">
      <c r="EH1997" s="0" t="inlineStr">
        <is>
          <t>108行 7列，源：None 备：</t>
        </is>
      </c>
    </row>
    <row r="1998">
      <c r="EH1998" s="0" t="inlineStr">
        <is>
          <t>108行 8列，源：None 备：</t>
        </is>
      </c>
    </row>
    <row r="1999">
      <c r="EH1999" s="0" t="inlineStr">
        <is>
          <t>108行 9列，源：None 备：</t>
        </is>
      </c>
    </row>
    <row r="2000">
      <c r="EH2000" s="0" t="inlineStr">
        <is>
          <t>108行 10列，源：None 备：</t>
        </is>
      </c>
    </row>
    <row r="2001">
      <c r="EH2001" s="0" t="inlineStr">
        <is>
          <t>108行 11列，源：None 备：</t>
        </is>
      </c>
    </row>
    <row r="2002">
      <c r="EH2002" s="0" t="inlineStr">
        <is>
          <t>108行 12列，源：None 备：</t>
        </is>
      </c>
    </row>
    <row r="2003">
      <c r="EH2003" s="0" t="inlineStr">
        <is>
          <t>108行 13列，源：None 备：</t>
        </is>
      </c>
    </row>
    <row r="2004">
      <c r="EH2004" s="0" t="inlineStr">
        <is>
          <t>108行 14列，源：None 备：</t>
        </is>
      </c>
    </row>
    <row r="2005">
      <c r="EH2005" s="0" t="inlineStr">
        <is>
          <t>108行 15列，源：nan 备：</t>
        </is>
      </c>
    </row>
    <row r="2006">
      <c r="EH2006" s="0" t="inlineStr">
        <is>
          <t>108行 16列，源：nan 备：</t>
        </is>
      </c>
    </row>
    <row r="2007">
      <c r="EH2007" s="0" t="inlineStr">
        <is>
          <t>108行 17列，源：None 备：</t>
        </is>
      </c>
    </row>
    <row r="2008">
      <c r="EH2008" s="0" t="inlineStr">
        <is>
          <t>108行 18列，源：None 备：</t>
        </is>
      </c>
    </row>
    <row r="2009">
      <c r="EH2009" s="0" t="inlineStr">
        <is>
          <t>108行 19列，源：None 备：</t>
        </is>
      </c>
    </row>
    <row r="2010">
      <c r="EH2010" s="0" t="inlineStr">
        <is>
          <t>109行 0列，源：260 备：316</t>
        </is>
      </c>
    </row>
    <row r="2011">
      <c r="EH2011" s="0" t="inlineStr">
        <is>
          <t>109行 1列，源：nan 备：</t>
        </is>
      </c>
    </row>
    <row r="2012">
      <c r="EH2012" s="0" t="inlineStr">
        <is>
          <t>109行 2列，源：nan 备：</t>
        </is>
      </c>
    </row>
    <row r="2013">
      <c r="EH2013" s="0" t="inlineStr">
        <is>
          <t>109行 3列，源：nan 备：</t>
        </is>
      </c>
    </row>
    <row r="2014">
      <c r="EH2014" s="0" t="inlineStr">
        <is>
          <t>109行 4列，源：nan 备：</t>
        </is>
      </c>
    </row>
    <row r="2015">
      <c r="EH2015" s="0" t="inlineStr">
        <is>
          <t>109行 5列，源：None 备：</t>
        </is>
      </c>
    </row>
    <row r="2016">
      <c r="EH2016" s="0" t="inlineStr">
        <is>
          <t>109行 6列，源：None 备：</t>
        </is>
      </c>
    </row>
    <row r="2017">
      <c r="EH2017" s="0" t="inlineStr">
        <is>
          <t>109行 7列，源：None 备：</t>
        </is>
      </c>
    </row>
    <row r="2018">
      <c r="EH2018" s="0" t="inlineStr">
        <is>
          <t>109行 8列，源：None 备：</t>
        </is>
      </c>
    </row>
    <row r="2019">
      <c r="EH2019" s="0" t="inlineStr">
        <is>
          <t>109行 9列，源：None 备：</t>
        </is>
      </c>
    </row>
    <row r="2020">
      <c r="EH2020" s="0" t="inlineStr">
        <is>
          <t>109行 10列，源：None 备：</t>
        </is>
      </c>
    </row>
    <row r="2021">
      <c r="EH2021" s="0" t="inlineStr">
        <is>
          <t>109行 11列，源：None 备：</t>
        </is>
      </c>
    </row>
    <row r="2022">
      <c r="EH2022" s="0" t="inlineStr">
        <is>
          <t>109行 12列，源：None 备：</t>
        </is>
      </c>
    </row>
    <row r="2023">
      <c r="EH2023" s="0" t="inlineStr">
        <is>
          <t>109行 13列，源：None 备：</t>
        </is>
      </c>
    </row>
    <row r="2024">
      <c r="EH2024" s="0" t="inlineStr">
        <is>
          <t>109行 14列，源：None 备：</t>
        </is>
      </c>
    </row>
    <row r="2025">
      <c r="EH2025" s="0" t="inlineStr">
        <is>
          <t>109行 15列，源：nan 备：</t>
        </is>
      </c>
    </row>
    <row r="2026">
      <c r="EH2026" s="0" t="inlineStr">
        <is>
          <t>109行 16列，源：nan 备：</t>
        </is>
      </c>
    </row>
    <row r="2027">
      <c r="EH2027" s="0" t="inlineStr">
        <is>
          <t>109行 17列，源：None 备：</t>
        </is>
      </c>
    </row>
    <row r="2028">
      <c r="EH2028" s="0" t="inlineStr">
        <is>
          <t>109行 18列，源：None 备：</t>
        </is>
      </c>
    </row>
    <row r="2029">
      <c r="EH2029" s="0" t="inlineStr">
        <is>
          <t>109行 19列，源：None 备：</t>
        </is>
      </c>
    </row>
    <row r="2030">
      <c r="EH2030" s="0" t="inlineStr">
        <is>
          <t>110行 0列，源：261 备：317</t>
        </is>
      </c>
    </row>
    <row r="2031">
      <c r="EH2031" s="0" t="inlineStr">
        <is>
          <t>110行 1列，源：nan 备：</t>
        </is>
      </c>
    </row>
    <row r="2032">
      <c r="EH2032" s="0" t="inlineStr">
        <is>
          <t>110行 2列，源：nan 备：</t>
        </is>
      </c>
    </row>
    <row r="2033">
      <c r="EH2033" s="0" t="inlineStr">
        <is>
          <t>110行 3列，源：nan 备：</t>
        </is>
      </c>
    </row>
    <row r="2034">
      <c r="EH2034" s="0" t="inlineStr">
        <is>
          <t>110行 4列，源：nan 备：</t>
        </is>
      </c>
    </row>
    <row r="2035">
      <c r="EH2035" s="0" t="inlineStr">
        <is>
          <t>110行 5列，源：None 备：</t>
        </is>
      </c>
    </row>
    <row r="2036">
      <c r="EH2036" s="0" t="inlineStr">
        <is>
          <t>110行 6列，源：None 备：</t>
        </is>
      </c>
    </row>
    <row r="2037">
      <c r="EH2037" s="0" t="inlineStr">
        <is>
          <t>110行 7列，源：None 备：</t>
        </is>
      </c>
    </row>
    <row r="2038">
      <c r="EH2038" s="0" t="inlineStr">
        <is>
          <t>110行 8列，源：None 备：</t>
        </is>
      </c>
    </row>
    <row r="2039">
      <c r="EH2039" s="0" t="inlineStr">
        <is>
          <t>110行 9列，源：None 备：</t>
        </is>
      </c>
    </row>
    <row r="2040">
      <c r="EH2040" s="0" t="inlineStr">
        <is>
          <t>110行 10列，源：None 备：</t>
        </is>
      </c>
    </row>
    <row r="2041">
      <c r="EH2041" s="0" t="inlineStr">
        <is>
          <t>110行 11列，源：None 备：</t>
        </is>
      </c>
    </row>
    <row r="2042">
      <c r="EH2042" s="0" t="inlineStr">
        <is>
          <t>110行 12列，源：None 备：</t>
        </is>
      </c>
    </row>
    <row r="2043">
      <c r="EH2043" s="0" t="inlineStr">
        <is>
          <t>110行 13列，源：None 备：</t>
        </is>
      </c>
    </row>
    <row r="2044">
      <c r="EH2044" s="0" t="inlineStr">
        <is>
          <t>110行 14列，源：None 备：</t>
        </is>
      </c>
    </row>
    <row r="2045">
      <c r="EH2045" s="0" t="inlineStr">
        <is>
          <t>110行 15列，源：nan 备：</t>
        </is>
      </c>
    </row>
    <row r="2046">
      <c r="EH2046" s="0" t="inlineStr">
        <is>
          <t>110行 16列，源：nan 备：</t>
        </is>
      </c>
    </row>
    <row r="2047">
      <c r="EH2047" s="0" t="inlineStr">
        <is>
          <t>110行 17列，源：None 备：</t>
        </is>
      </c>
    </row>
    <row r="2048">
      <c r="EH2048" s="0" t="inlineStr">
        <is>
          <t>110行 18列，源：None 备：</t>
        </is>
      </c>
    </row>
    <row r="2049">
      <c r="EH2049" s="0" t="inlineStr">
        <is>
          <t>110行 19列，源：None 备：</t>
        </is>
      </c>
    </row>
    <row r="2050">
      <c r="EH2050" s="0" t="inlineStr">
        <is>
          <t>111行 0列，源：262 备：318</t>
        </is>
      </c>
    </row>
    <row r="2051">
      <c r="EH2051" s="0" t="inlineStr">
        <is>
          <t>111行 1列，源：nan 备：</t>
        </is>
      </c>
    </row>
    <row r="2052">
      <c r="EH2052" s="0" t="inlineStr">
        <is>
          <t>111行 2列，源：nan 备：</t>
        </is>
      </c>
    </row>
    <row r="2053">
      <c r="EH2053" s="0" t="inlineStr">
        <is>
          <t>111行 3列，源：nan 备：</t>
        </is>
      </c>
    </row>
    <row r="2054">
      <c r="EH2054" s="0" t="inlineStr">
        <is>
          <t>111行 4列，源：nan 备：</t>
        </is>
      </c>
    </row>
    <row r="2055">
      <c r="EH2055" s="0" t="inlineStr">
        <is>
          <t>111行 5列，源：None 备：</t>
        </is>
      </c>
    </row>
    <row r="2056">
      <c r="EH2056" s="0" t="inlineStr">
        <is>
          <t>111行 6列，源：None 备：</t>
        </is>
      </c>
    </row>
    <row r="2057">
      <c r="EH2057" s="0" t="inlineStr">
        <is>
          <t>111行 7列，源：None 备：</t>
        </is>
      </c>
    </row>
    <row r="2058">
      <c r="EH2058" s="0" t="inlineStr">
        <is>
          <t>111行 8列，源：None 备：</t>
        </is>
      </c>
    </row>
    <row r="2059">
      <c r="EH2059" s="0" t="inlineStr">
        <is>
          <t>111行 9列，源：None 备：</t>
        </is>
      </c>
    </row>
    <row r="2060">
      <c r="EH2060" s="0" t="inlineStr">
        <is>
          <t>111行 10列，源：None 备：</t>
        </is>
      </c>
    </row>
    <row r="2061">
      <c r="EH2061" s="0" t="inlineStr">
        <is>
          <t>111行 11列，源：None 备：</t>
        </is>
      </c>
    </row>
    <row r="2062">
      <c r="EH2062" s="0" t="inlineStr">
        <is>
          <t>111行 12列，源：None 备：</t>
        </is>
      </c>
    </row>
    <row r="2063">
      <c r="EH2063" s="0" t="inlineStr">
        <is>
          <t>111行 13列，源：None 备：</t>
        </is>
      </c>
    </row>
    <row r="2064">
      <c r="EH2064" s="0" t="inlineStr">
        <is>
          <t>111行 14列，源：None 备：</t>
        </is>
      </c>
    </row>
    <row r="2065">
      <c r="EH2065" s="0" t="inlineStr">
        <is>
          <t>111行 15列，源：nan 备：</t>
        </is>
      </c>
    </row>
    <row r="2066">
      <c r="EH2066" s="0" t="inlineStr">
        <is>
          <t>111行 16列，源：nan 备：</t>
        </is>
      </c>
    </row>
    <row r="2067">
      <c r="EH2067" s="0" t="inlineStr">
        <is>
          <t>111行 17列，源：None 备：</t>
        </is>
      </c>
    </row>
    <row r="2068">
      <c r="EH2068" s="0" t="inlineStr">
        <is>
          <t>111行 18列，源：None 备：</t>
        </is>
      </c>
    </row>
    <row r="2069">
      <c r="EH2069" s="0" t="inlineStr">
        <is>
          <t>111行 19列，源：None 备：</t>
        </is>
      </c>
    </row>
    <row r="2070">
      <c r="EH2070" s="0" t="inlineStr">
        <is>
          <t>112行 0列，源：263 备：319</t>
        </is>
      </c>
    </row>
    <row r="2071">
      <c r="EH2071" s="0" t="inlineStr">
        <is>
          <t>112行 1列，源：nan 备：</t>
        </is>
      </c>
    </row>
    <row r="2072">
      <c r="EH2072" s="0" t="inlineStr">
        <is>
          <t>112行 2列，源：nan 备：</t>
        </is>
      </c>
    </row>
    <row r="2073">
      <c r="EH2073" s="0" t="inlineStr">
        <is>
          <t>112行 3列，源：nan 备：</t>
        </is>
      </c>
    </row>
    <row r="2074">
      <c r="EH2074" s="0" t="inlineStr">
        <is>
          <t>112行 4列，源：nan 备：</t>
        </is>
      </c>
    </row>
    <row r="2075">
      <c r="EH2075" s="0" t="inlineStr">
        <is>
          <t>112行 5列，源：None 备：</t>
        </is>
      </c>
    </row>
    <row r="2076">
      <c r="EH2076" s="0" t="inlineStr">
        <is>
          <t>112行 6列，源：None 备：</t>
        </is>
      </c>
    </row>
    <row r="2077">
      <c r="EH2077" s="0" t="inlineStr">
        <is>
          <t>112行 7列，源：None 备：</t>
        </is>
      </c>
    </row>
    <row r="2078">
      <c r="EH2078" s="0" t="inlineStr">
        <is>
          <t>112行 8列，源：None 备：</t>
        </is>
      </c>
    </row>
    <row r="2079">
      <c r="EH2079" s="0" t="inlineStr">
        <is>
          <t>112行 9列，源：None 备：</t>
        </is>
      </c>
    </row>
    <row r="2080">
      <c r="EH2080" s="0" t="inlineStr">
        <is>
          <t>112行 10列，源：None 备：</t>
        </is>
      </c>
    </row>
    <row r="2081">
      <c r="EH2081" s="0" t="inlineStr">
        <is>
          <t>112行 11列，源：None 备：</t>
        </is>
      </c>
    </row>
    <row r="2082">
      <c r="EH2082" s="0" t="inlineStr">
        <is>
          <t>112行 12列，源：None 备：</t>
        </is>
      </c>
    </row>
    <row r="2083">
      <c r="EH2083" s="0" t="inlineStr">
        <is>
          <t>112行 13列，源：None 备：</t>
        </is>
      </c>
    </row>
    <row r="2084">
      <c r="EH2084" s="0" t="inlineStr">
        <is>
          <t>112行 14列，源：None 备：</t>
        </is>
      </c>
    </row>
    <row r="2085">
      <c r="EH2085" s="0" t="inlineStr">
        <is>
          <t>112行 15列，源：nan 备：</t>
        </is>
      </c>
    </row>
    <row r="2086">
      <c r="EH2086" s="0" t="inlineStr">
        <is>
          <t>112行 16列，源：nan 备：</t>
        </is>
      </c>
    </row>
    <row r="2087">
      <c r="EH2087" s="0" t="inlineStr">
        <is>
          <t>112行 17列，源：None 备：</t>
        </is>
      </c>
    </row>
    <row r="2088">
      <c r="EH2088" s="0" t="inlineStr">
        <is>
          <t>112行 18列，源：None 备：</t>
        </is>
      </c>
    </row>
    <row r="2089">
      <c r="EH2089" s="0" t="inlineStr">
        <is>
          <t>112行 19列，源：None 备：</t>
        </is>
      </c>
    </row>
    <row r="2090">
      <c r="EH2090" s="0" t="inlineStr">
        <is>
          <t>113行 0列，源：264 备：320</t>
        </is>
      </c>
    </row>
    <row r="2091">
      <c r="EH2091" s="0" t="inlineStr">
        <is>
          <t>113行 1列，源：nan 备：</t>
        </is>
      </c>
    </row>
    <row r="2092">
      <c r="EH2092" s="0" t="inlineStr">
        <is>
          <t>113行 2列，源：nan 备：</t>
        </is>
      </c>
    </row>
    <row r="2093">
      <c r="EH2093" s="0" t="inlineStr">
        <is>
          <t>113行 3列，源：nan 备：</t>
        </is>
      </c>
    </row>
    <row r="2094">
      <c r="EH2094" s="0" t="inlineStr">
        <is>
          <t>113行 4列，源：nan 备：</t>
        </is>
      </c>
    </row>
    <row r="2095">
      <c r="EH2095" s="0" t="inlineStr">
        <is>
          <t>113行 5列，源：None 备：</t>
        </is>
      </c>
    </row>
    <row r="2096">
      <c r="EH2096" s="0" t="inlineStr">
        <is>
          <t>113行 6列，源：None 备：</t>
        </is>
      </c>
    </row>
    <row r="2097">
      <c r="EH2097" s="0" t="inlineStr">
        <is>
          <t>113行 7列，源：None 备：</t>
        </is>
      </c>
    </row>
    <row r="2098">
      <c r="EH2098" s="0" t="inlineStr">
        <is>
          <t>113行 8列，源：None 备：</t>
        </is>
      </c>
    </row>
    <row r="2099">
      <c r="EH2099" s="0" t="inlineStr">
        <is>
          <t>113行 9列，源：None 备：</t>
        </is>
      </c>
    </row>
    <row r="2100">
      <c r="EH2100" s="0" t="inlineStr">
        <is>
          <t>113行 10列，源：None 备：</t>
        </is>
      </c>
    </row>
    <row r="2101">
      <c r="EH2101" s="0" t="inlineStr">
        <is>
          <t>113行 11列，源：None 备：</t>
        </is>
      </c>
    </row>
    <row r="2102">
      <c r="EH2102" s="0" t="inlineStr">
        <is>
          <t>113行 12列，源：None 备：</t>
        </is>
      </c>
    </row>
    <row r="2103">
      <c r="EH2103" s="0" t="inlineStr">
        <is>
          <t>113行 13列，源：None 备：</t>
        </is>
      </c>
    </row>
    <row r="2104">
      <c r="EH2104" s="0" t="inlineStr">
        <is>
          <t>113行 14列，源：None 备：</t>
        </is>
      </c>
    </row>
    <row r="2105">
      <c r="EH2105" s="0" t="inlineStr">
        <is>
          <t>113行 15列，源：nan 备：</t>
        </is>
      </c>
    </row>
    <row r="2106">
      <c r="EH2106" s="0" t="inlineStr">
        <is>
          <t>113行 16列，源：nan 备：</t>
        </is>
      </c>
    </row>
    <row r="2107">
      <c r="EH2107" s="0" t="inlineStr">
        <is>
          <t>113行 17列，源：None 备：</t>
        </is>
      </c>
    </row>
    <row r="2108">
      <c r="EH2108" s="0" t="inlineStr">
        <is>
          <t>113行 18列，源：None 备：</t>
        </is>
      </c>
    </row>
    <row r="2109">
      <c r="EH2109" s="0" t="inlineStr">
        <is>
          <t>113行 19列，源：None 备：</t>
        </is>
      </c>
    </row>
    <row r="2110">
      <c r="EH2110" s="0" t="inlineStr">
        <is>
          <t>114行 0列，源：265 备：351</t>
        </is>
      </c>
    </row>
    <row r="2111">
      <c r="EH2111" s="0" t="inlineStr">
        <is>
          <t>114行 1列，源：nan 备：</t>
        </is>
      </c>
    </row>
    <row r="2112">
      <c r="EH2112" s="0" t="inlineStr">
        <is>
          <t>114行 2列，源：nan 备：</t>
        </is>
      </c>
    </row>
    <row r="2113">
      <c r="EH2113" s="0" t="inlineStr">
        <is>
          <t>114行 3列，源：nan 备：</t>
        </is>
      </c>
    </row>
    <row r="2114">
      <c r="EH2114" s="0" t="inlineStr">
        <is>
          <t>114行 4列，源：nan 备：</t>
        </is>
      </c>
    </row>
    <row r="2115">
      <c r="EH2115" s="0" t="inlineStr">
        <is>
          <t>114行 5列，源：None 备：</t>
        </is>
      </c>
    </row>
    <row r="2116">
      <c r="EH2116" s="0" t="inlineStr">
        <is>
          <t>114行 6列，源：None 备：</t>
        </is>
      </c>
    </row>
    <row r="2117">
      <c r="EH2117" s="0" t="inlineStr">
        <is>
          <t>114行 7列，源：None 备：</t>
        </is>
      </c>
    </row>
    <row r="2118">
      <c r="EH2118" s="0" t="inlineStr">
        <is>
          <t>114行 8列，源：None 备：</t>
        </is>
      </c>
    </row>
    <row r="2119">
      <c r="EH2119" s="0" t="inlineStr">
        <is>
          <t>114行 9列，源：None 备：</t>
        </is>
      </c>
    </row>
    <row r="2120">
      <c r="EH2120" s="0" t="inlineStr">
        <is>
          <t>114行 10列，源：None 备：</t>
        </is>
      </c>
    </row>
    <row r="2121">
      <c r="EH2121" s="0" t="inlineStr">
        <is>
          <t>114行 11列，源：None 备：</t>
        </is>
      </c>
    </row>
    <row r="2122">
      <c r="EH2122" s="0" t="inlineStr">
        <is>
          <t>114行 12列，源：None 备：</t>
        </is>
      </c>
    </row>
    <row r="2123">
      <c r="EH2123" s="0" t="inlineStr">
        <is>
          <t>114行 13列，源：None 备：</t>
        </is>
      </c>
    </row>
    <row r="2124">
      <c r="EH2124" s="0" t="inlineStr">
        <is>
          <t>114行 14列，源：None 备：</t>
        </is>
      </c>
    </row>
    <row r="2125">
      <c r="EH2125" s="0" t="inlineStr">
        <is>
          <t>114行 15列，源：nan 备：</t>
        </is>
      </c>
    </row>
    <row r="2126">
      <c r="EH2126" s="0" t="inlineStr">
        <is>
          <t>114行 16列，源：nan 备：</t>
        </is>
      </c>
    </row>
    <row r="2127">
      <c r="EH2127" s="0" t="inlineStr">
        <is>
          <t>114行 17列，源：None 备：</t>
        </is>
      </c>
    </row>
    <row r="2128">
      <c r="EH2128" s="0" t="inlineStr">
        <is>
          <t>114行 18列，源：None 备：</t>
        </is>
      </c>
    </row>
    <row r="2129">
      <c r="EH2129" s="0" t="inlineStr">
        <is>
          <t>114行 19列，源：None 备：</t>
        </is>
      </c>
    </row>
    <row r="2130">
      <c r="EH2130" s="0" t="inlineStr">
        <is>
          <t>115行 0列，源：266 备：352</t>
        </is>
      </c>
    </row>
    <row r="2131">
      <c r="EH2131" s="0" t="inlineStr">
        <is>
          <t>115行 1列，源：nan 备：</t>
        </is>
      </c>
    </row>
    <row r="2132">
      <c r="EH2132" s="0" t="inlineStr">
        <is>
          <t>115行 2列，源：nan 备：</t>
        </is>
      </c>
    </row>
    <row r="2133">
      <c r="EH2133" s="0" t="inlineStr">
        <is>
          <t>115行 3列，源：nan 备：</t>
        </is>
      </c>
    </row>
    <row r="2134">
      <c r="EH2134" s="0" t="inlineStr">
        <is>
          <t>115行 4列，源：nan 备：</t>
        </is>
      </c>
    </row>
    <row r="2135">
      <c r="EH2135" s="0" t="inlineStr">
        <is>
          <t>115行 5列，源：None 备：</t>
        </is>
      </c>
    </row>
    <row r="2136">
      <c r="EH2136" s="0" t="inlineStr">
        <is>
          <t>115行 6列，源：None 备：</t>
        </is>
      </c>
    </row>
    <row r="2137">
      <c r="EH2137" s="0" t="inlineStr">
        <is>
          <t>115行 7列，源：None 备：</t>
        </is>
      </c>
    </row>
    <row r="2138">
      <c r="EH2138" s="0" t="inlineStr">
        <is>
          <t>115行 8列，源：None 备：</t>
        </is>
      </c>
    </row>
    <row r="2139">
      <c r="EH2139" s="0" t="inlineStr">
        <is>
          <t>115行 9列，源：None 备：</t>
        </is>
      </c>
    </row>
    <row r="2140">
      <c r="EH2140" s="0" t="inlineStr">
        <is>
          <t>115行 10列，源：None 备：</t>
        </is>
      </c>
    </row>
    <row r="2141">
      <c r="EH2141" s="0" t="inlineStr">
        <is>
          <t>115行 11列，源：None 备：</t>
        </is>
      </c>
    </row>
    <row r="2142">
      <c r="EH2142" s="0" t="inlineStr">
        <is>
          <t>115行 12列，源：None 备：</t>
        </is>
      </c>
    </row>
    <row r="2143">
      <c r="EH2143" s="0" t="inlineStr">
        <is>
          <t>115行 13列，源：None 备：</t>
        </is>
      </c>
    </row>
    <row r="2144">
      <c r="EH2144" s="0" t="inlineStr">
        <is>
          <t>115行 14列，源：None 备：</t>
        </is>
      </c>
    </row>
    <row r="2145">
      <c r="EH2145" s="0" t="inlineStr">
        <is>
          <t>115行 15列，源：nan 备：</t>
        </is>
      </c>
    </row>
    <row r="2146">
      <c r="EH2146" s="0" t="inlineStr">
        <is>
          <t>115行 16列，源：nan 备：</t>
        </is>
      </c>
    </row>
    <row r="2147">
      <c r="EH2147" s="0" t="inlineStr">
        <is>
          <t>115行 17列，源：None 备：</t>
        </is>
      </c>
    </row>
    <row r="2148">
      <c r="EH2148" s="0" t="inlineStr">
        <is>
          <t>115行 18列，源：None 备：</t>
        </is>
      </c>
    </row>
    <row r="2149">
      <c r="EH2149" s="0" t="inlineStr">
        <is>
          <t>115行 19列，源：None 备：</t>
        </is>
      </c>
    </row>
    <row r="2150">
      <c r="EH2150" s="0" t="inlineStr">
        <is>
          <t>116行 0列，源：267 备：353</t>
        </is>
      </c>
    </row>
    <row r="2151">
      <c r="EH2151" s="0" t="inlineStr">
        <is>
          <t>116行 1列，源：nan 备：</t>
        </is>
      </c>
    </row>
    <row r="2152">
      <c r="EH2152" s="0" t="inlineStr">
        <is>
          <t>116行 2列，源：nan 备：</t>
        </is>
      </c>
    </row>
    <row r="2153">
      <c r="EH2153" s="0" t="inlineStr">
        <is>
          <t>116行 3列，源：nan 备：</t>
        </is>
      </c>
    </row>
    <row r="2154">
      <c r="EH2154" s="0" t="inlineStr">
        <is>
          <t>116行 4列，源：nan 备：</t>
        </is>
      </c>
    </row>
    <row r="2155">
      <c r="EH2155" s="0" t="inlineStr">
        <is>
          <t>116行 5列，源：None 备：</t>
        </is>
      </c>
    </row>
    <row r="2156">
      <c r="EH2156" s="0" t="inlineStr">
        <is>
          <t>116行 6列，源：None 备：</t>
        </is>
      </c>
    </row>
    <row r="2157">
      <c r="EH2157" s="0" t="inlineStr">
        <is>
          <t>116行 7列，源：None 备：</t>
        </is>
      </c>
    </row>
    <row r="2158">
      <c r="EH2158" s="0" t="inlineStr">
        <is>
          <t>116行 8列，源：None 备：</t>
        </is>
      </c>
    </row>
    <row r="2159">
      <c r="EH2159" s="0" t="inlineStr">
        <is>
          <t>116行 9列，源：None 备：</t>
        </is>
      </c>
    </row>
    <row r="2160">
      <c r="EH2160" s="0" t="inlineStr">
        <is>
          <t>116行 10列，源：None 备：</t>
        </is>
      </c>
    </row>
    <row r="2161">
      <c r="EH2161" s="0" t="inlineStr">
        <is>
          <t>116行 11列，源：None 备：</t>
        </is>
      </c>
    </row>
    <row r="2162">
      <c r="EH2162" s="0" t="inlineStr">
        <is>
          <t>116行 12列，源：None 备：</t>
        </is>
      </c>
    </row>
    <row r="2163">
      <c r="EH2163" s="0" t="inlineStr">
        <is>
          <t>116行 13列，源：None 备：</t>
        </is>
      </c>
    </row>
    <row r="2164">
      <c r="EH2164" s="0" t="inlineStr">
        <is>
          <t>116行 14列，源：None 备：</t>
        </is>
      </c>
    </row>
    <row r="2165">
      <c r="EH2165" s="0" t="inlineStr">
        <is>
          <t>116行 15列，源：nan 备：</t>
        </is>
      </c>
    </row>
    <row r="2166">
      <c r="EH2166" s="0" t="inlineStr">
        <is>
          <t>116行 16列，源：nan 备：</t>
        </is>
      </c>
    </row>
    <row r="2167">
      <c r="EH2167" s="0" t="inlineStr">
        <is>
          <t>116行 17列，源：None 备：</t>
        </is>
      </c>
    </row>
    <row r="2168">
      <c r="EH2168" s="0" t="inlineStr">
        <is>
          <t>116行 18列，源：None 备：</t>
        </is>
      </c>
    </row>
    <row r="2169">
      <c r="EH2169" s="0" t="inlineStr">
        <is>
          <t>116行 19列，源：None 备：</t>
        </is>
      </c>
    </row>
    <row r="2170">
      <c r="EH2170" s="0" t="inlineStr">
        <is>
          <t>117行 0列，源：268 备：354</t>
        </is>
      </c>
    </row>
    <row r="2171">
      <c r="EH2171" s="0" t="inlineStr">
        <is>
          <t>117行 1列，源：nan 备：</t>
        </is>
      </c>
    </row>
    <row r="2172">
      <c r="EH2172" s="0" t="inlineStr">
        <is>
          <t>117行 2列，源：nan 备：</t>
        </is>
      </c>
    </row>
    <row r="2173">
      <c r="EH2173" s="0" t="inlineStr">
        <is>
          <t>117行 3列，源：nan 备：</t>
        </is>
      </c>
    </row>
    <row r="2174">
      <c r="EH2174" s="0" t="inlineStr">
        <is>
          <t>117行 4列，源：nan 备：</t>
        </is>
      </c>
    </row>
    <row r="2175">
      <c r="EH2175" s="0" t="inlineStr">
        <is>
          <t>117行 5列，源：None 备：</t>
        </is>
      </c>
    </row>
    <row r="2176">
      <c r="EH2176" s="0" t="inlineStr">
        <is>
          <t>117行 6列，源：None 备：</t>
        </is>
      </c>
    </row>
    <row r="2177">
      <c r="EH2177" s="0" t="inlineStr">
        <is>
          <t>117行 7列，源：None 备：</t>
        </is>
      </c>
    </row>
    <row r="2178">
      <c r="EH2178" s="0" t="inlineStr">
        <is>
          <t>117行 8列，源：None 备：</t>
        </is>
      </c>
    </row>
    <row r="2179">
      <c r="EH2179" s="0" t="inlineStr">
        <is>
          <t>117行 9列，源：None 备：</t>
        </is>
      </c>
    </row>
    <row r="2180">
      <c r="EH2180" s="0" t="inlineStr">
        <is>
          <t>117行 10列，源：None 备：</t>
        </is>
      </c>
    </row>
    <row r="2181">
      <c r="EH2181" s="0" t="inlineStr">
        <is>
          <t>117行 11列，源：None 备：</t>
        </is>
      </c>
    </row>
    <row r="2182">
      <c r="EH2182" s="0" t="inlineStr">
        <is>
          <t>117行 12列，源：None 备：</t>
        </is>
      </c>
    </row>
    <row r="2183">
      <c r="EH2183" s="0" t="inlineStr">
        <is>
          <t>117行 13列，源：None 备：</t>
        </is>
      </c>
    </row>
    <row r="2184">
      <c r="EH2184" s="0" t="inlineStr">
        <is>
          <t>117行 14列，源：None 备：</t>
        </is>
      </c>
    </row>
    <row r="2185">
      <c r="EH2185" s="0" t="inlineStr">
        <is>
          <t>117行 15列，源：nan 备：</t>
        </is>
      </c>
    </row>
    <row r="2186">
      <c r="EH2186" s="0" t="inlineStr">
        <is>
          <t>117行 16列，源：nan 备：</t>
        </is>
      </c>
    </row>
    <row r="2187">
      <c r="EH2187" s="0" t="inlineStr">
        <is>
          <t>117行 17列，源：None 备：</t>
        </is>
      </c>
    </row>
    <row r="2188">
      <c r="EH2188" s="0" t="inlineStr">
        <is>
          <t>117行 18列，源：None 备：</t>
        </is>
      </c>
    </row>
    <row r="2189">
      <c r="EH2189" s="0" t="inlineStr">
        <is>
          <t>117行 19列，源：None 备：</t>
        </is>
      </c>
    </row>
    <row r="2190">
      <c r="EH2190" s="0" t="inlineStr">
        <is>
          <t>118行 0列，源：269 备：355</t>
        </is>
      </c>
    </row>
    <row r="2191">
      <c r="EH2191" s="0" t="inlineStr">
        <is>
          <t>118行 1列，源：nan 备：</t>
        </is>
      </c>
    </row>
    <row r="2192">
      <c r="EH2192" s="0" t="inlineStr">
        <is>
          <t>118行 2列，源：nan 备：</t>
        </is>
      </c>
    </row>
    <row r="2193">
      <c r="EH2193" s="0" t="inlineStr">
        <is>
          <t>118行 3列，源：nan 备：</t>
        </is>
      </c>
    </row>
    <row r="2194">
      <c r="EH2194" s="0" t="inlineStr">
        <is>
          <t>118行 4列，源：nan 备：</t>
        </is>
      </c>
    </row>
    <row r="2195">
      <c r="EH2195" s="0" t="inlineStr">
        <is>
          <t>118行 5列，源：None 备：</t>
        </is>
      </c>
    </row>
    <row r="2196">
      <c r="EH2196" s="0" t="inlineStr">
        <is>
          <t>118行 6列，源：None 备：</t>
        </is>
      </c>
    </row>
    <row r="2197">
      <c r="EH2197" s="0" t="inlineStr">
        <is>
          <t>118行 7列，源：None 备：</t>
        </is>
      </c>
    </row>
    <row r="2198">
      <c r="EH2198" s="0" t="inlineStr">
        <is>
          <t>118行 8列，源：None 备：</t>
        </is>
      </c>
    </row>
    <row r="2199">
      <c r="EH2199" s="0" t="inlineStr">
        <is>
          <t>118行 9列，源：None 备：</t>
        </is>
      </c>
    </row>
    <row r="2200">
      <c r="EH2200" s="0" t="inlineStr">
        <is>
          <t>118行 10列，源：None 备：</t>
        </is>
      </c>
    </row>
    <row r="2201">
      <c r="EH2201" s="0" t="inlineStr">
        <is>
          <t>118行 11列，源：None 备：</t>
        </is>
      </c>
    </row>
    <row r="2202">
      <c r="EH2202" s="0" t="inlineStr">
        <is>
          <t>118行 12列，源：None 备：</t>
        </is>
      </c>
    </row>
    <row r="2203">
      <c r="EH2203" s="0" t="inlineStr">
        <is>
          <t>118行 13列，源：None 备：</t>
        </is>
      </c>
    </row>
    <row r="2204">
      <c r="EH2204" s="0" t="inlineStr">
        <is>
          <t>118行 14列，源：None 备：</t>
        </is>
      </c>
    </row>
    <row r="2205">
      <c r="EH2205" s="0" t="inlineStr">
        <is>
          <t>118行 15列，源：nan 备：</t>
        </is>
      </c>
    </row>
    <row r="2206">
      <c r="EH2206" s="0" t="inlineStr">
        <is>
          <t>118行 16列，源：nan 备：</t>
        </is>
      </c>
    </row>
    <row r="2207">
      <c r="EH2207" s="0" t="inlineStr">
        <is>
          <t>118行 17列，源：None 备：</t>
        </is>
      </c>
    </row>
    <row r="2208">
      <c r="EH2208" s="0" t="inlineStr">
        <is>
          <t>118行 18列，源：None 备：</t>
        </is>
      </c>
    </row>
    <row r="2209">
      <c r="EH2209" s="0" t="inlineStr">
        <is>
          <t>118行 19列，源：None 备：</t>
        </is>
      </c>
    </row>
    <row r="2210">
      <c r="EH2210" s="0" t="inlineStr">
        <is>
          <t>119行 0列，源：270 备：356</t>
        </is>
      </c>
    </row>
    <row r="2211">
      <c r="EH2211" s="0" t="inlineStr">
        <is>
          <t>119行 1列，源：nan 备：</t>
        </is>
      </c>
    </row>
    <row r="2212">
      <c r="EH2212" s="0" t="inlineStr">
        <is>
          <t>119行 2列，源：nan 备：</t>
        </is>
      </c>
    </row>
    <row r="2213">
      <c r="EH2213" s="0" t="inlineStr">
        <is>
          <t>119行 3列，源：nan 备：</t>
        </is>
      </c>
    </row>
    <row r="2214">
      <c r="EH2214" s="0" t="inlineStr">
        <is>
          <t>119行 4列，源：nan 备：</t>
        </is>
      </c>
    </row>
    <row r="2215">
      <c r="EH2215" s="0" t="inlineStr">
        <is>
          <t>119行 5列，源：None 备：</t>
        </is>
      </c>
    </row>
    <row r="2216">
      <c r="EH2216" s="0" t="inlineStr">
        <is>
          <t>119行 6列，源：None 备：</t>
        </is>
      </c>
    </row>
    <row r="2217">
      <c r="EH2217" s="0" t="inlineStr">
        <is>
          <t>119行 7列，源：None 备：</t>
        </is>
      </c>
    </row>
    <row r="2218">
      <c r="EH2218" s="0" t="inlineStr">
        <is>
          <t>119行 8列，源：None 备：</t>
        </is>
      </c>
    </row>
    <row r="2219">
      <c r="EH2219" s="0" t="inlineStr">
        <is>
          <t>119行 9列，源：None 备：</t>
        </is>
      </c>
    </row>
    <row r="2220">
      <c r="EH2220" s="0" t="inlineStr">
        <is>
          <t>119行 10列，源：None 备：</t>
        </is>
      </c>
    </row>
    <row r="2221">
      <c r="EH2221" s="0" t="inlineStr">
        <is>
          <t>119行 11列，源：None 备：</t>
        </is>
      </c>
    </row>
    <row r="2222">
      <c r="EH2222" s="0" t="inlineStr">
        <is>
          <t>119行 12列，源：None 备：</t>
        </is>
      </c>
    </row>
    <row r="2223">
      <c r="EH2223" s="0" t="inlineStr">
        <is>
          <t>119行 13列，源：None 备：</t>
        </is>
      </c>
    </row>
    <row r="2224">
      <c r="EH2224" s="0" t="inlineStr">
        <is>
          <t>119行 14列，源：None 备：</t>
        </is>
      </c>
    </row>
    <row r="2225">
      <c r="EH2225" s="0" t="inlineStr">
        <is>
          <t>119行 15列，源：nan 备：</t>
        </is>
      </c>
    </row>
    <row r="2226">
      <c r="EH2226" s="0" t="inlineStr">
        <is>
          <t>119行 16列，源：nan 备：</t>
        </is>
      </c>
    </row>
    <row r="2227">
      <c r="EH2227" s="0" t="inlineStr">
        <is>
          <t>119行 17列，源：None 备：</t>
        </is>
      </c>
    </row>
    <row r="2228">
      <c r="EH2228" s="0" t="inlineStr">
        <is>
          <t>119行 18列，源：None 备：</t>
        </is>
      </c>
    </row>
    <row r="2229">
      <c r="EH2229" s="0" t="inlineStr">
        <is>
          <t>119行 19列，源：None 备：</t>
        </is>
      </c>
    </row>
    <row r="2230">
      <c r="EH2230" s="0" t="inlineStr">
        <is>
          <t>120行 0列，源：301 备：357</t>
        </is>
      </c>
    </row>
    <row r="2231">
      <c r="EH2231" s="0" t="inlineStr">
        <is>
          <t>120行 1列，源：nan 备：</t>
        </is>
      </c>
    </row>
    <row r="2232">
      <c r="EH2232" s="0" t="inlineStr">
        <is>
          <t>120行 2列，源：nan 备：</t>
        </is>
      </c>
    </row>
    <row r="2233">
      <c r="EH2233" s="0" t="inlineStr">
        <is>
          <t>120行 3列，源：nan 备：</t>
        </is>
      </c>
    </row>
    <row r="2234">
      <c r="EH2234" s="0" t="inlineStr">
        <is>
          <t>120行 4列，源：nan 备：</t>
        </is>
      </c>
    </row>
    <row r="2235">
      <c r="EH2235" s="0" t="inlineStr">
        <is>
          <t>120行 5列，源：None 备：</t>
        </is>
      </c>
    </row>
    <row r="2236">
      <c r="EH2236" s="0" t="inlineStr">
        <is>
          <t>120行 6列，源：None 备：</t>
        </is>
      </c>
    </row>
    <row r="2237">
      <c r="EH2237" s="0" t="inlineStr">
        <is>
          <t>120行 7列，源：None 备：</t>
        </is>
      </c>
    </row>
    <row r="2238">
      <c r="EH2238" s="0" t="inlineStr">
        <is>
          <t>120行 8列，源：None 备：</t>
        </is>
      </c>
    </row>
    <row r="2239">
      <c r="EH2239" s="0" t="inlineStr">
        <is>
          <t>120行 9列，源：None 备：</t>
        </is>
      </c>
    </row>
    <row r="2240">
      <c r="EH2240" s="0" t="inlineStr">
        <is>
          <t>120行 10列，源：None 备：</t>
        </is>
      </c>
    </row>
    <row r="2241">
      <c r="EH2241" s="0" t="inlineStr">
        <is>
          <t>120行 11列，源：None 备：</t>
        </is>
      </c>
    </row>
    <row r="2242">
      <c r="EH2242" s="0" t="inlineStr">
        <is>
          <t>120行 12列，源：None 备：</t>
        </is>
      </c>
    </row>
    <row r="2243">
      <c r="EH2243" s="0" t="inlineStr">
        <is>
          <t>120行 13列，源：None 备：</t>
        </is>
      </c>
    </row>
    <row r="2244">
      <c r="EH2244" s="0" t="inlineStr">
        <is>
          <t>120行 14列，源：None 备：</t>
        </is>
      </c>
    </row>
    <row r="2245">
      <c r="EH2245" s="0" t="inlineStr">
        <is>
          <t>120行 15列，源：nan 备：</t>
        </is>
      </c>
    </row>
    <row r="2246">
      <c r="EH2246" s="0" t="inlineStr">
        <is>
          <t>120行 16列，源：nan 备：</t>
        </is>
      </c>
    </row>
    <row r="2247">
      <c r="EH2247" s="0" t="inlineStr">
        <is>
          <t>120行 17列，源：None 备：</t>
        </is>
      </c>
    </row>
    <row r="2248">
      <c r="EH2248" s="0" t="inlineStr">
        <is>
          <t>120行 18列，源：None 备：</t>
        </is>
      </c>
    </row>
    <row r="2249">
      <c r="EH2249" s="0" t="inlineStr">
        <is>
          <t>120行 19列，源：None 备：</t>
        </is>
      </c>
    </row>
    <row r="2250">
      <c r="EH2250" s="0" t="inlineStr">
        <is>
          <t>121行 0列，源：302 备：358</t>
        </is>
      </c>
    </row>
    <row r="2251">
      <c r="EH2251" s="0" t="inlineStr">
        <is>
          <t>121行 1列，源：nan 备：</t>
        </is>
      </c>
    </row>
    <row r="2252">
      <c r="EH2252" s="0" t="inlineStr">
        <is>
          <t>121行 2列，源：nan 备：</t>
        </is>
      </c>
    </row>
    <row r="2253">
      <c r="EH2253" s="0" t="inlineStr">
        <is>
          <t>121行 3列，源：nan 备：</t>
        </is>
      </c>
    </row>
    <row r="2254">
      <c r="EH2254" s="0" t="inlineStr">
        <is>
          <t>121行 4列，源：nan 备：</t>
        </is>
      </c>
    </row>
    <row r="2255">
      <c r="EH2255" s="0" t="inlineStr">
        <is>
          <t>121行 5列，源：None 备：</t>
        </is>
      </c>
    </row>
    <row r="2256">
      <c r="EH2256" s="0" t="inlineStr">
        <is>
          <t>121行 6列，源：None 备：</t>
        </is>
      </c>
    </row>
    <row r="2257">
      <c r="EH2257" s="0" t="inlineStr">
        <is>
          <t>121行 7列，源：None 备：</t>
        </is>
      </c>
    </row>
    <row r="2258">
      <c r="EH2258" s="0" t="inlineStr">
        <is>
          <t>121行 8列，源：None 备：</t>
        </is>
      </c>
    </row>
    <row r="2259">
      <c r="EH2259" s="0" t="inlineStr">
        <is>
          <t>121行 9列，源：None 备：</t>
        </is>
      </c>
    </row>
    <row r="2260">
      <c r="EH2260" s="0" t="inlineStr">
        <is>
          <t>121行 10列，源：None 备：</t>
        </is>
      </c>
    </row>
    <row r="2261">
      <c r="EH2261" s="0" t="inlineStr">
        <is>
          <t>121行 11列，源：None 备：</t>
        </is>
      </c>
    </row>
    <row r="2262">
      <c r="EH2262" s="0" t="inlineStr">
        <is>
          <t>121行 12列，源：None 备：</t>
        </is>
      </c>
    </row>
    <row r="2263">
      <c r="EH2263" s="0" t="inlineStr">
        <is>
          <t>121行 13列，源：None 备：</t>
        </is>
      </c>
    </row>
    <row r="2264">
      <c r="EH2264" s="0" t="inlineStr">
        <is>
          <t>121行 14列，源：None 备：</t>
        </is>
      </c>
    </row>
    <row r="2265">
      <c r="EH2265" s="0" t="inlineStr">
        <is>
          <t>121行 15列，源：nan 备：</t>
        </is>
      </c>
    </row>
    <row r="2266">
      <c r="EH2266" s="0" t="inlineStr">
        <is>
          <t>121行 16列，源：nan 备：</t>
        </is>
      </c>
    </row>
    <row r="2267">
      <c r="EH2267" s="0" t="inlineStr">
        <is>
          <t>121行 17列，源：None 备：</t>
        </is>
      </c>
    </row>
    <row r="2268">
      <c r="EH2268" s="0" t="inlineStr">
        <is>
          <t>121行 18列，源：None 备：</t>
        </is>
      </c>
    </row>
    <row r="2269">
      <c r="EH2269" s="0" t="inlineStr">
        <is>
          <t>121行 19列，源：None 备：</t>
        </is>
      </c>
    </row>
    <row r="2270">
      <c r="EH2270" s="0" t="inlineStr">
        <is>
          <t>122行 0列，源：303 备：359</t>
        </is>
      </c>
    </row>
    <row r="2271">
      <c r="EH2271" s="0" t="inlineStr">
        <is>
          <t>122行 1列，源：nan 备：</t>
        </is>
      </c>
    </row>
    <row r="2272">
      <c r="EH2272" s="0" t="inlineStr">
        <is>
          <t>122行 2列，源：nan 备：</t>
        </is>
      </c>
    </row>
    <row r="2273">
      <c r="EH2273" s="0" t="inlineStr">
        <is>
          <t>122行 3列，源：nan 备：</t>
        </is>
      </c>
    </row>
    <row r="2274">
      <c r="EH2274" s="0" t="inlineStr">
        <is>
          <t>122行 4列，源：nan 备：</t>
        </is>
      </c>
    </row>
    <row r="2275">
      <c r="EH2275" s="0" t="inlineStr">
        <is>
          <t>122行 5列，源：None 备：</t>
        </is>
      </c>
    </row>
    <row r="2276">
      <c r="EH2276" s="0" t="inlineStr">
        <is>
          <t>122行 6列，源：None 备：</t>
        </is>
      </c>
    </row>
    <row r="2277">
      <c r="EH2277" s="0" t="inlineStr">
        <is>
          <t>122行 7列，源：None 备：</t>
        </is>
      </c>
    </row>
    <row r="2278">
      <c r="EH2278" s="0" t="inlineStr">
        <is>
          <t>122行 8列，源：None 备：</t>
        </is>
      </c>
    </row>
    <row r="2279">
      <c r="EH2279" s="0" t="inlineStr">
        <is>
          <t>122行 9列，源：None 备：</t>
        </is>
      </c>
    </row>
    <row r="2280">
      <c r="EH2280" s="0" t="inlineStr">
        <is>
          <t>122行 10列，源：None 备：</t>
        </is>
      </c>
    </row>
    <row r="2281">
      <c r="EH2281" s="0" t="inlineStr">
        <is>
          <t>122行 11列，源：None 备：</t>
        </is>
      </c>
    </row>
    <row r="2282">
      <c r="EH2282" s="0" t="inlineStr">
        <is>
          <t>122行 12列，源：None 备：</t>
        </is>
      </c>
    </row>
    <row r="2283">
      <c r="EH2283" s="0" t="inlineStr">
        <is>
          <t>122行 13列，源：None 备：</t>
        </is>
      </c>
    </row>
    <row r="2284">
      <c r="EH2284" s="0" t="inlineStr">
        <is>
          <t>122行 14列，源：None 备：</t>
        </is>
      </c>
    </row>
    <row r="2285">
      <c r="EH2285" s="0" t="inlineStr">
        <is>
          <t>122行 15列，源：nan 备：</t>
        </is>
      </c>
    </row>
    <row r="2286">
      <c r="EH2286" s="0" t="inlineStr">
        <is>
          <t>122行 16列，源：nan 备：</t>
        </is>
      </c>
    </row>
    <row r="2287">
      <c r="EH2287" s="0" t="inlineStr">
        <is>
          <t>122行 17列，源：None 备：</t>
        </is>
      </c>
    </row>
    <row r="2288">
      <c r="EH2288" s="0" t="inlineStr">
        <is>
          <t>122行 18列，源：None 备：</t>
        </is>
      </c>
    </row>
    <row r="2289">
      <c r="EH2289" s="0" t="inlineStr">
        <is>
          <t>122行 19列，源：None 备：</t>
        </is>
      </c>
    </row>
    <row r="2290">
      <c r="EH2290" s="0" t="inlineStr">
        <is>
          <t>123行 0列，源：304 备：360</t>
        </is>
      </c>
    </row>
    <row r="2291">
      <c r="EH2291" s="0" t="inlineStr">
        <is>
          <t>123行 1列，源：nan 备：</t>
        </is>
      </c>
    </row>
    <row r="2292">
      <c r="EH2292" s="0" t="inlineStr">
        <is>
          <t>123行 2列，源：nan 备：</t>
        </is>
      </c>
    </row>
    <row r="2293">
      <c r="EH2293" s="0" t="inlineStr">
        <is>
          <t>123行 3列，源：nan 备：</t>
        </is>
      </c>
    </row>
    <row r="2294">
      <c r="EH2294" s="0" t="inlineStr">
        <is>
          <t>123行 4列，源：nan 备：</t>
        </is>
      </c>
    </row>
    <row r="2295">
      <c r="EH2295" s="0" t="inlineStr">
        <is>
          <t>123行 5列，源：None 备：</t>
        </is>
      </c>
    </row>
    <row r="2296">
      <c r="EH2296" s="0" t="inlineStr">
        <is>
          <t>123行 6列，源：None 备：</t>
        </is>
      </c>
    </row>
    <row r="2297">
      <c r="EH2297" s="0" t="inlineStr">
        <is>
          <t>123行 7列，源：None 备：</t>
        </is>
      </c>
    </row>
    <row r="2298">
      <c r="EH2298" s="0" t="inlineStr">
        <is>
          <t>123行 8列，源：None 备：</t>
        </is>
      </c>
    </row>
    <row r="2299">
      <c r="EH2299" s="0" t="inlineStr">
        <is>
          <t>123行 9列，源：None 备：</t>
        </is>
      </c>
    </row>
    <row r="2300">
      <c r="EH2300" s="0" t="inlineStr">
        <is>
          <t>123行 10列，源：None 备：</t>
        </is>
      </c>
    </row>
    <row r="2301">
      <c r="EH2301" s="0" t="inlineStr">
        <is>
          <t>123行 11列，源：None 备：</t>
        </is>
      </c>
    </row>
    <row r="2302">
      <c r="EH2302" s="0" t="inlineStr">
        <is>
          <t>123行 12列，源：None 备：</t>
        </is>
      </c>
    </row>
    <row r="2303">
      <c r="EH2303" s="0" t="inlineStr">
        <is>
          <t>123行 13列，源：None 备：</t>
        </is>
      </c>
    </row>
    <row r="2304">
      <c r="EH2304" s="0" t="inlineStr">
        <is>
          <t>123行 14列，源：None 备：</t>
        </is>
      </c>
    </row>
    <row r="2305">
      <c r="EH2305" s="0" t="inlineStr">
        <is>
          <t>123行 15列，源：nan 备：</t>
        </is>
      </c>
    </row>
    <row r="2306">
      <c r="EH2306" s="0" t="inlineStr">
        <is>
          <t>123行 16列，源：nan 备：</t>
        </is>
      </c>
    </row>
    <row r="2307">
      <c r="EH2307" s="0" t="inlineStr">
        <is>
          <t>123行 17列，源：None 备：</t>
        </is>
      </c>
    </row>
    <row r="2308">
      <c r="EH2308" s="0" t="inlineStr">
        <is>
          <t>123行 18列，源：None 备：</t>
        </is>
      </c>
    </row>
    <row r="2309">
      <c r="EH2309" s="0" t="inlineStr">
        <is>
          <t>123行 19列，源：None 备：</t>
        </is>
      </c>
    </row>
    <row r="2310">
      <c r="EH2310" s="0" t="inlineStr">
        <is>
          <t>124行 0列，源：305 备：361</t>
        </is>
      </c>
    </row>
    <row r="2311">
      <c r="EH2311" s="0" t="inlineStr">
        <is>
          <t>124行 1列，源：nan 备：</t>
        </is>
      </c>
    </row>
    <row r="2312">
      <c r="EH2312" s="0" t="inlineStr">
        <is>
          <t>124行 2列，源：nan 备：</t>
        </is>
      </c>
    </row>
    <row r="2313">
      <c r="EH2313" s="0" t="inlineStr">
        <is>
          <t>124行 3列，源：nan 备：</t>
        </is>
      </c>
    </row>
    <row r="2314">
      <c r="EH2314" s="0" t="inlineStr">
        <is>
          <t>124行 4列，源：nan 备：</t>
        </is>
      </c>
    </row>
    <row r="2315">
      <c r="EH2315" s="0" t="inlineStr">
        <is>
          <t>124行 5列，源：None 备：</t>
        </is>
      </c>
    </row>
    <row r="2316">
      <c r="EH2316" s="0" t="inlineStr">
        <is>
          <t>124行 6列，源：None 备：</t>
        </is>
      </c>
    </row>
    <row r="2317">
      <c r="EH2317" s="0" t="inlineStr">
        <is>
          <t>124行 7列，源：None 备：</t>
        </is>
      </c>
    </row>
    <row r="2318">
      <c r="EH2318" s="0" t="inlineStr">
        <is>
          <t>124行 8列，源：None 备：</t>
        </is>
      </c>
    </row>
    <row r="2319">
      <c r="EH2319" s="0" t="inlineStr">
        <is>
          <t>124行 9列，源：None 备：</t>
        </is>
      </c>
    </row>
    <row r="2320">
      <c r="EH2320" s="0" t="inlineStr">
        <is>
          <t>124行 10列，源：None 备：</t>
        </is>
      </c>
    </row>
    <row r="2321">
      <c r="EH2321" s="0" t="inlineStr">
        <is>
          <t>124行 11列，源：None 备：</t>
        </is>
      </c>
    </row>
    <row r="2322">
      <c r="EH2322" s="0" t="inlineStr">
        <is>
          <t>124行 12列，源：None 备：</t>
        </is>
      </c>
    </row>
    <row r="2323">
      <c r="EH2323" s="0" t="inlineStr">
        <is>
          <t>124行 13列，源：None 备：</t>
        </is>
      </c>
    </row>
    <row r="2324">
      <c r="EH2324" s="0" t="inlineStr">
        <is>
          <t>124行 14列，源：None 备：</t>
        </is>
      </c>
    </row>
    <row r="2325">
      <c r="EH2325" s="0" t="inlineStr">
        <is>
          <t>124行 15列，源：nan 备：</t>
        </is>
      </c>
    </row>
    <row r="2326">
      <c r="EH2326" s="0" t="inlineStr">
        <is>
          <t>124行 16列，源：nan 备：</t>
        </is>
      </c>
    </row>
    <row r="2327">
      <c r="EH2327" s="0" t="inlineStr">
        <is>
          <t>124行 17列，源：None 备：</t>
        </is>
      </c>
    </row>
    <row r="2328">
      <c r="EH2328" s="0" t="inlineStr">
        <is>
          <t>124行 18列，源：None 备：</t>
        </is>
      </c>
    </row>
    <row r="2329">
      <c r="EH2329" s="0" t="inlineStr">
        <is>
          <t>124行 19列，源：None 备：</t>
        </is>
      </c>
    </row>
    <row r="2330">
      <c r="EH2330" s="0" t="inlineStr">
        <is>
          <t>125行 0列，源：306 备：362</t>
        </is>
      </c>
    </row>
    <row r="2331">
      <c r="EH2331" s="0" t="inlineStr">
        <is>
          <t>125行 1列，源：nan 备：</t>
        </is>
      </c>
    </row>
    <row r="2332">
      <c r="EH2332" s="0" t="inlineStr">
        <is>
          <t>125行 2列，源：nan 备：</t>
        </is>
      </c>
    </row>
    <row r="2333">
      <c r="EH2333" s="0" t="inlineStr">
        <is>
          <t>125行 3列，源：nan 备：</t>
        </is>
      </c>
    </row>
    <row r="2334">
      <c r="EH2334" s="0" t="inlineStr">
        <is>
          <t>125行 4列，源：nan 备：</t>
        </is>
      </c>
    </row>
    <row r="2335">
      <c r="EH2335" s="0" t="inlineStr">
        <is>
          <t>125行 5列，源：None 备：</t>
        </is>
      </c>
    </row>
    <row r="2336">
      <c r="EH2336" s="0" t="inlineStr">
        <is>
          <t>125行 6列，源：None 备：</t>
        </is>
      </c>
    </row>
    <row r="2337">
      <c r="EH2337" s="0" t="inlineStr">
        <is>
          <t>125行 7列，源：None 备：</t>
        </is>
      </c>
    </row>
    <row r="2338">
      <c r="EH2338" s="0" t="inlineStr">
        <is>
          <t>125行 8列，源：None 备：</t>
        </is>
      </c>
    </row>
    <row r="2339">
      <c r="EH2339" s="0" t="inlineStr">
        <is>
          <t>125行 9列，源：None 备：</t>
        </is>
      </c>
    </row>
    <row r="2340">
      <c r="EH2340" s="0" t="inlineStr">
        <is>
          <t>125行 10列，源：None 备：</t>
        </is>
      </c>
    </row>
    <row r="2341">
      <c r="EH2341" s="0" t="inlineStr">
        <is>
          <t>125行 11列，源：None 备：</t>
        </is>
      </c>
    </row>
    <row r="2342">
      <c r="EH2342" s="0" t="inlineStr">
        <is>
          <t>125行 12列，源：None 备：</t>
        </is>
      </c>
    </row>
    <row r="2343">
      <c r="EH2343" s="0" t="inlineStr">
        <is>
          <t>125行 13列，源：None 备：</t>
        </is>
      </c>
    </row>
    <row r="2344">
      <c r="EH2344" s="0" t="inlineStr">
        <is>
          <t>125行 14列，源：None 备：</t>
        </is>
      </c>
    </row>
    <row r="2345">
      <c r="EH2345" s="0" t="inlineStr">
        <is>
          <t>125行 15列，源：nan 备：</t>
        </is>
      </c>
    </row>
    <row r="2346">
      <c r="EH2346" s="0" t="inlineStr">
        <is>
          <t>125行 16列，源：nan 备：</t>
        </is>
      </c>
    </row>
    <row r="2347">
      <c r="EH2347" s="0" t="inlineStr">
        <is>
          <t>125行 17列，源：None 备：</t>
        </is>
      </c>
    </row>
    <row r="2348">
      <c r="EH2348" s="0" t="inlineStr">
        <is>
          <t>125行 18列，源：None 备：</t>
        </is>
      </c>
    </row>
    <row r="2349">
      <c r="EH2349" s="0" t="inlineStr">
        <is>
          <t>125行 19列，源：None 备：</t>
        </is>
      </c>
    </row>
    <row r="2350">
      <c r="EH2350" s="0" t="inlineStr">
        <is>
          <t>126行 0列，源：307 备：363</t>
        </is>
      </c>
    </row>
    <row r="2351">
      <c r="EH2351" s="0" t="inlineStr">
        <is>
          <t>126行 1列，源：nan 备：</t>
        </is>
      </c>
    </row>
    <row r="2352">
      <c r="EH2352" s="0" t="inlineStr">
        <is>
          <t>126行 2列，源：nan 备：</t>
        </is>
      </c>
    </row>
    <row r="2353">
      <c r="EH2353" s="0" t="inlineStr">
        <is>
          <t>126行 3列，源：nan 备：</t>
        </is>
      </c>
    </row>
    <row r="2354">
      <c r="EH2354" s="0" t="inlineStr">
        <is>
          <t>126行 4列，源：nan 备：</t>
        </is>
      </c>
    </row>
    <row r="2355">
      <c r="EH2355" s="0" t="inlineStr">
        <is>
          <t>126行 5列，源：None 备：</t>
        </is>
      </c>
    </row>
    <row r="2356">
      <c r="EH2356" s="0" t="inlineStr">
        <is>
          <t>126行 6列，源：None 备：</t>
        </is>
      </c>
    </row>
    <row r="2357">
      <c r="EH2357" s="0" t="inlineStr">
        <is>
          <t>126行 7列，源：None 备：</t>
        </is>
      </c>
    </row>
    <row r="2358">
      <c r="EH2358" s="0" t="inlineStr">
        <is>
          <t>126行 8列，源：None 备：</t>
        </is>
      </c>
    </row>
    <row r="2359">
      <c r="EH2359" s="0" t="inlineStr">
        <is>
          <t>126行 9列，源：None 备：</t>
        </is>
      </c>
    </row>
    <row r="2360">
      <c r="EH2360" s="0" t="inlineStr">
        <is>
          <t>126行 10列，源：None 备：</t>
        </is>
      </c>
    </row>
    <row r="2361">
      <c r="EH2361" s="0" t="inlineStr">
        <is>
          <t>126行 11列，源：None 备：</t>
        </is>
      </c>
    </row>
    <row r="2362">
      <c r="EH2362" s="0" t="inlineStr">
        <is>
          <t>126行 12列，源：None 备：</t>
        </is>
      </c>
    </row>
    <row r="2363">
      <c r="EH2363" s="0" t="inlineStr">
        <is>
          <t>126行 13列，源：None 备：</t>
        </is>
      </c>
    </row>
    <row r="2364">
      <c r="EH2364" s="0" t="inlineStr">
        <is>
          <t>126行 14列，源：None 备：</t>
        </is>
      </c>
    </row>
    <row r="2365">
      <c r="EH2365" s="0" t="inlineStr">
        <is>
          <t>126行 15列，源：nan 备：</t>
        </is>
      </c>
    </row>
    <row r="2366">
      <c r="EH2366" s="0" t="inlineStr">
        <is>
          <t>126行 16列，源：nan 备：</t>
        </is>
      </c>
    </row>
    <row r="2367">
      <c r="EH2367" s="0" t="inlineStr">
        <is>
          <t>126行 17列，源：None 备：</t>
        </is>
      </c>
    </row>
    <row r="2368">
      <c r="EH2368" s="0" t="inlineStr">
        <is>
          <t>126行 18列，源：None 备：</t>
        </is>
      </c>
    </row>
    <row r="2369">
      <c r="EH2369" s="0" t="inlineStr">
        <is>
          <t>126行 19列，源：None 备：</t>
        </is>
      </c>
    </row>
    <row r="2370">
      <c r="EH2370" s="0" t="inlineStr">
        <is>
          <t>127行 0列，源：308 备：364</t>
        </is>
      </c>
    </row>
    <row r="2371">
      <c r="EH2371" s="0" t="inlineStr">
        <is>
          <t>127行 1列，源：nan 备：</t>
        </is>
      </c>
    </row>
    <row r="2372">
      <c r="EH2372" s="0" t="inlineStr">
        <is>
          <t>127行 2列，源：nan 备：</t>
        </is>
      </c>
    </row>
    <row r="2373">
      <c r="EH2373" s="0" t="inlineStr">
        <is>
          <t>127行 3列，源：nan 备：</t>
        </is>
      </c>
    </row>
    <row r="2374">
      <c r="EH2374" s="0" t="inlineStr">
        <is>
          <t>127行 4列，源：nan 备：</t>
        </is>
      </c>
    </row>
    <row r="2375">
      <c r="EH2375" s="0" t="inlineStr">
        <is>
          <t>127行 5列，源：None 备：</t>
        </is>
      </c>
    </row>
    <row r="2376">
      <c r="EH2376" s="0" t="inlineStr">
        <is>
          <t>127行 6列，源：None 备：</t>
        </is>
      </c>
    </row>
    <row r="2377">
      <c r="EH2377" s="0" t="inlineStr">
        <is>
          <t>127行 7列，源：None 备：</t>
        </is>
      </c>
    </row>
    <row r="2378">
      <c r="EH2378" s="0" t="inlineStr">
        <is>
          <t>127行 8列，源：None 备：</t>
        </is>
      </c>
    </row>
    <row r="2379">
      <c r="EH2379" s="0" t="inlineStr">
        <is>
          <t>127行 9列，源：None 备：</t>
        </is>
      </c>
    </row>
    <row r="2380">
      <c r="EH2380" s="0" t="inlineStr">
        <is>
          <t>127行 10列，源：None 备：</t>
        </is>
      </c>
    </row>
    <row r="2381">
      <c r="EH2381" s="0" t="inlineStr">
        <is>
          <t>127行 11列，源：None 备：</t>
        </is>
      </c>
    </row>
    <row r="2382">
      <c r="EH2382" s="0" t="inlineStr">
        <is>
          <t>127行 12列，源：None 备：</t>
        </is>
      </c>
    </row>
    <row r="2383">
      <c r="EH2383" s="0" t="inlineStr">
        <is>
          <t>127行 13列，源：None 备：</t>
        </is>
      </c>
    </row>
    <row r="2384">
      <c r="EH2384" s="0" t="inlineStr">
        <is>
          <t>127行 14列，源：None 备：</t>
        </is>
      </c>
    </row>
    <row r="2385">
      <c r="EH2385" s="0" t="inlineStr">
        <is>
          <t>127行 15列，源：nan 备：</t>
        </is>
      </c>
    </row>
    <row r="2386">
      <c r="EH2386" s="0" t="inlineStr">
        <is>
          <t>127行 16列，源：nan 备：</t>
        </is>
      </c>
    </row>
    <row r="2387">
      <c r="EH2387" s="0" t="inlineStr">
        <is>
          <t>127行 17列，源：None 备：</t>
        </is>
      </c>
    </row>
    <row r="2388">
      <c r="EH2388" s="0" t="inlineStr">
        <is>
          <t>127行 18列，源：None 备：</t>
        </is>
      </c>
    </row>
    <row r="2389">
      <c r="EH2389" s="0" t="inlineStr">
        <is>
          <t>127行 19列，源：None 备：</t>
        </is>
      </c>
    </row>
    <row r="2390">
      <c r="EH2390" s="0" t="inlineStr">
        <is>
          <t>128行 0列，源：309 备：365</t>
        </is>
      </c>
    </row>
    <row r="2391">
      <c r="EH2391" s="0" t="inlineStr">
        <is>
          <t>128行 1列，源：nan 备：</t>
        </is>
      </c>
    </row>
    <row r="2392">
      <c r="EH2392" s="0" t="inlineStr">
        <is>
          <t>128行 2列，源：nan 备：</t>
        </is>
      </c>
    </row>
    <row r="2393">
      <c r="EH2393" s="0" t="inlineStr">
        <is>
          <t>128行 3列，源：nan 备：</t>
        </is>
      </c>
    </row>
    <row r="2394">
      <c r="EH2394" s="0" t="inlineStr">
        <is>
          <t>128行 4列，源：nan 备：</t>
        </is>
      </c>
    </row>
    <row r="2395">
      <c r="EH2395" s="0" t="inlineStr">
        <is>
          <t>128行 5列，源：None 备：</t>
        </is>
      </c>
    </row>
    <row r="2396">
      <c r="EH2396" s="0" t="inlineStr">
        <is>
          <t>128行 6列，源：None 备：</t>
        </is>
      </c>
    </row>
    <row r="2397">
      <c r="EH2397" s="0" t="inlineStr">
        <is>
          <t>128行 7列，源：None 备：</t>
        </is>
      </c>
    </row>
    <row r="2398">
      <c r="EH2398" s="0" t="inlineStr">
        <is>
          <t>128行 8列，源：None 备：</t>
        </is>
      </c>
    </row>
    <row r="2399">
      <c r="EH2399" s="0" t="inlineStr">
        <is>
          <t>128行 9列，源：None 备：</t>
        </is>
      </c>
    </row>
    <row r="2400">
      <c r="EH2400" s="0" t="inlineStr">
        <is>
          <t>128行 10列，源：None 备：</t>
        </is>
      </c>
    </row>
    <row r="2401">
      <c r="EH2401" s="0" t="inlineStr">
        <is>
          <t>128行 11列，源：None 备：</t>
        </is>
      </c>
    </row>
    <row r="2402">
      <c r="EH2402" s="0" t="inlineStr">
        <is>
          <t>128行 12列，源：None 备：</t>
        </is>
      </c>
    </row>
    <row r="2403">
      <c r="EH2403" s="0" t="inlineStr">
        <is>
          <t>128行 13列，源：None 备：</t>
        </is>
      </c>
    </row>
    <row r="2404">
      <c r="EH2404" s="0" t="inlineStr">
        <is>
          <t>128行 14列，源：None 备：</t>
        </is>
      </c>
    </row>
    <row r="2405">
      <c r="EH2405" s="0" t="inlineStr">
        <is>
          <t>128行 15列，源：nan 备：</t>
        </is>
      </c>
    </row>
    <row r="2406">
      <c r="EH2406" s="0" t="inlineStr">
        <is>
          <t>128行 16列，源：nan 备：</t>
        </is>
      </c>
    </row>
    <row r="2407">
      <c r="EH2407" s="0" t="inlineStr">
        <is>
          <t>128行 17列，源：None 备：</t>
        </is>
      </c>
    </row>
    <row r="2408">
      <c r="EH2408" s="0" t="inlineStr">
        <is>
          <t>128行 18列，源：None 备：</t>
        </is>
      </c>
    </row>
    <row r="2409">
      <c r="EH2409" s="0" t="inlineStr">
        <is>
          <t>128行 19列，源：None 备：</t>
        </is>
      </c>
    </row>
    <row r="2410">
      <c r="EH2410" s="0" t="inlineStr">
        <is>
          <t>129行 0列，源：310 备：366</t>
        </is>
      </c>
    </row>
    <row r="2411">
      <c r="EH2411" s="0" t="inlineStr">
        <is>
          <t>129行 1列，源：nan 备：</t>
        </is>
      </c>
    </row>
    <row r="2412">
      <c r="EH2412" s="0" t="inlineStr">
        <is>
          <t>129行 2列，源：nan 备：</t>
        </is>
      </c>
    </row>
    <row r="2413">
      <c r="EH2413" s="0" t="inlineStr">
        <is>
          <t>129行 3列，源：nan 备：</t>
        </is>
      </c>
    </row>
    <row r="2414">
      <c r="EH2414" s="0" t="inlineStr">
        <is>
          <t>129行 4列，源：nan 备：</t>
        </is>
      </c>
    </row>
    <row r="2415">
      <c r="EH2415" s="0" t="inlineStr">
        <is>
          <t>129行 5列，源：None 备：</t>
        </is>
      </c>
    </row>
    <row r="2416">
      <c r="EH2416" s="0" t="inlineStr">
        <is>
          <t>129行 6列，源：None 备：</t>
        </is>
      </c>
    </row>
    <row r="2417">
      <c r="EH2417" s="0" t="inlineStr">
        <is>
          <t>129行 7列，源：None 备：</t>
        </is>
      </c>
    </row>
    <row r="2418">
      <c r="EH2418" s="0" t="inlineStr">
        <is>
          <t>129行 8列，源：None 备：</t>
        </is>
      </c>
    </row>
    <row r="2419">
      <c r="EH2419" s="0" t="inlineStr">
        <is>
          <t>129行 9列，源：None 备：</t>
        </is>
      </c>
    </row>
    <row r="2420">
      <c r="EH2420" s="0" t="inlineStr">
        <is>
          <t>129行 10列，源：None 备：</t>
        </is>
      </c>
    </row>
    <row r="2421">
      <c r="EH2421" s="0" t="inlineStr">
        <is>
          <t>129行 11列，源：None 备：</t>
        </is>
      </c>
    </row>
    <row r="2422">
      <c r="EH2422" s="0" t="inlineStr">
        <is>
          <t>129行 12列，源：None 备：</t>
        </is>
      </c>
    </row>
    <row r="2423">
      <c r="EH2423" s="0" t="inlineStr">
        <is>
          <t>129行 13列，源：None 备：</t>
        </is>
      </c>
    </row>
    <row r="2424">
      <c r="EH2424" s="0" t="inlineStr">
        <is>
          <t>129行 14列，源：None 备：</t>
        </is>
      </c>
    </row>
    <row r="2425">
      <c r="EH2425" s="0" t="inlineStr">
        <is>
          <t>129行 15列，源：nan 备：</t>
        </is>
      </c>
    </row>
    <row r="2426">
      <c r="EH2426" s="0" t="inlineStr">
        <is>
          <t>129行 16列，源：nan 备：</t>
        </is>
      </c>
    </row>
    <row r="2427">
      <c r="EH2427" s="0" t="inlineStr">
        <is>
          <t>129行 17列，源：None 备：</t>
        </is>
      </c>
    </row>
    <row r="2428">
      <c r="EH2428" s="0" t="inlineStr">
        <is>
          <t>129行 18列，源：None 备：</t>
        </is>
      </c>
    </row>
    <row r="2429">
      <c r="EH2429" s="0" t="inlineStr">
        <is>
          <t>129行 19列，源：None 备：</t>
        </is>
      </c>
    </row>
    <row r="2430">
      <c r="EH2430" s="0" t="inlineStr">
        <is>
          <t>130行 0列，源：311 备：367</t>
        </is>
      </c>
    </row>
    <row r="2431">
      <c r="EH2431" s="0" t="inlineStr">
        <is>
          <t>130行 1列，源：nan 备：</t>
        </is>
      </c>
    </row>
    <row r="2432">
      <c r="EH2432" s="0" t="inlineStr">
        <is>
          <t>130行 2列，源：nan 备：</t>
        </is>
      </c>
    </row>
    <row r="2433">
      <c r="EH2433" s="0" t="inlineStr">
        <is>
          <t>130行 3列，源：nan 备：</t>
        </is>
      </c>
    </row>
    <row r="2434">
      <c r="EH2434" s="0" t="inlineStr">
        <is>
          <t>130行 4列，源：nan 备：</t>
        </is>
      </c>
    </row>
    <row r="2435">
      <c r="EH2435" s="0" t="inlineStr">
        <is>
          <t>130行 5列，源：None 备：</t>
        </is>
      </c>
    </row>
    <row r="2436">
      <c r="EH2436" s="0" t="inlineStr">
        <is>
          <t>130行 6列，源：None 备：</t>
        </is>
      </c>
    </row>
    <row r="2437">
      <c r="EH2437" s="0" t="inlineStr">
        <is>
          <t>130行 7列，源：None 备：</t>
        </is>
      </c>
    </row>
    <row r="2438">
      <c r="EH2438" s="0" t="inlineStr">
        <is>
          <t>130行 8列，源：None 备：</t>
        </is>
      </c>
    </row>
    <row r="2439">
      <c r="EH2439" s="0" t="inlineStr">
        <is>
          <t>130行 9列，源：None 备：</t>
        </is>
      </c>
    </row>
    <row r="2440">
      <c r="EH2440" s="0" t="inlineStr">
        <is>
          <t>130行 10列，源：None 备：</t>
        </is>
      </c>
    </row>
    <row r="2441">
      <c r="EH2441" s="0" t="inlineStr">
        <is>
          <t>130行 11列，源：None 备：</t>
        </is>
      </c>
    </row>
    <row r="2442">
      <c r="EH2442" s="0" t="inlineStr">
        <is>
          <t>130行 12列，源：None 备：</t>
        </is>
      </c>
    </row>
    <row r="2443">
      <c r="EH2443" s="0" t="inlineStr">
        <is>
          <t>130行 13列，源：None 备：</t>
        </is>
      </c>
    </row>
    <row r="2444">
      <c r="EH2444" s="0" t="inlineStr">
        <is>
          <t>130行 14列，源：None 备：</t>
        </is>
      </c>
    </row>
    <row r="2445">
      <c r="EH2445" s="0" t="inlineStr">
        <is>
          <t>130行 15列，源：nan 备：</t>
        </is>
      </c>
    </row>
    <row r="2446">
      <c r="EH2446" s="0" t="inlineStr">
        <is>
          <t>130行 16列，源：nan 备：</t>
        </is>
      </c>
    </row>
    <row r="2447">
      <c r="EH2447" s="0" t="inlineStr">
        <is>
          <t>130行 17列，源：None 备：</t>
        </is>
      </c>
    </row>
    <row r="2448">
      <c r="EH2448" s="0" t="inlineStr">
        <is>
          <t>130行 18列，源：None 备：</t>
        </is>
      </c>
    </row>
    <row r="2449">
      <c r="EH2449" s="0" t="inlineStr">
        <is>
          <t>130行 19列，源：None 备：</t>
        </is>
      </c>
    </row>
    <row r="2450">
      <c r="EH2450" s="0" t="inlineStr">
        <is>
          <t>131行 0列，源：312 备：368</t>
        </is>
      </c>
    </row>
    <row r="2451">
      <c r="EH2451" s="0" t="inlineStr">
        <is>
          <t>131行 1列，源：nan 备：</t>
        </is>
      </c>
    </row>
    <row r="2452">
      <c r="EH2452" s="0" t="inlineStr">
        <is>
          <t>131行 2列，源：nan 备：</t>
        </is>
      </c>
    </row>
    <row r="2453">
      <c r="EH2453" s="0" t="inlineStr">
        <is>
          <t>131行 3列，源：nan 备：</t>
        </is>
      </c>
    </row>
    <row r="2454">
      <c r="EH2454" s="0" t="inlineStr">
        <is>
          <t>131行 4列，源：nan 备：</t>
        </is>
      </c>
    </row>
    <row r="2455">
      <c r="EH2455" s="0" t="inlineStr">
        <is>
          <t>131行 5列，源：None 备：</t>
        </is>
      </c>
    </row>
    <row r="2456">
      <c r="EH2456" s="0" t="inlineStr">
        <is>
          <t>131行 6列，源：None 备：</t>
        </is>
      </c>
    </row>
    <row r="2457">
      <c r="EH2457" s="0" t="inlineStr">
        <is>
          <t>131行 7列，源：None 备：</t>
        </is>
      </c>
    </row>
    <row r="2458">
      <c r="EH2458" s="0" t="inlineStr">
        <is>
          <t>131行 8列，源：None 备：</t>
        </is>
      </c>
    </row>
    <row r="2459">
      <c r="EH2459" s="0" t="inlineStr">
        <is>
          <t>131行 9列，源：None 备：</t>
        </is>
      </c>
    </row>
    <row r="2460">
      <c r="EH2460" s="0" t="inlineStr">
        <is>
          <t>131行 10列，源：None 备：</t>
        </is>
      </c>
    </row>
    <row r="2461">
      <c r="EH2461" s="0" t="inlineStr">
        <is>
          <t>131行 11列，源：None 备：</t>
        </is>
      </c>
    </row>
    <row r="2462">
      <c r="EH2462" s="0" t="inlineStr">
        <is>
          <t>131行 12列，源：None 备：</t>
        </is>
      </c>
    </row>
    <row r="2463">
      <c r="EH2463" s="0" t="inlineStr">
        <is>
          <t>131行 13列，源：None 备：</t>
        </is>
      </c>
    </row>
    <row r="2464">
      <c r="EH2464" s="0" t="inlineStr">
        <is>
          <t>131行 14列，源：None 备：</t>
        </is>
      </c>
    </row>
    <row r="2465">
      <c r="EH2465" s="0" t="inlineStr">
        <is>
          <t>131行 15列，源：nan 备：</t>
        </is>
      </c>
    </row>
    <row r="2466">
      <c r="EH2466" s="0" t="inlineStr">
        <is>
          <t>131行 16列，源：nan 备：</t>
        </is>
      </c>
    </row>
    <row r="2467">
      <c r="EH2467" s="0" t="inlineStr">
        <is>
          <t>131行 17列，源：None 备：</t>
        </is>
      </c>
    </row>
    <row r="2468">
      <c r="EH2468" s="0" t="inlineStr">
        <is>
          <t>131行 18列，源：None 备：</t>
        </is>
      </c>
    </row>
    <row r="2469">
      <c r="EH2469" s="0" t="inlineStr">
        <is>
          <t>131行 19列，源：None 备：</t>
        </is>
      </c>
    </row>
    <row r="2470">
      <c r="EH2470" s="0" t="inlineStr">
        <is>
          <t>132行 0列，源：313 备：369</t>
        </is>
      </c>
    </row>
    <row r="2471">
      <c r="EH2471" s="0" t="inlineStr">
        <is>
          <t>132行 1列，源：nan 备：</t>
        </is>
      </c>
    </row>
    <row r="2472">
      <c r="EH2472" s="0" t="inlineStr">
        <is>
          <t>132行 2列，源：nan 备：</t>
        </is>
      </c>
    </row>
    <row r="2473">
      <c r="EH2473" s="0" t="inlineStr">
        <is>
          <t>132行 3列，源：nan 备：</t>
        </is>
      </c>
    </row>
    <row r="2474">
      <c r="EH2474" s="0" t="inlineStr">
        <is>
          <t>132行 4列，源：nan 备：</t>
        </is>
      </c>
    </row>
    <row r="2475">
      <c r="EH2475" s="0" t="inlineStr">
        <is>
          <t>132行 5列，源：None 备：</t>
        </is>
      </c>
    </row>
    <row r="2476">
      <c r="EH2476" s="0" t="inlineStr">
        <is>
          <t>132行 6列，源：None 备：</t>
        </is>
      </c>
    </row>
    <row r="2477">
      <c r="EH2477" s="0" t="inlineStr">
        <is>
          <t>132行 7列，源：None 备：</t>
        </is>
      </c>
    </row>
    <row r="2478">
      <c r="EH2478" s="0" t="inlineStr">
        <is>
          <t>132行 8列，源：None 备：</t>
        </is>
      </c>
    </row>
    <row r="2479">
      <c r="EH2479" s="0" t="inlineStr">
        <is>
          <t>132行 9列，源：None 备：</t>
        </is>
      </c>
    </row>
    <row r="2480">
      <c r="EH2480" s="0" t="inlineStr">
        <is>
          <t>132行 10列，源：None 备：</t>
        </is>
      </c>
    </row>
    <row r="2481">
      <c r="EH2481" s="0" t="inlineStr">
        <is>
          <t>132行 11列，源：None 备：</t>
        </is>
      </c>
    </row>
    <row r="2482">
      <c r="EH2482" s="0" t="inlineStr">
        <is>
          <t>132行 12列，源：None 备：</t>
        </is>
      </c>
    </row>
    <row r="2483">
      <c r="EH2483" s="0" t="inlineStr">
        <is>
          <t>132行 13列，源：None 备：</t>
        </is>
      </c>
    </row>
    <row r="2484">
      <c r="EH2484" s="0" t="inlineStr">
        <is>
          <t>132行 14列，源：None 备：</t>
        </is>
      </c>
    </row>
    <row r="2485">
      <c r="EH2485" s="0" t="inlineStr">
        <is>
          <t>132行 15列，源：nan 备：</t>
        </is>
      </c>
    </row>
    <row r="2486">
      <c r="EH2486" s="0" t="inlineStr">
        <is>
          <t>132行 16列，源：nan 备：</t>
        </is>
      </c>
    </row>
    <row r="2487">
      <c r="EH2487" s="0" t="inlineStr">
        <is>
          <t>132行 17列，源：None 备：</t>
        </is>
      </c>
    </row>
    <row r="2488">
      <c r="EH2488" s="0" t="inlineStr">
        <is>
          <t>132行 18列，源：None 备：</t>
        </is>
      </c>
    </row>
    <row r="2489">
      <c r="EH2489" s="0" t="inlineStr">
        <is>
          <t>132行 19列，源：None 备：</t>
        </is>
      </c>
    </row>
    <row r="2490">
      <c r="EH2490" s="0" t="inlineStr">
        <is>
          <t>133行 0列，源：314 备：370</t>
        </is>
      </c>
    </row>
    <row r="2491">
      <c r="EH2491" s="0" t="inlineStr">
        <is>
          <t>133行 1列，源：nan 备：</t>
        </is>
      </c>
    </row>
    <row r="2492">
      <c r="EH2492" s="0" t="inlineStr">
        <is>
          <t>133行 2列，源：nan 备：</t>
        </is>
      </c>
    </row>
    <row r="2493">
      <c r="EH2493" s="0" t="inlineStr">
        <is>
          <t>133行 3列，源：nan 备：</t>
        </is>
      </c>
    </row>
    <row r="2494">
      <c r="EH2494" s="0" t="inlineStr">
        <is>
          <t>133行 4列，源：nan 备：</t>
        </is>
      </c>
    </row>
    <row r="2495">
      <c r="EH2495" s="0" t="inlineStr">
        <is>
          <t>133行 5列，源：None 备：</t>
        </is>
      </c>
    </row>
    <row r="2496">
      <c r="EH2496" s="0" t="inlineStr">
        <is>
          <t>133行 6列，源：None 备：</t>
        </is>
      </c>
    </row>
    <row r="2497">
      <c r="EH2497" s="0" t="inlineStr">
        <is>
          <t>133行 7列，源：None 备：</t>
        </is>
      </c>
    </row>
    <row r="2498">
      <c r="EH2498" s="0" t="inlineStr">
        <is>
          <t>133行 8列，源：None 备：</t>
        </is>
      </c>
    </row>
    <row r="2499">
      <c r="EH2499" s="0" t="inlineStr">
        <is>
          <t>133行 9列，源：None 备：</t>
        </is>
      </c>
    </row>
    <row r="2500">
      <c r="EH2500" s="0" t="inlineStr">
        <is>
          <t>133行 10列，源：None 备：</t>
        </is>
      </c>
    </row>
    <row r="2501">
      <c r="EH2501" s="0" t="inlineStr">
        <is>
          <t>133行 11列，源：None 备：</t>
        </is>
      </c>
    </row>
    <row r="2502">
      <c r="EH2502" s="0" t="inlineStr">
        <is>
          <t>133行 12列，源：None 备：</t>
        </is>
      </c>
    </row>
    <row r="2503">
      <c r="EH2503" s="0" t="inlineStr">
        <is>
          <t>133行 13列，源：None 备：</t>
        </is>
      </c>
    </row>
    <row r="2504">
      <c r="EH2504" s="0" t="inlineStr">
        <is>
          <t>133行 14列，源：None 备：</t>
        </is>
      </c>
    </row>
    <row r="2505">
      <c r="EH2505" s="0" t="inlineStr">
        <is>
          <t>133行 15列，源：nan 备：</t>
        </is>
      </c>
    </row>
    <row r="2506">
      <c r="EH2506" s="0" t="inlineStr">
        <is>
          <t>133行 16列，源：nan 备：</t>
        </is>
      </c>
    </row>
    <row r="2507">
      <c r="EH2507" s="0" t="inlineStr">
        <is>
          <t>133行 17列，源：None 备：</t>
        </is>
      </c>
    </row>
    <row r="2508">
      <c r="EH2508" s="0" t="inlineStr">
        <is>
          <t>133行 18列，源：None 备：</t>
        </is>
      </c>
    </row>
    <row r="2509">
      <c r="EH2509" s="0" t="inlineStr">
        <is>
          <t>133行 19列，源：None 备：</t>
        </is>
      </c>
    </row>
    <row r="2510">
      <c r="EH2510" s="0" t="inlineStr">
        <is>
          <t>134行 0列，源：315 备：4</t>
        </is>
      </c>
    </row>
    <row r="2511">
      <c r="EH2511" s="0" t="inlineStr">
        <is>
          <t>134行 1列，源：nan 备：123</t>
        </is>
      </c>
    </row>
    <row r="2512">
      <c r="EH2512" s="0" t="inlineStr">
        <is>
          <t>134行 2列，源：nan 备：12345</t>
        </is>
      </c>
    </row>
    <row r="2513">
      <c r="EH2513" s="0" t="inlineStr">
        <is>
          <t>134行 3列，源：nan 备：1234567890</t>
        </is>
      </c>
    </row>
    <row r="2514">
      <c r="EH2514" s="0" t="inlineStr">
        <is>
          <t>134行 4列，源：nan 备：1234567890123456</t>
        </is>
      </c>
    </row>
    <row r="2515">
      <c r="EH2515" s="0" t="inlineStr">
        <is>
          <t>134行 5列，源：None 备：123456789123456789</t>
        </is>
      </c>
    </row>
    <row r="2516">
      <c r="EH2516" s="0" t="inlineStr">
        <is>
          <t>134行 6列，源：None 备：-1234567890123456789012345</t>
        </is>
      </c>
    </row>
    <row r="2517">
      <c r="EH2517" s="0" t="inlineStr">
        <is>
          <t>134行 7列，源：None 备：0.00000000000000000000000080000000000000</t>
        </is>
      </c>
    </row>
    <row r="2518">
      <c r="EH2518" s="0" t="inlineStr">
        <is>
          <t>134行 8列，源：None 备：1234567890123456789012345678.1234567890</t>
        </is>
      </c>
    </row>
    <row r="2519">
      <c r="EH2519" s="0" t="inlineStr">
        <is>
          <t>134行 9列，源：None 备：-123456789012.1234</t>
        </is>
      </c>
    </row>
    <row r="2520">
      <c r="EH2520" s="0" t="inlineStr">
        <is>
          <t>134行 10列，源：None 备：123456789123456789</t>
        </is>
      </c>
    </row>
    <row r="2521">
      <c r="EH2521" s="0" t="inlineStr">
        <is>
          <t>134行 11列，源：None 备：-1234567890123456789012345</t>
        </is>
      </c>
    </row>
    <row r="2522">
      <c r="EH2522" s="0" t="inlineStr">
        <is>
          <t>134行 12列，源：None 备：0.00000000000000000000000080000000000000</t>
        </is>
      </c>
    </row>
    <row r="2523">
      <c r="EH2523" s="0" t="inlineStr">
        <is>
          <t>134行 13列，源：None 备：1234567890123456789012345678.1234567890</t>
        </is>
      </c>
    </row>
    <row r="2524">
      <c r="EH2524" s="0" t="inlineStr">
        <is>
          <t>134行 14列，源：None 备：-123456789012.12</t>
        </is>
      </c>
    </row>
    <row r="2525">
      <c r="EH2525" s="0" t="inlineStr">
        <is>
          <t>134行 15列，源：nan 备：0.0000000000000</t>
        </is>
      </c>
    </row>
    <row r="2526">
      <c r="EH2526" s="0" t="inlineStr">
        <is>
          <t>134行 16列，源：nan 备：299792448.000000</t>
        </is>
      </c>
    </row>
    <row r="2527">
      <c r="EH2527" s="0" t="inlineStr">
        <is>
          <t>134行 17列，源：None 备：-500000.0000</t>
        </is>
      </c>
    </row>
    <row r="2528">
      <c r="EH2528" s="0" t="inlineStr">
        <is>
          <t>134行 18列，源：None 备：1234.5678</t>
        </is>
      </c>
    </row>
    <row r="2529">
      <c r="EH2529" s="0" t="inlineStr">
        <is>
          <t>134行 19列，源：None 备：1</t>
        </is>
      </c>
    </row>
    <row r="2530">
      <c r="EH2530" s="0" t="inlineStr">
        <is>
          <t>135行 0列，源：316 备：404</t>
        </is>
      </c>
    </row>
    <row r="2531">
      <c r="EH2531" s="0" t="inlineStr">
        <is>
          <t>135行 1列，源：nan 备：123</t>
        </is>
      </c>
    </row>
    <row r="2532">
      <c r="EH2532" s="0" t="inlineStr">
        <is>
          <t>135行 2列，源：nan 备：12345</t>
        </is>
      </c>
    </row>
    <row r="2533">
      <c r="EH2533" s="0" t="inlineStr">
        <is>
          <t>135行 3列，源：nan 备：1234567890</t>
        </is>
      </c>
    </row>
    <row r="2534">
      <c r="EH2534" s="0" t="inlineStr">
        <is>
          <t>135行 4列，源：nan 备：1234567890123456</t>
        </is>
      </c>
    </row>
    <row r="2535">
      <c r="EH2535" s="0" t="inlineStr">
        <is>
          <t>135行 5列，源：None 备：</t>
        </is>
      </c>
    </row>
    <row r="2536">
      <c r="EH2536" s="0" t="inlineStr">
        <is>
          <t>135行 6列，源：None 备：</t>
        </is>
      </c>
    </row>
    <row r="2537">
      <c r="EH2537" s="0" t="inlineStr">
        <is>
          <t>135行 7列，源：None 备：</t>
        </is>
      </c>
    </row>
    <row r="2538">
      <c r="EH2538" s="0" t="inlineStr">
        <is>
          <t>135行 8列，源：None 备：</t>
        </is>
      </c>
    </row>
    <row r="2539">
      <c r="EH2539" s="0" t="inlineStr">
        <is>
          <t>135行 9列，源：None 备：</t>
        </is>
      </c>
    </row>
    <row r="2540">
      <c r="EH2540" s="0" t="inlineStr">
        <is>
          <t>135行 10列，源：None 备：</t>
        </is>
      </c>
    </row>
    <row r="2541">
      <c r="EH2541" s="0" t="inlineStr">
        <is>
          <t>135行 11列，源：None 备：</t>
        </is>
      </c>
    </row>
    <row r="2542">
      <c r="EH2542" s="0" t="inlineStr">
        <is>
          <t>135行 12列，源：None 备：</t>
        </is>
      </c>
    </row>
    <row r="2543">
      <c r="EH2543" s="0" t="inlineStr">
        <is>
          <t>135行 13列，源：None 备：</t>
        </is>
      </c>
    </row>
    <row r="2544">
      <c r="EH2544" s="0" t="inlineStr">
        <is>
          <t>135行 14列，源：None 备：</t>
        </is>
      </c>
    </row>
    <row r="2545">
      <c r="EH2545" s="0" t="inlineStr">
        <is>
          <t>135行 15列，源：nan 备：</t>
        </is>
      </c>
    </row>
    <row r="2546">
      <c r="EH2546" s="0" t="inlineStr">
        <is>
          <t>135行 16列，源：nan 备：</t>
        </is>
      </c>
    </row>
    <row r="2547">
      <c r="EH2547" s="0" t="inlineStr">
        <is>
          <t>135行 17列，源：None 备：</t>
        </is>
      </c>
    </row>
    <row r="2548">
      <c r="EH2548" s="0" t="inlineStr">
        <is>
          <t>135行 18列，源：None 备：</t>
        </is>
      </c>
    </row>
    <row r="2549">
      <c r="EH2549" s="0" t="inlineStr">
        <is>
          <t>135行 19列，源：None 备：</t>
        </is>
      </c>
    </row>
    <row r="2550">
      <c r="EH2550" s="0" t="inlineStr">
        <is>
          <t>136行 0列，源：317 备：406</t>
        </is>
      </c>
    </row>
    <row r="2551">
      <c r="EH2551" s="0" t="inlineStr">
        <is>
          <t>136行 1列，源：nan 备：127</t>
        </is>
      </c>
    </row>
    <row r="2552">
      <c r="EH2552" s="0" t="inlineStr">
        <is>
          <t>136行 2列，源：nan 备：255</t>
        </is>
      </c>
    </row>
    <row r="2553">
      <c r="EH2553" s="0" t="inlineStr">
        <is>
          <t>136行 3列，源：nan 备：65535</t>
        </is>
      </c>
    </row>
    <row r="2554">
      <c r="EH2554" s="0" t="inlineStr">
        <is>
          <t>136行 4列，源：nan 备：4294967295</t>
        </is>
      </c>
    </row>
    <row r="2555">
      <c r="EH2555" s="0" t="inlineStr">
        <is>
          <t>136行 5列，源：None 备：</t>
        </is>
      </c>
    </row>
    <row r="2556">
      <c r="EH2556" s="0" t="inlineStr">
        <is>
          <t>136行 6列，源：None 备：</t>
        </is>
      </c>
    </row>
    <row r="2557">
      <c r="EH2557" s="0" t="inlineStr">
        <is>
          <t>136行 7列，源：None 备：</t>
        </is>
      </c>
    </row>
    <row r="2558">
      <c r="EH2558" s="0" t="inlineStr">
        <is>
          <t>136行 8列，源：None 备：</t>
        </is>
      </c>
    </row>
    <row r="2559">
      <c r="EH2559" s="0" t="inlineStr">
        <is>
          <t>136行 9列，源：None 备：</t>
        </is>
      </c>
    </row>
    <row r="2560">
      <c r="EH2560" s="0" t="inlineStr">
        <is>
          <t>136行 10列，源：None 备：</t>
        </is>
      </c>
    </row>
    <row r="2561">
      <c r="EH2561" s="0" t="inlineStr">
        <is>
          <t>136行 11列，源：None 备：</t>
        </is>
      </c>
    </row>
    <row r="2562">
      <c r="EH2562" s="0" t="inlineStr">
        <is>
          <t>136行 12列，源：None 备：</t>
        </is>
      </c>
    </row>
    <row r="2563">
      <c r="EH2563" s="0" t="inlineStr">
        <is>
          <t>136行 13列，源：None 备：</t>
        </is>
      </c>
    </row>
    <row r="2564">
      <c r="EH2564" s="0" t="inlineStr">
        <is>
          <t>136行 14列，源：None 备：</t>
        </is>
      </c>
    </row>
    <row r="2565">
      <c r="EH2565" s="0" t="inlineStr">
        <is>
          <t>136行 15列，源：nan 备：</t>
        </is>
      </c>
    </row>
    <row r="2566">
      <c r="EH2566" s="0" t="inlineStr">
        <is>
          <t>136行 16列，源：nan 备：</t>
        </is>
      </c>
    </row>
    <row r="2567">
      <c r="EH2567" s="0" t="inlineStr">
        <is>
          <t>136行 17列，源：None 备：</t>
        </is>
      </c>
    </row>
    <row r="2568">
      <c r="EH2568" s="0" t="inlineStr">
        <is>
          <t>136行 18列，源：None 备：</t>
        </is>
      </c>
    </row>
    <row r="2569">
      <c r="EH2569" s="0" t="inlineStr">
        <is>
          <t>136行 19列，源：None 备：</t>
        </is>
      </c>
    </row>
    <row r="2570">
      <c r="EH2570" s="0" t="inlineStr">
        <is>
          <t>137行 0列，源：318 备：454</t>
        </is>
      </c>
    </row>
    <row r="2571">
      <c r="EH2571" s="0" t="inlineStr">
        <is>
          <t>137行 1列，源：nan 备：123</t>
        </is>
      </c>
    </row>
    <row r="2572">
      <c r="EH2572" s="0" t="inlineStr">
        <is>
          <t>137行 2列，源：nan 备：12345</t>
        </is>
      </c>
    </row>
    <row r="2573">
      <c r="EH2573" s="0" t="inlineStr">
        <is>
          <t>137行 3列，源：nan 备：1234567890</t>
        </is>
      </c>
    </row>
    <row r="2574">
      <c r="EH2574" s="0" t="inlineStr">
        <is>
          <t>137行 4列，源：nan 备：1234567890123456</t>
        </is>
      </c>
    </row>
    <row r="2575">
      <c r="EH2575" s="0" t="inlineStr">
        <is>
          <t>137行 5列，源：None 备：</t>
        </is>
      </c>
    </row>
    <row r="2576">
      <c r="EH2576" s="0" t="inlineStr">
        <is>
          <t>137行 6列，源：None 备：</t>
        </is>
      </c>
    </row>
    <row r="2577">
      <c r="EH2577" s="0" t="inlineStr">
        <is>
          <t>137行 7列，源：None 备：</t>
        </is>
      </c>
    </row>
    <row r="2578">
      <c r="EH2578" s="0" t="inlineStr">
        <is>
          <t>137行 8列，源：None 备：</t>
        </is>
      </c>
    </row>
    <row r="2579">
      <c r="EH2579" s="0" t="inlineStr">
        <is>
          <t>137行 9列，源：None 备：</t>
        </is>
      </c>
    </row>
    <row r="2580">
      <c r="EH2580" s="0" t="inlineStr">
        <is>
          <t>137行 10列，源：None 备：</t>
        </is>
      </c>
    </row>
    <row r="2581">
      <c r="EH2581" s="0" t="inlineStr">
        <is>
          <t>137行 11列，源：None 备：</t>
        </is>
      </c>
    </row>
    <row r="2582">
      <c r="EH2582" s="0" t="inlineStr">
        <is>
          <t>137行 12列，源：None 备：</t>
        </is>
      </c>
    </row>
    <row r="2583">
      <c r="EH2583" s="0" t="inlineStr">
        <is>
          <t>137行 13列，源：None 备：</t>
        </is>
      </c>
    </row>
    <row r="2584">
      <c r="EH2584" s="0" t="inlineStr">
        <is>
          <t>137行 14列，源：None 备：</t>
        </is>
      </c>
    </row>
    <row r="2585">
      <c r="EH2585" s="0" t="inlineStr">
        <is>
          <t>137行 15列，源：nan 备：</t>
        </is>
      </c>
    </row>
    <row r="2586">
      <c r="EH2586" s="0" t="inlineStr">
        <is>
          <t>137行 16列，源：nan 备：</t>
        </is>
      </c>
    </row>
    <row r="2587">
      <c r="EH2587" s="0" t="inlineStr">
        <is>
          <t>137行 17列，源：None 备：</t>
        </is>
      </c>
    </row>
    <row r="2588">
      <c r="EH2588" s="0" t="inlineStr">
        <is>
          <t>137行 18列，源：None 备：</t>
        </is>
      </c>
    </row>
    <row r="2589">
      <c r="EH2589" s="0" t="inlineStr">
        <is>
          <t>137行 19列，源：None 备：</t>
        </is>
      </c>
    </row>
    <row r="2590">
      <c r="EH2590" s="0" t="inlineStr">
        <is>
          <t>138行 0列，源：319 备：456</t>
        </is>
      </c>
    </row>
    <row r="2591">
      <c r="EH2591" s="0" t="inlineStr">
        <is>
          <t>138行 1列，源：nan 备：127</t>
        </is>
      </c>
    </row>
    <row r="2592">
      <c r="EH2592" s="0" t="inlineStr">
        <is>
          <t>138行 2列，源：nan 备：255</t>
        </is>
      </c>
    </row>
    <row r="2593">
      <c r="EH2593" s="0" t="inlineStr">
        <is>
          <t>138行 3列，源：nan 备：65535</t>
        </is>
      </c>
    </row>
    <row r="2594">
      <c r="EH2594" s="0" t="inlineStr">
        <is>
          <t>138行 4列，源：nan 备：4294967295</t>
        </is>
      </c>
    </row>
    <row r="2595">
      <c r="EH2595" s="0" t="inlineStr">
        <is>
          <t>138行 5列，源：None 备：</t>
        </is>
      </c>
    </row>
    <row r="2596">
      <c r="EH2596" s="0" t="inlineStr">
        <is>
          <t>138行 6列，源：None 备：</t>
        </is>
      </c>
    </row>
    <row r="2597">
      <c r="EH2597" s="0" t="inlineStr">
        <is>
          <t>138行 7列，源：None 备：</t>
        </is>
      </c>
    </row>
    <row r="2598">
      <c r="EH2598" s="0" t="inlineStr">
        <is>
          <t>138行 8列，源：None 备：</t>
        </is>
      </c>
    </row>
    <row r="2599">
      <c r="EH2599" s="0" t="inlineStr">
        <is>
          <t>138行 9列，源：None 备：</t>
        </is>
      </c>
    </row>
    <row r="2600">
      <c r="EH2600" s="0" t="inlineStr">
        <is>
          <t>138行 10列，源：None 备：</t>
        </is>
      </c>
    </row>
    <row r="2601">
      <c r="EH2601" s="0" t="inlineStr">
        <is>
          <t>138行 11列，源：None 备：</t>
        </is>
      </c>
    </row>
    <row r="2602">
      <c r="EH2602" s="0" t="inlineStr">
        <is>
          <t>138行 12列，源：None 备：</t>
        </is>
      </c>
    </row>
    <row r="2603">
      <c r="EH2603" s="0" t="inlineStr">
        <is>
          <t>138行 13列，源：None 备：</t>
        </is>
      </c>
    </row>
    <row r="2604">
      <c r="EH2604" s="0" t="inlineStr">
        <is>
          <t>138行 14列，源：None 备：</t>
        </is>
      </c>
    </row>
    <row r="2605">
      <c r="EH2605" s="0" t="inlineStr">
        <is>
          <t>138行 15列，源：nan 备：</t>
        </is>
      </c>
    </row>
    <row r="2606">
      <c r="EH2606" s="0" t="inlineStr">
        <is>
          <t>138行 16列，源：nan 备：</t>
        </is>
      </c>
    </row>
    <row r="2607">
      <c r="EH2607" s="0" t="inlineStr">
        <is>
          <t>138行 17列，源：None 备：</t>
        </is>
      </c>
    </row>
    <row r="2608">
      <c r="EH2608" s="0" t="inlineStr">
        <is>
          <t>138行 18列，源：None 备：</t>
        </is>
      </c>
    </row>
    <row r="2609">
      <c r="EH2609" s="0" t="inlineStr">
        <is>
          <t>138行 19列，源：None 备：</t>
        </is>
      </c>
    </row>
    <row r="2610">
      <c r="EH2610" s="0" t="inlineStr">
        <is>
          <t>139行 0列，源：320 备：5</t>
        </is>
      </c>
    </row>
    <row r="2611">
      <c r="EH2611" s="0" t="inlineStr">
        <is>
          <t>139行 1列，源：nan 备：0</t>
        </is>
      </c>
    </row>
    <row r="2612">
      <c r="EH2612" s="0" t="inlineStr">
        <is>
          <t>139行 2列，源：nan 备：0</t>
        </is>
      </c>
    </row>
    <row r="2613">
      <c r="EH2613" s="0" t="inlineStr">
        <is>
          <t>139行 3列，源：nan 备：0</t>
        </is>
      </c>
    </row>
    <row r="2614">
      <c r="EH2614" s="0" t="inlineStr">
        <is>
          <t>139行 4列，源：nan 备：0</t>
        </is>
      </c>
    </row>
    <row r="2615">
      <c r="EH2615" s="0" t="inlineStr">
        <is>
          <t>139行 5列，源：None 备：</t>
        </is>
      </c>
    </row>
    <row r="2616">
      <c r="EH2616" s="0" t="inlineStr">
        <is>
          <t>139行 6列，源：None 备：</t>
        </is>
      </c>
    </row>
    <row r="2617">
      <c r="EH2617" s="0" t="inlineStr">
        <is>
          <t>139行 7列，源：None 备：</t>
        </is>
      </c>
    </row>
    <row r="2618">
      <c r="EH2618" s="0" t="inlineStr">
        <is>
          <t>139行 8列，源：None 备：</t>
        </is>
      </c>
    </row>
    <row r="2619">
      <c r="EH2619" s="0" t="inlineStr">
        <is>
          <t>139行 9列，源：None 备：</t>
        </is>
      </c>
    </row>
    <row r="2620">
      <c r="EH2620" s="0" t="inlineStr">
        <is>
          <t>139行 10列，源：None 备：</t>
        </is>
      </c>
    </row>
    <row r="2621">
      <c r="EH2621" s="0" t="inlineStr">
        <is>
          <t>139行 11列，源：None 备：</t>
        </is>
      </c>
    </row>
    <row r="2622">
      <c r="EH2622" s="0" t="inlineStr">
        <is>
          <t>139行 12列，源：None 备：</t>
        </is>
      </c>
    </row>
    <row r="2623">
      <c r="EH2623" s="0" t="inlineStr">
        <is>
          <t>139行 13列，源：None 备：</t>
        </is>
      </c>
    </row>
    <row r="2624">
      <c r="EH2624" s="0" t="inlineStr">
        <is>
          <t>139行 14列，源：None 备：</t>
        </is>
      </c>
    </row>
    <row r="2625">
      <c r="EH2625" s="0" t="inlineStr">
        <is>
          <t>139行 15列，源：nan 备：</t>
        </is>
      </c>
    </row>
    <row r="2626">
      <c r="EH2626" s="0" t="inlineStr">
        <is>
          <t>139行 16列，源：nan 备：</t>
        </is>
      </c>
    </row>
    <row r="2627">
      <c r="EH2627" s="0" t="inlineStr">
        <is>
          <t>139行 17列，源：None 备：</t>
        </is>
      </c>
    </row>
    <row r="2628">
      <c r="EH2628" s="0" t="inlineStr">
        <is>
          <t>139行 18列，源：None 备：</t>
        </is>
      </c>
    </row>
    <row r="2629">
      <c r="EH2629" s="0" t="inlineStr">
        <is>
          <t>139行 19列，源：None 备：</t>
        </is>
      </c>
    </row>
    <row r="2630">
      <c r="EH2630" s="0" t="inlineStr">
        <is>
          <t>140行 0列，源：351 备：502</t>
        </is>
      </c>
    </row>
    <row r="2631">
      <c r="EH2631" s="0" t="inlineStr">
        <is>
          <t>140行 1列，源：nan 备：</t>
        </is>
      </c>
    </row>
    <row r="2632">
      <c r="EH2632" s="0" t="inlineStr">
        <is>
          <t>140行 2列，源：nan 备：</t>
        </is>
      </c>
    </row>
    <row r="2633">
      <c r="EH2633" s="0" t="inlineStr">
        <is>
          <t>140行 3列，源：nan 备：</t>
        </is>
      </c>
    </row>
    <row r="2634">
      <c r="EH2634" s="0" t="inlineStr">
        <is>
          <t>140行 4列，源：nan 备：</t>
        </is>
      </c>
    </row>
    <row r="2635">
      <c r="EH2635" s="0" t="inlineStr">
        <is>
          <t>140行 5列，源：None 备：999999999999999999</t>
        </is>
      </c>
    </row>
    <row r="2636">
      <c r="EH2636" s="0" t="inlineStr">
        <is>
          <t>140行 6列，源：None 备：99999999999999999999999999999999999999</t>
        </is>
      </c>
    </row>
    <row r="2637">
      <c r="EH2637" s="0" t="inlineStr">
        <is>
          <t>140行 7列，源：None 备：0.99999999999999999999999999999999999999</t>
        </is>
      </c>
    </row>
    <row r="2638">
      <c r="EH2638" s="0" t="inlineStr">
        <is>
          <t>140行 8列，源：None 备：9999999999999999999999999999.9999999999</t>
        </is>
      </c>
    </row>
    <row r="2639">
      <c r="EH2639" s="0" t="inlineStr">
        <is>
          <t>140行 9列，源：None 备：999999999999999.9999</t>
        </is>
      </c>
    </row>
    <row r="2640">
      <c r="EH2640" s="0" t="inlineStr">
        <is>
          <t>140行 10列，源：None 备：999999999999999999</t>
        </is>
      </c>
    </row>
    <row r="2641">
      <c r="EH2641" s="0" t="inlineStr">
        <is>
          <t>140行 11列，源：None 备：99999999999999999999999999999999999999</t>
        </is>
      </c>
    </row>
    <row r="2642">
      <c r="EH2642" s="0" t="inlineStr">
        <is>
          <t>140行 12列，源：None 备：0.99999999999999999999999999999999999999</t>
        </is>
      </c>
    </row>
    <row r="2643">
      <c r="EH2643" s="0" t="inlineStr">
        <is>
          <t>140行 13列，源：None 备：9999999999999999999999999999.9999999999</t>
        </is>
      </c>
    </row>
    <row r="2644">
      <c r="EH2644" s="0" t="inlineStr">
        <is>
          <t>140行 14列，源：None 备：9999999999999999.99</t>
        </is>
      </c>
    </row>
    <row r="2645">
      <c r="EH2645" s="0" t="inlineStr">
        <is>
          <t>140行 15列，源：nan 备：</t>
        </is>
      </c>
    </row>
    <row r="2646">
      <c r="EH2646" s="0" t="inlineStr">
        <is>
          <t>140行 16列，源：nan 备：</t>
        </is>
      </c>
    </row>
    <row r="2647">
      <c r="EH2647" s="0" t="inlineStr">
        <is>
          <t>140行 17列，源：None 备：</t>
        </is>
      </c>
    </row>
    <row r="2648">
      <c r="EH2648" s="0" t="inlineStr">
        <is>
          <t>140行 18列，源：None 备：</t>
        </is>
      </c>
    </row>
    <row r="2649">
      <c r="EH2649" s="0" t="inlineStr">
        <is>
          <t>140行 19列，源：None 备：</t>
        </is>
      </c>
    </row>
    <row r="2650">
      <c r="EH2650" s="0" t="inlineStr">
        <is>
          <t>141行 0列，源：352 备：504</t>
        </is>
      </c>
    </row>
    <row r="2651">
      <c r="EH2651" s="0" t="inlineStr">
        <is>
          <t>141行 1列，源：nan 备：</t>
        </is>
      </c>
    </row>
    <row r="2652">
      <c r="EH2652" s="0" t="inlineStr">
        <is>
          <t>141行 2列，源：nan 备：</t>
        </is>
      </c>
    </row>
    <row r="2653">
      <c r="EH2653" s="0" t="inlineStr">
        <is>
          <t>141行 3列，源：nan 备：</t>
        </is>
      </c>
    </row>
    <row r="2654">
      <c r="EH2654" s="0" t="inlineStr">
        <is>
          <t>141行 4列，源：nan 备：</t>
        </is>
      </c>
    </row>
    <row r="2655">
      <c r="EH2655" s="0" t="inlineStr">
        <is>
          <t>141行 5列，源：None 备：123456789123456789</t>
        </is>
      </c>
    </row>
    <row r="2656">
      <c r="EH2656" s="0" t="inlineStr">
        <is>
          <t>141行 6列，源：None 备：-1234567890123456789012345</t>
        </is>
      </c>
    </row>
    <row r="2657">
      <c r="EH2657" s="0" t="inlineStr">
        <is>
          <t>141行 7列，源：None 备：0.00000000000000000000000080000000000000</t>
        </is>
      </c>
    </row>
    <row r="2658">
      <c r="EH2658" s="0" t="inlineStr">
        <is>
          <t>141行 8列，源：None 备：1234567890123456789012345678.1234567890</t>
        </is>
      </c>
    </row>
    <row r="2659">
      <c r="EH2659" s="0" t="inlineStr">
        <is>
          <t>141行 9列，源：None 备：-123456789012.1234</t>
        </is>
      </c>
    </row>
    <row r="2660">
      <c r="EH2660" s="0" t="inlineStr">
        <is>
          <t>141行 10列，源：None 备：123456789123456789</t>
        </is>
      </c>
    </row>
    <row r="2661">
      <c r="EH2661" s="0" t="inlineStr">
        <is>
          <t>141行 11列，源：None 备：-1234567890123456789012345</t>
        </is>
      </c>
    </row>
    <row r="2662">
      <c r="EH2662" s="0" t="inlineStr">
        <is>
          <t>141行 12列，源：None 备：0.00000000000000000000000080000000000000</t>
        </is>
      </c>
    </row>
    <row r="2663">
      <c r="EH2663" s="0" t="inlineStr">
        <is>
          <t>141行 13列，源：None 备：1234567890123456789012345678.1234567890</t>
        </is>
      </c>
    </row>
    <row r="2664">
      <c r="EH2664" s="0" t="inlineStr">
        <is>
          <t>141行 14列，源：None 备：-123456789012.12</t>
        </is>
      </c>
    </row>
    <row r="2665">
      <c r="EH2665" s="0" t="inlineStr">
        <is>
          <t>141行 15列，源：nan 备：</t>
        </is>
      </c>
    </row>
    <row r="2666">
      <c r="EH2666" s="0" t="inlineStr">
        <is>
          <t>141行 16列，源：nan 备：</t>
        </is>
      </c>
    </row>
    <row r="2667">
      <c r="EH2667" s="0" t="inlineStr">
        <is>
          <t>141行 17列，源：None 备：</t>
        </is>
      </c>
    </row>
    <row r="2668">
      <c r="EH2668" s="0" t="inlineStr">
        <is>
          <t>141行 18列，源：None 备：</t>
        </is>
      </c>
    </row>
    <row r="2669">
      <c r="EH2669" s="0" t="inlineStr">
        <is>
          <t>141行 19列，源：None 备：</t>
        </is>
      </c>
    </row>
    <row r="2670">
      <c r="EH2670" s="0" t="inlineStr">
        <is>
          <t>142行 0列，源：353 备：51</t>
        </is>
      </c>
    </row>
    <row r="2671">
      <c r="EH2671" s="0" t="inlineStr">
        <is>
          <t>142行 1列，源：nan 备：0</t>
        </is>
      </c>
    </row>
    <row r="2672">
      <c r="EH2672" s="0" t="inlineStr">
        <is>
          <t>142行 2列，源：nan 备：-32768</t>
        </is>
      </c>
    </row>
    <row r="2673">
      <c r="EH2673" s="0" t="inlineStr">
        <is>
          <t>142行 3列，源：nan 备：-2147483648</t>
        </is>
      </c>
    </row>
    <row r="2674">
      <c r="EH2674" s="0" t="inlineStr">
        <is>
          <t>142行 4列，源：nan 备：-9223372036854775808</t>
        </is>
      </c>
    </row>
    <row r="2675">
      <c r="EH2675" s="0" t="inlineStr">
        <is>
          <t>142行 5列，源：None 备：</t>
        </is>
      </c>
    </row>
    <row r="2676">
      <c r="EH2676" s="0" t="inlineStr">
        <is>
          <t>142行 6列，源：None 备：</t>
        </is>
      </c>
    </row>
    <row r="2677">
      <c r="EH2677" s="0" t="inlineStr">
        <is>
          <t>142行 7列，源：None 备：</t>
        </is>
      </c>
    </row>
    <row r="2678">
      <c r="EH2678" s="0" t="inlineStr">
        <is>
          <t>142行 8列，源：None 备：</t>
        </is>
      </c>
    </row>
    <row r="2679">
      <c r="EH2679" s="0" t="inlineStr">
        <is>
          <t>142行 9列，源：None 备：</t>
        </is>
      </c>
    </row>
    <row r="2680">
      <c r="EH2680" s="0" t="inlineStr">
        <is>
          <t>142行 10列，源：None 备：</t>
        </is>
      </c>
    </row>
    <row r="2681">
      <c r="EH2681" s="0" t="inlineStr">
        <is>
          <t>142行 11列，源：None 备：</t>
        </is>
      </c>
    </row>
    <row r="2682">
      <c r="EH2682" s="0" t="inlineStr">
        <is>
          <t>142行 12列，源：None 备：</t>
        </is>
      </c>
    </row>
    <row r="2683">
      <c r="EH2683" s="0" t="inlineStr">
        <is>
          <t>142行 13列，源：None 备：</t>
        </is>
      </c>
    </row>
    <row r="2684">
      <c r="EH2684" s="0" t="inlineStr">
        <is>
          <t>142行 14列，源：None 备：</t>
        </is>
      </c>
    </row>
    <row r="2685">
      <c r="EH2685" s="0" t="inlineStr">
        <is>
          <t>142行 15列，源：nan 备：</t>
        </is>
      </c>
    </row>
    <row r="2686">
      <c r="EH2686" s="0" t="inlineStr">
        <is>
          <t>142行 16列，源：nan 备：</t>
        </is>
      </c>
    </row>
    <row r="2687">
      <c r="EH2687" s="0" t="inlineStr">
        <is>
          <t>142行 17列，源：None 备：</t>
        </is>
      </c>
    </row>
    <row r="2688">
      <c r="EH2688" s="0" t="inlineStr">
        <is>
          <t>142行 18列，源：None 备：</t>
        </is>
      </c>
    </row>
    <row r="2689">
      <c r="EH2689" s="0" t="inlineStr">
        <is>
          <t>142行 19列，源：None 备：</t>
        </is>
      </c>
    </row>
    <row r="2690">
      <c r="EH2690" s="0" t="inlineStr">
        <is>
          <t>143行 0列，源：354 备：512</t>
        </is>
      </c>
    </row>
    <row r="2691">
      <c r="EH2691" s="0" t="inlineStr">
        <is>
          <t>143行 1列，源：nan 备：</t>
        </is>
      </c>
    </row>
    <row r="2692">
      <c r="EH2692" s="0" t="inlineStr">
        <is>
          <t>143行 2列，源：nan 备：</t>
        </is>
      </c>
    </row>
    <row r="2693">
      <c r="EH2693" s="0" t="inlineStr">
        <is>
          <t>143行 3列，源：nan 备：</t>
        </is>
      </c>
    </row>
    <row r="2694">
      <c r="EH2694" s="0" t="inlineStr">
        <is>
          <t>143行 4列，源：nan 备：</t>
        </is>
      </c>
    </row>
    <row r="2695">
      <c r="EH2695" s="0" t="inlineStr">
        <is>
          <t>143行 5列，源：None 备：123</t>
        </is>
      </c>
    </row>
    <row r="2696">
      <c r="EH2696" s="0" t="inlineStr">
        <is>
          <t>143行 6列，源：None 备：12345678901234567890123789012345678</t>
        </is>
      </c>
    </row>
    <row r="2697">
      <c r="EH2697" s="0" t="inlineStr">
        <is>
          <t>143行 7列，源：None 备：0.12345678901234590123456789012367800000</t>
        </is>
      </c>
    </row>
    <row r="2698">
      <c r="EH2698" s="0" t="inlineStr">
        <is>
          <t>143行 8列，源：None 备：123456789012367012345678.1245890000</t>
        </is>
      </c>
    </row>
    <row r="2699">
      <c r="EH2699" s="0" t="inlineStr">
        <is>
          <t>143行 9列，源：None 备：123456712345.6789</t>
        </is>
      </c>
    </row>
    <row r="2700">
      <c r="EH2700" s="0" t="inlineStr">
        <is>
          <t>143行 10列，源：None 备：988</t>
        </is>
      </c>
    </row>
    <row r="2701">
      <c r="EH2701" s="0" t="inlineStr">
        <is>
          <t>143行 11列，源：None 备：987654321098765410987654321098765432</t>
        </is>
      </c>
    </row>
    <row r="2702">
      <c r="EH2702" s="0" t="inlineStr">
        <is>
          <t>143行 12列，源：None 备：0.98765432109874321098765432109876543200</t>
        </is>
      </c>
    </row>
    <row r="2703">
      <c r="EH2703" s="0" t="inlineStr">
        <is>
          <t>143行 13列，源：None 备：987654321098765432105432.1098542000</t>
        </is>
      </c>
    </row>
    <row r="2704">
      <c r="EH2704" s="0" t="inlineStr">
        <is>
          <t>143行 14列，源：None 备：1234567012456.78</t>
        </is>
      </c>
    </row>
    <row r="2705">
      <c r="EH2705" s="0" t="inlineStr">
        <is>
          <t>143行 15列，源：nan 备：</t>
        </is>
      </c>
    </row>
    <row r="2706">
      <c r="EH2706" s="0" t="inlineStr">
        <is>
          <t>143行 16列，源：nan 备：</t>
        </is>
      </c>
    </row>
    <row r="2707">
      <c r="EH2707" s="0" t="inlineStr">
        <is>
          <t>143行 17列，源：None 备：</t>
        </is>
      </c>
    </row>
    <row r="2708">
      <c r="EH2708" s="0" t="inlineStr">
        <is>
          <t>143行 18列，源：None 备：</t>
        </is>
      </c>
    </row>
    <row r="2709">
      <c r="EH2709" s="0" t="inlineStr">
        <is>
          <t>143行 19列，源：None 备：</t>
        </is>
      </c>
    </row>
    <row r="2710">
      <c r="EH2710" s="0" t="inlineStr">
        <is>
          <t>144行 0列，源：355 备：514</t>
        </is>
      </c>
    </row>
    <row r="2711">
      <c r="EH2711" s="0" t="inlineStr">
        <is>
          <t>144行 1列，源：nan 备：</t>
        </is>
      </c>
    </row>
    <row r="2712">
      <c r="EH2712" s="0" t="inlineStr">
        <is>
          <t>144行 2列，源：nan 备：</t>
        </is>
      </c>
    </row>
    <row r="2713">
      <c r="EH2713" s="0" t="inlineStr">
        <is>
          <t>144行 3列，源：nan 备：</t>
        </is>
      </c>
    </row>
    <row r="2714">
      <c r="EH2714" s="0" t="inlineStr">
        <is>
          <t>144行 4列，源：nan 备：</t>
        </is>
      </c>
    </row>
    <row r="2715">
      <c r="EH2715" s="0" t="inlineStr">
        <is>
          <t>144行 5列，源：None 备：1000000000000000</t>
        </is>
      </c>
    </row>
    <row r="2716">
      <c r="EH2716" s="0" t="inlineStr">
        <is>
          <t>144行 6列，源：None 备：99999999999999999999999999999999</t>
        </is>
      </c>
    </row>
    <row r="2717">
      <c r="EH2717" s="0" t="inlineStr">
        <is>
          <t>144行 7列，源：None 备：0.99999999999999999999999999999900000000</t>
        </is>
      </c>
    </row>
    <row r="2718">
      <c r="EH2718" s="0" t="inlineStr">
        <is>
          <t>144行 8列，源：None 备：9999999999999999999999.9999990000</t>
        </is>
      </c>
    </row>
    <row r="2719">
      <c r="EH2719" s="0" t="inlineStr">
        <is>
          <t>144行 9列，源：None 备：999999999999.9990</t>
        </is>
      </c>
    </row>
    <row r="2720">
      <c r="EH2720" s="0" t="inlineStr">
        <is>
          <t>144行 10列，源：None 备：100000000000000</t>
        </is>
      </c>
    </row>
    <row r="2721">
      <c r="EH2721" s="0" t="inlineStr">
        <is>
          <t>144行 11列，源：None 备：999999999999999999999</t>
        </is>
      </c>
    </row>
    <row r="2722">
      <c r="EH2722" s="0" t="inlineStr">
        <is>
          <t>144行 12列，源：None 备：0.99999999999999999999999999900000000000</t>
        </is>
      </c>
    </row>
    <row r="2723">
      <c r="EH2723" s="0" t="inlineStr">
        <is>
          <t>144行 13列，源：None 备：999999999999999999999.9999990000</t>
        </is>
      </c>
    </row>
    <row r="2724">
      <c r="EH2724" s="0" t="inlineStr">
        <is>
          <t>144行 14列，源：None 备：9999999999.99</t>
        </is>
      </c>
    </row>
    <row r="2725">
      <c r="EH2725" s="0" t="inlineStr">
        <is>
          <t>144行 15列，源：nan 备：</t>
        </is>
      </c>
    </row>
    <row r="2726">
      <c r="EH2726" s="0" t="inlineStr">
        <is>
          <t>144行 16列，源：nan 备：</t>
        </is>
      </c>
    </row>
    <row r="2727">
      <c r="EH2727" s="0" t="inlineStr">
        <is>
          <t>144行 17列，源：None 备：</t>
        </is>
      </c>
    </row>
    <row r="2728">
      <c r="EH2728" s="0" t="inlineStr">
        <is>
          <t>144行 18列，源：None 备：</t>
        </is>
      </c>
    </row>
    <row r="2729">
      <c r="EH2729" s="0" t="inlineStr">
        <is>
          <t>144行 19列，源：None 备：</t>
        </is>
      </c>
    </row>
    <row r="2730">
      <c r="EH2730" s="0" t="inlineStr">
        <is>
          <t>145行 0列，源：356 备：515</t>
        </is>
      </c>
    </row>
    <row r="2731">
      <c r="EH2731" s="0" t="inlineStr">
        <is>
          <t>145行 1列，源：nan 备：</t>
        </is>
      </c>
    </row>
    <row r="2732">
      <c r="EH2732" s="0" t="inlineStr">
        <is>
          <t>145行 2列，源：nan 备：</t>
        </is>
      </c>
    </row>
    <row r="2733">
      <c r="EH2733" s="0" t="inlineStr">
        <is>
          <t>145行 3列，源：nan 备：</t>
        </is>
      </c>
    </row>
    <row r="2734">
      <c r="EH2734" s="0" t="inlineStr">
        <is>
          <t>145行 4列，源：nan 备：</t>
        </is>
      </c>
    </row>
    <row r="2735">
      <c r="EH2735" s="0" t="inlineStr">
        <is>
          <t>145行 5列，源：None 备：0</t>
        </is>
      </c>
    </row>
    <row r="2736">
      <c r="EH2736" s="0" t="inlineStr">
        <is>
          <t>145行 6列，源：None 备：1</t>
        </is>
      </c>
    </row>
    <row r="2737">
      <c r="EH2737" s="0" t="inlineStr">
        <is>
          <t>145行 7列，源：None 备：0.00000000000000000000000000100000000000</t>
        </is>
      </c>
    </row>
    <row r="2738">
      <c r="EH2738" s="0" t="inlineStr">
        <is>
          <t>145行 8列，源：None 备：0.0000000010</t>
        </is>
      </c>
    </row>
    <row r="2739">
      <c r="EH2739" s="0" t="inlineStr">
        <is>
          <t>145行 9列，源：None 备：0.0001</t>
        </is>
      </c>
    </row>
    <row r="2740">
      <c r="EH2740" s="0" t="inlineStr">
        <is>
          <t>145行 10列，源：None 备：0</t>
        </is>
      </c>
    </row>
    <row r="2741">
      <c r="EH2741" s="0" t="inlineStr">
        <is>
          <t>145行 11列，源：None 备：1</t>
        </is>
      </c>
    </row>
    <row r="2742">
      <c r="EH2742" s="0" t="inlineStr">
        <is>
          <t>145行 12列，源：None 备：0.00000000000000000000000000000100000000</t>
        </is>
      </c>
    </row>
    <row r="2743">
      <c r="EH2743" s="0" t="inlineStr">
        <is>
          <t>145行 13列，源：None 备：0.0000010000</t>
        </is>
      </c>
    </row>
    <row r="2744">
      <c r="EH2744" s="0" t="inlineStr">
        <is>
          <t>145行 14列，源：None 备：0.01</t>
        </is>
      </c>
    </row>
    <row r="2745">
      <c r="EH2745" s="0" t="inlineStr">
        <is>
          <t>145行 15列，源：nan 备：</t>
        </is>
      </c>
    </row>
    <row r="2746">
      <c r="EH2746" s="0" t="inlineStr">
        <is>
          <t>145行 16列，源：nan 备：</t>
        </is>
      </c>
    </row>
    <row r="2747">
      <c r="EH2747" s="0" t="inlineStr">
        <is>
          <t>145行 17列，源：None 备：</t>
        </is>
      </c>
    </row>
    <row r="2748">
      <c r="EH2748" s="0" t="inlineStr">
        <is>
          <t>145行 18列，源：None 备：</t>
        </is>
      </c>
    </row>
    <row r="2749">
      <c r="EH2749" s="0" t="inlineStr">
        <is>
          <t>145行 19列，源：None 备：</t>
        </is>
      </c>
    </row>
    <row r="2750">
      <c r="EH2750" s="0" t="inlineStr">
        <is>
          <t>146行 0列，源：357 备：52</t>
        </is>
      </c>
    </row>
    <row r="2751">
      <c r="EH2751" s="0" t="inlineStr">
        <is>
          <t>146行 1列，源：nan 备：255</t>
        </is>
      </c>
    </row>
    <row r="2752">
      <c r="EH2752" s="0" t="inlineStr">
        <is>
          <t>146行 2列，源：nan 备：32767</t>
        </is>
      </c>
    </row>
    <row r="2753">
      <c r="EH2753" s="0" t="inlineStr">
        <is>
          <t>146行 3列，源：nan 备：2147483647</t>
        </is>
      </c>
    </row>
    <row r="2754">
      <c r="EH2754" s="0" t="inlineStr">
        <is>
          <t>146行 4列，源：nan 备：9223372036854775807</t>
        </is>
      </c>
    </row>
    <row r="2755">
      <c r="EH2755" s="0" t="inlineStr">
        <is>
          <t>146行 5列，源：None 备：</t>
        </is>
      </c>
    </row>
    <row r="2756">
      <c r="EH2756" s="0" t="inlineStr">
        <is>
          <t>146行 6列，源：None 备：</t>
        </is>
      </c>
    </row>
    <row r="2757">
      <c r="EH2757" s="0" t="inlineStr">
        <is>
          <t>146行 7列，源：None 备：</t>
        </is>
      </c>
    </row>
    <row r="2758">
      <c r="EH2758" s="0" t="inlineStr">
        <is>
          <t>146行 8列，源：None 备：</t>
        </is>
      </c>
    </row>
    <row r="2759">
      <c r="EH2759" s="0" t="inlineStr">
        <is>
          <t>146行 9列，源：None 备：</t>
        </is>
      </c>
    </row>
    <row r="2760">
      <c r="EH2760" s="0" t="inlineStr">
        <is>
          <t>146行 10列，源：None 备：</t>
        </is>
      </c>
    </row>
    <row r="2761">
      <c r="EH2761" s="0" t="inlineStr">
        <is>
          <t>146行 11列，源：None 备：</t>
        </is>
      </c>
    </row>
    <row r="2762">
      <c r="EH2762" s="0" t="inlineStr">
        <is>
          <t>146行 12列，源：None 备：</t>
        </is>
      </c>
    </row>
    <row r="2763">
      <c r="EH2763" s="0" t="inlineStr">
        <is>
          <t>146行 13列，源：None 备：</t>
        </is>
      </c>
    </row>
    <row r="2764">
      <c r="EH2764" s="0" t="inlineStr">
        <is>
          <t>146行 14列，源：None 备：</t>
        </is>
      </c>
    </row>
    <row r="2765">
      <c r="EH2765" s="0" t="inlineStr">
        <is>
          <t>146行 15列，源：nan 备：</t>
        </is>
      </c>
    </row>
    <row r="2766">
      <c r="EH2766" s="0" t="inlineStr">
        <is>
          <t>146行 16列，源：nan 备：</t>
        </is>
      </c>
    </row>
    <row r="2767">
      <c r="EH2767" s="0" t="inlineStr">
        <is>
          <t>146行 17列，源：None 备：</t>
        </is>
      </c>
    </row>
    <row r="2768">
      <c r="EH2768" s="0" t="inlineStr">
        <is>
          <t>146行 18列，源：None 备：</t>
        </is>
      </c>
    </row>
    <row r="2769">
      <c r="EH2769" s="0" t="inlineStr">
        <is>
          <t>146行 19列，源：None 备：</t>
        </is>
      </c>
    </row>
    <row r="2770">
      <c r="EH2770" s="0" t="inlineStr">
        <is>
          <t>147行 0列，源：358 备：53</t>
        </is>
      </c>
    </row>
    <row r="2771">
      <c r="EH2771" s="0" t="inlineStr">
        <is>
          <t>147行 1列，源：nan 备：</t>
        </is>
      </c>
    </row>
    <row r="2772">
      <c r="EH2772" s="0" t="inlineStr">
        <is>
          <t>147行 2列，源：nan 备：</t>
        </is>
      </c>
    </row>
    <row r="2773">
      <c r="EH2773" s="0" t="inlineStr">
        <is>
          <t>147行 3列，源：nan 备：</t>
        </is>
      </c>
    </row>
    <row r="2774">
      <c r="EH2774" s="0" t="inlineStr">
        <is>
          <t>147行 4列，源：nan 备：</t>
        </is>
      </c>
    </row>
    <row r="2775">
      <c r="EH2775" s="0" t="inlineStr">
        <is>
          <t>147行 5列，源：None 备：</t>
        </is>
      </c>
    </row>
    <row r="2776">
      <c r="EH2776" s="0" t="inlineStr">
        <is>
          <t>147行 6列，源：None 备：</t>
        </is>
      </c>
    </row>
    <row r="2777">
      <c r="EH2777" s="0" t="inlineStr">
        <is>
          <t>147行 7列，源：None 备：</t>
        </is>
      </c>
    </row>
    <row r="2778">
      <c r="EH2778" s="0" t="inlineStr">
        <is>
          <t>147行 8列，源：None 备：</t>
        </is>
      </c>
    </row>
    <row r="2779">
      <c r="EH2779" s="0" t="inlineStr">
        <is>
          <t>147行 9列，源：None 备：</t>
        </is>
      </c>
    </row>
    <row r="2780">
      <c r="EH2780" s="0" t="inlineStr">
        <is>
          <t>147行 10列，源：None 备：</t>
        </is>
      </c>
    </row>
    <row r="2781">
      <c r="EH2781" s="0" t="inlineStr">
        <is>
          <t>147行 11列，源：None 备：</t>
        </is>
      </c>
    </row>
    <row r="2782">
      <c r="EH2782" s="0" t="inlineStr">
        <is>
          <t>147行 12列，源：None 备：</t>
        </is>
      </c>
    </row>
    <row r="2783">
      <c r="EH2783" s="0" t="inlineStr">
        <is>
          <t>147行 13列，源：None 备：</t>
        </is>
      </c>
    </row>
    <row r="2784">
      <c r="EH2784" s="0" t="inlineStr">
        <is>
          <t>147行 14列，源：None 备：</t>
        </is>
      </c>
    </row>
    <row r="2785">
      <c r="EH2785" s="0" t="inlineStr">
        <is>
          <t>147行 15列，源：nan 备：</t>
        </is>
      </c>
    </row>
    <row r="2786">
      <c r="EH2786" s="0" t="inlineStr">
        <is>
          <t>147行 16列，源：nan 备：</t>
        </is>
      </c>
    </row>
    <row r="2787">
      <c r="EH2787" s="0" t="inlineStr">
        <is>
          <t>147行 17列，源：None 备：</t>
        </is>
      </c>
    </row>
    <row r="2788">
      <c r="EH2788" s="0" t="inlineStr">
        <is>
          <t>147行 18列，源：None 备：</t>
        </is>
      </c>
    </row>
    <row r="2789">
      <c r="EH2789" s="0" t="inlineStr">
        <is>
          <t>147行 19列，源：None 备：</t>
        </is>
      </c>
    </row>
    <row r="2790">
      <c r="EH2790" s="0" t="inlineStr">
        <is>
          <t>148行 0列，源：359 备：54</t>
        </is>
      </c>
    </row>
    <row r="2791">
      <c r="EH2791" s="0" t="inlineStr">
        <is>
          <t>148行 1列，源：nan 备：123</t>
        </is>
      </c>
    </row>
    <row r="2792">
      <c r="EH2792" s="0" t="inlineStr">
        <is>
          <t>148行 2列，源：nan 备：12345</t>
        </is>
      </c>
    </row>
    <row r="2793">
      <c r="EH2793" s="0" t="inlineStr">
        <is>
          <t>148行 3列，源：nan 备：1234567890</t>
        </is>
      </c>
    </row>
    <row r="2794">
      <c r="EH2794" s="0" t="inlineStr">
        <is>
          <t>148行 4列，源：nan 备：1234567890123456</t>
        </is>
      </c>
    </row>
    <row r="2795">
      <c r="EH2795" s="0" t="inlineStr">
        <is>
          <t>148行 5列，源：None 备：</t>
        </is>
      </c>
    </row>
    <row r="2796">
      <c r="EH2796" s="0" t="inlineStr">
        <is>
          <t>148行 6列，源：None 备：</t>
        </is>
      </c>
    </row>
    <row r="2797">
      <c r="EH2797" s="0" t="inlineStr">
        <is>
          <t>148行 7列，源：None 备：</t>
        </is>
      </c>
    </row>
    <row r="2798">
      <c r="EH2798" s="0" t="inlineStr">
        <is>
          <t>148行 8列，源：None 备：</t>
        </is>
      </c>
    </row>
    <row r="2799">
      <c r="EH2799" s="0" t="inlineStr">
        <is>
          <t>148行 9列，源：None 备：</t>
        </is>
      </c>
    </row>
    <row r="2800">
      <c r="EH2800" s="0" t="inlineStr">
        <is>
          <t>148行 10列，源：None 备：</t>
        </is>
      </c>
    </row>
    <row r="2801">
      <c r="EH2801" s="0" t="inlineStr">
        <is>
          <t>148行 11列，源：None 备：</t>
        </is>
      </c>
    </row>
    <row r="2802">
      <c r="EH2802" s="0" t="inlineStr">
        <is>
          <t>148行 12列，源：None 备：</t>
        </is>
      </c>
    </row>
    <row r="2803">
      <c r="EH2803" s="0" t="inlineStr">
        <is>
          <t>148行 13列，源：None 备：</t>
        </is>
      </c>
    </row>
    <row r="2804">
      <c r="EH2804" s="0" t="inlineStr">
        <is>
          <t>148行 14列，源：None 备：</t>
        </is>
      </c>
    </row>
    <row r="2805">
      <c r="EH2805" s="0" t="inlineStr">
        <is>
          <t>148行 15列，源：nan 备：</t>
        </is>
      </c>
    </row>
    <row r="2806">
      <c r="EH2806" s="0" t="inlineStr">
        <is>
          <t>148行 16列，源：nan 备：</t>
        </is>
      </c>
    </row>
    <row r="2807">
      <c r="EH2807" s="0" t="inlineStr">
        <is>
          <t>148行 17列，源：None 备：</t>
        </is>
      </c>
    </row>
    <row r="2808">
      <c r="EH2808" s="0" t="inlineStr">
        <is>
          <t>148行 18列，源：None 备：</t>
        </is>
      </c>
    </row>
    <row r="2809">
      <c r="EH2809" s="0" t="inlineStr">
        <is>
          <t>148行 19列，源：None 备：</t>
        </is>
      </c>
    </row>
    <row r="2810">
      <c r="EH2810" s="0" t="inlineStr">
        <is>
          <t>149行 0列，源：360 备：55</t>
        </is>
      </c>
    </row>
    <row r="2811">
      <c r="EH2811" s="0" t="inlineStr">
        <is>
          <t>149行 1列，源：nan 备：0</t>
        </is>
      </c>
    </row>
    <row r="2812">
      <c r="EH2812" s="0" t="inlineStr">
        <is>
          <t>149行 2列，源：nan 备：0</t>
        </is>
      </c>
    </row>
    <row r="2813">
      <c r="EH2813" s="0" t="inlineStr">
        <is>
          <t>149行 3列，源：nan 备：0</t>
        </is>
      </c>
    </row>
    <row r="2814">
      <c r="EH2814" s="0" t="inlineStr">
        <is>
          <t>149行 4列，源：nan 备：0</t>
        </is>
      </c>
    </row>
    <row r="2815">
      <c r="EH2815" s="0" t="inlineStr">
        <is>
          <t>149行 5列，源：None 备：</t>
        </is>
      </c>
    </row>
    <row r="2816">
      <c r="EH2816" s="0" t="inlineStr">
        <is>
          <t>149行 6列，源：None 备：</t>
        </is>
      </c>
    </row>
    <row r="2817">
      <c r="EH2817" s="0" t="inlineStr">
        <is>
          <t>149行 7列，源：None 备：</t>
        </is>
      </c>
    </row>
    <row r="2818">
      <c r="EH2818" s="0" t="inlineStr">
        <is>
          <t>149行 8列，源：None 备：</t>
        </is>
      </c>
    </row>
    <row r="2819">
      <c r="EH2819" s="0" t="inlineStr">
        <is>
          <t>149行 9列，源：None 备：</t>
        </is>
      </c>
    </row>
    <row r="2820">
      <c r="EH2820" s="0" t="inlineStr">
        <is>
          <t>149行 10列，源：None 备：</t>
        </is>
      </c>
    </row>
    <row r="2821">
      <c r="EH2821" s="0" t="inlineStr">
        <is>
          <t>149行 11列，源：None 备：</t>
        </is>
      </c>
    </row>
    <row r="2822">
      <c r="EH2822" s="0" t="inlineStr">
        <is>
          <t>149行 12列，源：None 备：</t>
        </is>
      </c>
    </row>
    <row r="2823">
      <c r="EH2823" s="0" t="inlineStr">
        <is>
          <t>149行 13列，源：None 备：</t>
        </is>
      </c>
    </row>
    <row r="2824">
      <c r="EH2824" s="0" t="inlineStr">
        <is>
          <t>149行 14列，源：None 备：</t>
        </is>
      </c>
    </row>
    <row r="2825">
      <c r="EH2825" s="0" t="inlineStr">
        <is>
          <t>149行 15列，源：nan 备：</t>
        </is>
      </c>
    </row>
    <row r="2826">
      <c r="EH2826" s="0" t="inlineStr">
        <is>
          <t>149行 16列，源：nan 备：</t>
        </is>
      </c>
    </row>
    <row r="2827">
      <c r="EH2827" s="0" t="inlineStr">
        <is>
          <t>149行 17列，源：None 备：</t>
        </is>
      </c>
    </row>
    <row r="2828">
      <c r="EH2828" s="0" t="inlineStr">
        <is>
          <t>149行 18列，源：None 备：</t>
        </is>
      </c>
    </row>
    <row r="2829">
      <c r="EH2829" s="0" t="inlineStr">
        <is>
          <t>149行 19列，源：None 备：</t>
        </is>
      </c>
    </row>
    <row r="2830">
      <c r="EH2830" s="0" t="inlineStr">
        <is>
          <t>150行 0列，源：361 备：56</t>
        </is>
      </c>
    </row>
    <row r="2831">
      <c r="EH2831" s="0" t="inlineStr">
        <is>
          <t>150行 1列，源：nan 备：127</t>
        </is>
      </c>
    </row>
    <row r="2832">
      <c r="EH2832" s="0" t="inlineStr">
        <is>
          <t>150行 2列，源：nan 备：255</t>
        </is>
      </c>
    </row>
    <row r="2833">
      <c r="EH2833" s="0" t="inlineStr">
        <is>
          <t>150行 3列，源：nan 备：65535</t>
        </is>
      </c>
    </row>
    <row r="2834">
      <c r="EH2834" s="0" t="inlineStr">
        <is>
          <t>150行 4列，源：nan 备：4294967295</t>
        </is>
      </c>
    </row>
    <row r="2835">
      <c r="EH2835" s="0" t="inlineStr">
        <is>
          <t>150行 5列，源：None 备：</t>
        </is>
      </c>
    </row>
    <row r="2836">
      <c r="EH2836" s="0" t="inlineStr">
        <is>
          <t>150行 6列，源：None 备：</t>
        </is>
      </c>
    </row>
    <row r="2837">
      <c r="EH2837" s="0" t="inlineStr">
        <is>
          <t>150行 7列，源：None 备：</t>
        </is>
      </c>
    </row>
    <row r="2838">
      <c r="EH2838" s="0" t="inlineStr">
        <is>
          <t>150行 8列，源：None 备：</t>
        </is>
      </c>
    </row>
    <row r="2839">
      <c r="EH2839" s="0" t="inlineStr">
        <is>
          <t>150行 9列，源：None 备：</t>
        </is>
      </c>
    </row>
    <row r="2840">
      <c r="EH2840" s="0" t="inlineStr">
        <is>
          <t>150行 10列，源：None 备：</t>
        </is>
      </c>
    </row>
    <row r="2841">
      <c r="EH2841" s="0" t="inlineStr">
        <is>
          <t>150行 11列，源：None 备：</t>
        </is>
      </c>
    </row>
    <row r="2842">
      <c r="EH2842" s="0" t="inlineStr">
        <is>
          <t>150行 12列，源：None 备：</t>
        </is>
      </c>
    </row>
    <row r="2843">
      <c r="EH2843" s="0" t="inlineStr">
        <is>
          <t>150行 13列，源：None 备：</t>
        </is>
      </c>
    </row>
    <row r="2844">
      <c r="EH2844" s="0" t="inlineStr">
        <is>
          <t>150行 14列，源：None 备：</t>
        </is>
      </c>
    </row>
    <row r="2845">
      <c r="EH2845" s="0" t="inlineStr">
        <is>
          <t>150行 15列，源：nan 备：</t>
        </is>
      </c>
    </row>
    <row r="2846">
      <c r="EH2846" s="0" t="inlineStr">
        <is>
          <t>150行 16列，源：nan 备：</t>
        </is>
      </c>
    </row>
    <row r="2847">
      <c r="EH2847" s="0" t="inlineStr">
        <is>
          <t>150行 17列，源：None 备：</t>
        </is>
      </c>
    </row>
    <row r="2848">
      <c r="EH2848" s="0" t="inlineStr">
        <is>
          <t>150行 18列，源：None 备：</t>
        </is>
      </c>
    </row>
    <row r="2849">
      <c r="EH2849" s="0" t="inlineStr">
        <is>
          <t>150行 19列，源：None 备：</t>
        </is>
      </c>
    </row>
    <row r="2850">
      <c r="EH2850" s="0" t="inlineStr">
        <is>
          <t>151行 0列，源：362 备：57</t>
        </is>
      </c>
    </row>
    <row r="2851">
      <c r="EH2851" s="0" t="inlineStr">
        <is>
          <t>151行 1列，源：nan 备：255</t>
        </is>
      </c>
    </row>
    <row r="2852">
      <c r="EH2852" s="0" t="inlineStr">
        <is>
          <t>151行 2列，源：nan 备：32767</t>
        </is>
      </c>
    </row>
    <row r="2853">
      <c r="EH2853" s="0" t="inlineStr">
        <is>
          <t>151行 3列，源：nan 备：2147483647</t>
        </is>
      </c>
    </row>
    <row r="2854">
      <c r="EH2854" s="0" t="inlineStr">
        <is>
          <t>151行 4列，源：nan 备：9223372036854775807</t>
        </is>
      </c>
    </row>
    <row r="2855">
      <c r="EH2855" s="0" t="inlineStr">
        <is>
          <t>151行 5列，源：None 备：</t>
        </is>
      </c>
    </row>
    <row r="2856">
      <c r="EH2856" s="0" t="inlineStr">
        <is>
          <t>151行 6列，源：None 备：</t>
        </is>
      </c>
    </row>
    <row r="2857">
      <c r="EH2857" s="0" t="inlineStr">
        <is>
          <t>151行 7列，源：None 备：</t>
        </is>
      </c>
    </row>
    <row r="2858">
      <c r="EH2858" s="0" t="inlineStr">
        <is>
          <t>151行 8列，源：None 备：</t>
        </is>
      </c>
    </row>
    <row r="2859">
      <c r="EH2859" s="0" t="inlineStr">
        <is>
          <t>151行 9列，源：None 备：</t>
        </is>
      </c>
    </row>
    <row r="2860">
      <c r="EH2860" s="0" t="inlineStr">
        <is>
          <t>151行 10列，源：None 备：</t>
        </is>
      </c>
    </row>
    <row r="2861">
      <c r="EH2861" s="0" t="inlineStr">
        <is>
          <t>151行 11列，源：None 备：</t>
        </is>
      </c>
    </row>
    <row r="2862">
      <c r="EH2862" s="0" t="inlineStr">
        <is>
          <t>151行 12列，源：None 备：</t>
        </is>
      </c>
    </row>
    <row r="2863">
      <c r="EH2863" s="0" t="inlineStr">
        <is>
          <t>151行 13列，源：None 备：</t>
        </is>
      </c>
    </row>
    <row r="2864">
      <c r="EH2864" s="0" t="inlineStr">
        <is>
          <t>151行 14列，源：None 备：</t>
        </is>
      </c>
    </row>
    <row r="2865">
      <c r="EH2865" s="0" t="inlineStr">
        <is>
          <t>151行 15列，源：nan 备：</t>
        </is>
      </c>
    </row>
    <row r="2866">
      <c r="EH2866" s="0" t="inlineStr">
        <is>
          <t>151行 16列，源：nan 备：</t>
        </is>
      </c>
    </row>
    <row r="2867">
      <c r="EH2867" s="0" t="inlineStr">
        <is>
          <t>151行 17列，源：None 备：</t>
        </is>
      </c>
    </row>
    <row r="2868">
      <c r="EH2868" s="0" t="inlineStr">
        <is>
          <t>151行 18列，源：None 备：</t>
        </is>
      </c>
    </row>
    <row r="2869">
      <c r="EH2869" s="0" t="inlineStr">
        <is>
          <t>151行 19列，源：None 备：</t>
        </is>
      </c>
    </row>
    <row r="2870">
      <c r="EH2870" s="0" t="inlineStr">
        <is>
          <t>152行 0列，源：363 备：58</t>
        </is>
      </c>
    </row>
    <row r="2871">
      <c r="EH2871" s="0" t="inlineStr">
        <is>
          <t>152行 1列，源：nan 备：0</t>
        </is>
      </c>
    </row>
    <row r="2872">
      <c r="EH2872" s="0" t="inlineStr">
        <is>
          <t>152行 2列，源：nan 备：-32768</t>
        </is>
      </c>
    </row>
    <row r="2873">
      <c r="EH2873" s="0" t="inlineStr">
        <is>
          <t>152行 3列，源：nan 备：-2147483648</t>
        </is>
      </c>
    </row>
    <row r="2874">
      <c r="EH2874" s="0" t="inlineStr">
        <is>
          <t>152行 4列，源：nan 备：-9223372036854775808</t>
        </is>
      </c>
    </row>
    <row r="2875">
      <c r="EH2875" s="0" t="inlineStr">
        <is>
          <t>152行 5列，源：None 备：</t>
        </is>
      </c>
    </row>
    <row r="2876">
      <c r="EH2876" s="0" t="inlineStr">
        <is>
          <t>152行 6列，源：None 备：</t>
        </is>
      </c>
    </row>
    <row r="2877">
      <c r="EH2877" s="0" t="inlineStr">
        <is>
          <t>152行 7列，源：None 备：</t>
        </is>
      </c>
    </row>
    <row r="2878">
      <c r="EH2878" s="0" t="inlineStr">
        <is>
          <t>152行 8列，源：None 备：</t>
        </is>
      </c>
    </row>
    <row r="2879">
      <c r="EH2879" s="0" t="inlineStr">
        <is>
          <t>152行 9列，源：None 备：</t>
        </is>
      </c>
    </row>
    <row r="2880">
      <c r="EH2880" s="0" t="inlineStr">
        <is>
          <t>152行 10列，源：None 备：</t>
        </is>
      </c>
    </row>
    <row r="2881">
      <c r="EH2881" s="0" t="inlineStr">
        <is>
          <t>152行 11列，源：None 备：</t>
        </is>
      </c>
    </row>
    <row r="2882">
      <c r="EH2882" s="0" t="inlineStr">
        <is>
          <t>152行 12列，源：None 备：</t>
        </is>
      </c>
    </row>
    <row r="2883">
      <c r="EH2883" s="0" t="inlineStr">
        <is>
          <t>152行 13列，源：None 备：</t>
        </is>
      </c>
    </row>
    <row r="2884">
      <c r="EH2884" s="0" t="inlineStr">
        <is>
          <t>152行 14列，源：None 备：</t>
        </is>
      </c>
    </row>
    <row r="2885">
      <c r="EH2885" s="0" t="inlineStr">
        <is>
          <t>152行 15列，源：nan 备：</t>
        </is>
      </c>
    </row>
    <row r="2886">
      <c r="EH2886" s="0" t="inlineStr">
        <is>
          <t>152行 16列，源：nan 备：</t>
        </is>
      </c>
    </row>
    <row r="2887">
      <c r="EH2887" s="0" t="inlineStr">
        <is>
          <t>152行 17列，源：None 备：</t>
        </is>
      </c>
    </row>
    <row r="2888">
      <c r="EH2888" s="0" t="inlineStr">
        <is>
          <t>152行 18列，源：None 备：</t>
        </is>
      </c>
    </row>
    <row r="2889">
      <c r="EH2889" s="0" t="inlineStr">
        <is>
          <t>152行 19列，源：None 备：</t>
        </is>
      </c>
    </row>
    <row r="2890">
      <c r="EH2890" s="0" t="inlineStr">
        <is>
          <t>153行 0列，源：364 备：59</t>
        </is>
      </c>
    </row>
    <row r="2891">
      <c r="EH2891" s="0" t="inlineStr">
        <is>
          <t>153行 1列，源：nan 备：42</t>
        </is>
      </c>
    </row>
    <row r="2892">
      <c r="EH2892" s="0" t="inlineStr">
        <is>
          <t>153行 2列，源：nan 备：12345</t>
        </is>
      </c>
    </row>
    <row r="2893">
      <c r="EH2893" s="0" t="inlineStr">
        <is>
          <t>153行 3列，源：nan 备：123456789</t>
        </is>
      </c>
    </row>
    <row r="2894">
      <c r="EH2894" s="0" t="inlineStr">
        <is>
          <t>153行 4列，源：nan 备：123456789012345</t>
        </is>
      </c>
    </row>
    <row r="2895">
      <c r="EH2895" s="0" t="inlineStr">
        <is>
          <t>153行 5列，源：None 备：</t>
        </is>
      </c>
    </row>
    <row r="2896">
      <c r="EH2896" s="0" t="inlineStr">
        <is>
          <t>153行 6列，源：None 备：</t>
        </is>
      </c>
    </row>
    <row r="2897">
      <c r="EH2897" s="0" t="inlineStr">
        <is>
          <t>153行 7列，源：None 备：</t>
        </is>
      </c>
    </row>
    <row r="2898">
      <c r="EH2898" s="0" t="inlineStr">
        <is>
          <t>153行 8列，源：None 备：</t>
        </is>
      </c>
    </row>
    <row r="2899">
      <c r="EH2899" s="0" t="inlineStr">
        <is>
          <t>153行 9列，源：None 备：</t>
        </is>
      </c>
    </row>
    <row r="2900">
      <c r="EH2900" s="0" t="inlineStr">
        <is>
          <t>153行 10列，源：None 备：</t>
        </is>
      </c>
    </row>
    <row r="2901">
      <c r="EH2901" s="0" t="inlineStr">
        <is>
          <t>153行 11列，源：None 备：</t>
        </is>
      </c>
    </row>
    <row r="2902">
      <c r="EH2902" s="0" t="inlineStr">
        <is>
          <t>153行 12列，源：None 备：</t>
        </is>
      </c>
    </row>
    <row r="2903">
      <c r="EH2903" s="0" t="inlineStr">
        <is>
          <t>153行 13列，源：None 备：</t>
        </is>
      </c>
    </row>
    <row r="2904">
      <c r="EH2904" s="0" t="inlineStr">
        <is>
          <t>153行 14列，源：None 备：</t>
        </is>
      </c>
    </row>
    <row r="2905">
      <c r="EH2905" s="0" t="inlineStr">
        <is>
          <t>153行 15列，源：nan 备：</t>
        </is>
      </c>
    </row>
    <row r="2906">
      <c r="EH2906" s="0" t="inlineStr">
        <is>
          <t>153行 16列，源：nan 备：</t>
        </is>
      </c>
    </row>
    <row r="2907">
      <c r="EH2907" s="0" t="inlineStr">
        <is>
          <t>153行 17列，源：None 备：</t>
        </is>
      </c>
    </row>
    <row r="2908">
      <c r="EH2908" s="0" t="inlineStr">
        <is>
          <t>153行 18列，源：None 备：</t>
        </is>
      </c>
    </row>
    <row r="2909">
      <c r="EH2909" s="0" t="inlineStr">
        <is>
          <t>153行 19列，源：None 备：</t>
        </is>
      </c>
    </row>
    <row r="2910">
      <c r="EH2910" s="0" t="inlineStr">
        <is>
          <t>154行 0列，源：365 备：6</t>
        </is>
      </c>
    </row>
    <row r="2911">
      <c r="EH2911" s="0" t="inlineStr">
        <is>
          <t>154行 1列，源：nan 备：127</t>
        </is>
      </c>
    </row>
    <row r="2912">
      <c r="EH2912" s="0" t="inlineStr">
        <is>
          <t>154行 2列，源：nan 备：255</t>
        </is>
      </c>
    </row>
    <row r="2913">
      <c r="EH2913" s="0" t="inlineStr">
        <is>
          <t>154行 3列，源：nan 备：65535</t>
        </is>
      </c>
    </row>
    <row r="2914">
      <c r="EH2914" s="0" t="inlineStr">
        <is>
          <t>154行 4列，源：nan 备：4294967295</t>
        </is>
      </c>
    </row>
    <row r="2915">
      <c r="EH2915" s="0" t="inlineStr">
        <is>
          <t>154行 5列，源：None 备：</t>
        </is>
      </c>
    </row>
    <row r="2916">
      <c r="EH2916" s="0" t="inlineStr">
        <is>
          <t>154行 6列，源：None 备：</t>
        </is>
      </c>
    </row>
    <row r="2917">
      <c r="EH2917" s="0" t="inlineStr">
        <is>
          <t>154行 7列，源：None 备：</t>
        </is>
      </c>
    </row>
    <row r="2918">
      <c r="EH2918" s="0" t="inlineStr">
        <is>
          <t>154行 8列，源：None 备：</t>
        </is>
      </c>
    </row>
    <row r="2919">
      <c r="EH2919" s="0" t="inlineStr">
        <is>
          <t>154行 9列，源：None 备：</t>
        </is>
      </c>
    </row>
    <row r="2920">
      <c r="EH2920" s="0" t="inlineStr">
        <is>
          <t>154行 10列，源：None 备：</t>
        </is>
      </c>
    </row>
    <row r="2921">
      <c r="EH2921" s="0" t="inlineStr">
        <is>
          <t>154行 11列，源：None 备：</t>
        </is>
      </c>
    </row>
    <row r="2922">
      <c r="EH2922" s="0" t="inlineStr">
        <is>
          <t>154行 12列，源：None 备：</t>
        </is>
      </c>
    </row>
    <row r="2923">
      <c r="EH2923" s="0" t="inlineStr">
        <is>
          <t>154行 13列，源：None 备：</t>
        </is>
      </c>
    </row>
    <row r="2924">
      <c r="EH2924" s="0" t="inlineStr">
        <is>
          <t>154行 14列，源：None 备：</t>
        </is>
      </c>
    </row>
    <row r="2925">
      <c r="EH2925" s="0" t="inlineStr">
        <is>
          <t>154行 15列，源：nan 备：</t>
        </is>
      </c>
    </row>
    <row r="2926">
      <c r="EH2926" s="0" t="inlineStr">
        <is>
          <t>154行 16列，源：nan 备：</t>
        </is>
      </c>
    </row>
    <row r="2927">
      <c r="EH2927" s="0" t="inlineStr">
        <is>
          <t>154行 17列，源：None 备：</t>
        </is>
      </c>
    </row>
    <row r="2928">
      <c r="EH2928" s="0" t="inlineStr">
        <is>
          <t>154行 18列，源：None 备：</t>
        </is>
      </c>
    </row>
    <row r="2929">
      <c r="EH2929" s="0" t="inlineStr">
        <is>
          <t>154行 19列，源：None 备：</t>
        </is>
      </c>
    </row>
    <row r="2930">
      <c r="EH2930" s="0" t="inlineStr">
        <is>
          <t>155行 0列，源：366 备：60</t>
        </is>
      </c>
    </row>
    <row r="2931">
      <c r="EH2931" s="0" t="inlineStr">
        <is>
          <t>155行 1列，源：nan 备：99</t>
        </is>
      </c>
    </row>
    <row r="2932">
      <c r="EH2932" s="0" t="inlineStr">
        <is>
          <t>155行 2列，源：nan 备：-12345</t>
        </is>
      </c>
    </row>
    <row r="2933">
      <c r="EH2933" s="0" t="inlineStr">
        <is>
          <t>155行 3列，源：nan 备：-123456789</t>
        </is>
      </c>
    </row>
    <row r="2934">
      <c r="EH2934" s="0" t="inlineStr">
        <is>
          <t>155行 4列，源：nan 备：-123456789012345</t>
        </is>
      </c>
    </row>
    <row r="2935">
      <c r="EH2935" s="0" t="inlineStr">
        <is>
          <t>155行 5列，源：None 备：</t>
        </is>
      </c>
    </row>
    <row r="2936">
      <c r="EH2936" s="0" t="inlineStr">
        <is>
          <t>155行 6列，源：None 备：</t>
        </is>
      </c>
    </row>
    <row r="2937">
      <c r="EH2937" s="0" t="inlineStr">
        <is>
          <t>155行 7列，源：None 备：</t>
        </is>
      </c>
    </row>
    <row r="2938">
      <c r="EH2938" s="0" t="inlineStr">
        <is>
          <t>155行 8列，源：None 备：</t>
        </is>
      </c>
    </row>
    <row r="2939">
      <c r="EH2939" s="0" t="inlineStr">
        <is>
          <t>155行 9列，源：None 备：</t>
        </is>
      </c>
    </row>
    <row r="2940">
      <c r="EH2940" s="0" t="inlineStr">
        <is>
          <t>155行 10列，源：None 备：</t>
        </is>
      </c>
    </row>
    <row r="2941">
      <c r="EH2941" s="0" t="inlineStr">
        <is>
          <t>155行 11列，源：None 备：</t>
        </is>
      </c>
    </row>
    <row r="2942">
      <c r="EH2942" s="0" t="inlineStr">
        <is>
          <t>155行 12列，源：None 备：</t>
        </is>
      </c>
    </row>
    <row r="2943">
      <c r="EH2943" s="0" t="inlineStr">
        <is>
          <t>155行 13列，源：None 备：</t>
        </is>
      </c>
    </row>
    <row r="2944">
      <c r="EH2944" s="0" t="inlineStr">
        <is>
          <t>155行 14列，源：None 备：</t>
        </is>
      </c>
    </row>
    <row r="2945">
      <c r="EH2945" s="0" t="inlineStr">
        <is>
          <t>155行 15列，源：nan 备：</t>
        </is>
      </c>
    </row>
    <row r="2946">
      <c r="EH2946" s="0" t="inlineStr">
        <is>
          <t>155行 16列，源：nan 备：</t>
        </is>
      </c>
    </row>
    <row r="2947">
      <c r="EH2947" s="0" t="inlineStr">
        <is>
          <t>155行 17列，源：None 备：</t>
        </is>
      </c>
    </row>
    <row r="2948">
      <c r="EH2948" s="0" t="inlineStr">
        <is>
          <t>155行 18列，源：None 备：</t>
        </is>
      </c>
    </row>
    <row r="2949">
      <c r="EH2949" s="0" t="inlineStr">
        <is>
          <t>155行 19列，源：None 备：</t>
        </is>
      </c>
    </row>
    <row r="2950">
      <c r="EH2950" s="0" t="inlineStr">
        <is>
          <t>156行 0列，源：367 备：602</t>
        </is>
      </c>
    </row>
    <row r="2951">
      <c r="EH2951" s="0" t="inlineStr">
        <is>
          <t>156行 1列，源：nan 备：</t>
        </is>
      </c>
    </row>
    <row r="2952">
      <c r="EH2952" s="0" t="inlineStr">
        <is>
          <t>156行 2列，源：nan 备：</t>
        </is>
      </c>
    </row>
    <row r="2953">
      <c r="EH2953" s="0" t="inlineStr">
        <is>
          <t>156行 3列，源：nan 备：</t>
        </is>
      </c>
    </row>
    <row r="2954">
      <c r="EH2954" s="0" t="inlineStr">
        <is>
          <t>156行 4列，源：nan 备：</t>
        </is>
      </c>
    </row>
    <row r="2955">
      <c r="EH2955" s="0" t="inlineStr">
        <is>
          <t>156行 5列，源：None 备：999999999999999999</t>
        </is>
      </c>
    </row>
    <row r="2956">
      <c r="EH2956" s="0" t="inlineStr">
        <is>
          <t>156行 6列，源：None 备：99999999999999999999999999999999999999</t>
        </is>
      </c>
    </row>
    <row r="2957">
      <c r="EH2957" s="0" t="inlineStr">
        <is>
          <t>156行 7列，源：None 备：0.99999999999999999999999999999999999999</t>
        </is>
      </c>
    </row>
    <row r="2958">
      <c r="EH2958" s="0" t="inlineStr">
        <is>
          <t>156行 8列，源：None 备：9999999999999999999999999999.9999999999</t>
        </is>
      </c>
    </row>
    <row r="2959">
      <c r="EH2959" s="0" t="inlineStr">
        <is>
          <t>156行 9列，源：None 备：999999999999999.9999</t>
        </is>
      </c>
    </row>
    <row r="2960">
      <c r="EH2960" s="0" t="inlineStr">
        <is>
          <t>156行 10列，源：None 备：999999999999999999</t>
        </is>
      </c>
    </row>
    <row r="2961">
      <c r="EH2961" s="0" t="inlineStr">
        <is>
          <t>156行 11列，源：None 备：99999999999999999999999999999999999999</t>
        </is>
      </c>
    </row>
    <row r="2962">
      <c r="EH2962" s="0" t="inlineStr">
        <is>
          <t>156行 12列，源：None 备：0.99999999999999999999999999999999999999</t>
        </is>
      </c>
    </row>
    <row r="2963">
      <c r="EH2963" s="0" t="inlineStr">
        <is>
          <t>156行 13列，源：None 备：9999999999999999999999999999.9999999999</t>
        </is>
      </c>
    </row>
    <row r="2964">
      <c r="EH2964" s="0" t="inlineStr">
        <is>
          <t>156行 14列，源：None 备：9999999999999999.99</t>
        </is>
      </c>
    </row>
    <row r="2965">
      <c r="EH2965" s="0" t="inlineStr">
        <is>
          <t>156行 15列，源：nan 备：</t>
        </is>
      </c>
    </row>
    <row r="2966">
      <c r="EH2966" s="0" t="inlineStr">
        <is>
          <t>156行 16列，源：nan 备：</t>
        </is>
      </c>
    </row>
    <row r="2967">
      <c r="EH2967" s="0" t="inlineStr">
        <is>
          <t>156行 17列，源：None 备：</t>
        </is>
      </c>
    </row>
    <row r="2968">
      <c r="EH2968" s="0" t="inlineStr">
        <is>
          <t>156行 18列，源：None 备：</t>
        </is>
      </c>
    </row>
    <row r="2969">
      <c r="EH2969" s="0" t="inlineStr">
        <is>
          <t>156行 19列，源：None 备：</t>
        </is>
      </c>
    </row>
    <row r="2970">
      <c r="EH2970" s="0" t="inlineStr">
        <is>
          <t>157行 0列，源：368 备：604</t>
        </is>
      </c>
    </row>
    <row r="2971">
      <c r="EH2971" s="0" t="inlineStr">
        <is>
          <t>157行 1列，源：nan 备：</t>
        </is>
      </c>
    </row>
    <row r="2972">
      <c r="EH2972" s="0" t="inlineStr">
        <is>
          <t>157行 2列，源：nan 备：</t>
        </is>
      </c>
    </row>
    <row r="2973">
      <c r="EH2973" s="0" t="inlineStr">
        <is>
          <t>157行 3列，源：nan 备：</t>
        </is>
      </c>
    </row>
    <row r="2974">
      <c r="EH2974" s="0" t="inlineStr">
        <is>
          <t>157行 4列，源：nan 备：</t>
        </is>
      </c>
    </row>
    <row r="2975">
      <c r="EH2975" s="0" t="inlineStr">
        <is>
          <t>157行 5列，源：None 备：123456789123456789</t>
        </is>
      </c>
    </row>
    <row r="2976">
      <c r="EH2976" s="0" t="inlineStr">
        <is>
          <t>157行 6列，源：None 备：-1234567890123456789012345</t>
        </is>
      </c>
    </row>
    <row r="2977">
      <c r="EH2977" s="0" t="inlineStr">
        <is>
          <t>157行 7列，源：None 备：0.00000000000000000000000080000000000000</t>
        </is>
      </c>
    </row>
    <row r="2978">
      <c r="EH2978" s="0" t="inlineStr">
        <is>
          <t>157行 8列，源：None 备：1234567890123456789012345678.1234567890</t>
        </is>
      </c>
    </row>
    <row r="2979">
      <c r="EH2979" s="0" t="inlineStr">
        <is>
          <t>157行 9列，源：None 备：-123456789012.1234</t>
        </is>
      </c>
    </row>
    <row r="2980">
      <c r="EH2980" s="0" t="inlineStr">
        <is>
          <t>157行 10列，源：None 备：123456789123456789</t>
        </is>
      </c>
    </row>
    <row r="2981">
      <c r="EH2981" s="0" t="inlineStr">
        <is>
          <t>157行 11列，源：None 备：-1234567890123456789012345</t>
        </is>
      </c>
    </row>
    <row r="2982">
      <c r="EH2982" s="0" t="inlineStr">
        <is>
          <t>157行 12列，源：None 备：0.00000000000000000000000080000000000000</t>
        </is>
      </c>
    </row>
    <row r="2983">
      <c r="EH2983" s="0" t="inlineStr">
        <is>
          <t>157行 13列，源：None 备：1234567890123456789012345678.1234567890</t>
        </is>
      </c>
    </row>
    <row r="2984">
      <c r="EH2984" s="0" t="inlineStr">
        <is>
          <t>157行 14列，源：None 备：-123456789012.12</t>
        </is>
      </c>
    </row>
    <row r="2985">
      <c r="EH2985" s="0" t="inlineStr">
        <is>
          <t>157行 15列，源：nan 备：</t>
        </is>
      </c>
    </row>
    <row r="2986">
      <c r="EH2986" s="0" t="inlineStr">
        <is>
          <t>157行 16列，源：nan 备：</t>
        </is>
      </c>
    </row>
    <row r="2987">
      <c r="EH2987" s="0" t="inlineStr">
        <is>
          <t>157行 17列，源：None 备：</t>
        </is>
      </c>
    </row>
    <row r="2988">
      <c r="EH2988" s="0" t="inlineStr">
        <is>
          <t>157行 18列，源：None 备：</t>
        </is>
      </c>
    </row>
    <row r="2989">
      <c r="EH2989" s="0" t="inlineStr">
        <is>
          <t>157行 19列，源：None 备：</t>
        </is>
      </c>
    </row>
    <row r="2990">
      <c r="EH2990" s="0" t="inlineStr">
        <is>
          <t>158行 0列，源：369 备：61</t>
        </is>
      </c>
    </row>
    <row r="2991">
      <c r="EH2991" s="0" t="inlineStr">
        <is>
          <t>158行 1列，源：nan 备：200</t>
        </is>
      </c>
    </row>
    <row r="2992">
      <c r="EH2992" s="0" t="inlineStr">
        <is>
          <t>158行 2列，源：nan 备：20000</t>
        </is>
      </c>
    </row>
    <row r="2993">
      <c r="EH2993" s="0" t="inlineStr">
        <is>
          <t>158行 3列，源：nan 备：2000000000</t>
        </is>
      </c>
    </row>
    <row r="2994">
      <c r="EH2994" s="0" t="inlineStr">
        <is>
          <t>158行 4列，源：nan 备：2000000000000000</t>
        </is>
      </c>
    </row>
    <row r="2995">
      <c r="EH2995" s="0" t="inlineStr">
        <is>
          <t>158行 5列，源：None 备：</t>
        </is>
      </c>
    </row>
    <row r="2996">
      <c r="EH2996" s="0" t="inlineStr">
        <is>
          <t>158行 6列，源：None 备：</t>
        </is>
      </c>
    </row>
    <row r="2997">
      <c r="EH2997" s="0" t="inlineStr">
        <is>
          <t>158行 7列，源：None 备：</t>
        </is>
      </c>
    </row>
    <row r="2998">
      <c r="EH2998" s="0" t="inlineStr">
        <is>
          <t>158行 8列，源：None 备：</t>
        </is>
      </c>
    </row>
    <row r="2999">
      <c r="EH2999" s="0" t="inlineStr">
        <is>
          <t>158行 9列，源：None 备：</t>
        </is>
      </c>
    </row>
    <row r="3000">
      <c r="EH3000" s="0" t="inlineStr">
        <is>
          <t>158行 10列，源：None 备：</t>
        </is>
      </c>
    </row>
    <row r="3001">
      <c r="EH3001" s="0" t="inlineStr">
        <is>
          <t>158行 11列，源：None 备：</t>
        </is>
      </c>
    </row>
    <row r="3002">
      <c r="EH3002" s="0" t="inlineStr">
        <is>
          <t>158行 12列，源：None 备：</t>
        </is>
      </c>
    </row>
    <row r="3003">
      <c r="EH3003" s="0" t="inlineStr">
        <is>
          <t>158行 13列，源：None 备：</t>
        </is>
      </c>
    </row>
    <row r="3004">
      <c r="EH3004" s="0" t="inlineStr">
        <is>
          <t>158行 14列，源：None 备：</t>
        </is>
      </c>
    </row>
    <row r="3005">
      <c r="EH3005" s="0" t="inlineStr">
        <is>
          <t>158行 15列，源：nan 备：</t>
        </is>
      </c>
    </row>
    <row r="3006">
      <c r="EH3006" s="0" t="inlineStr">
        <is>
          <t>158行 16列，源：nan 备：</t>
        </is>
      </c>
    </row>
    <row r="3007">
      <c r="EH3007" s="0" t="inlineStr">
        <is>
          <t>158行 17列，源：None 备：</t>
        </is>
      </c>
    </row>
    <row r="3008">
      <c r="EH3008" s="0" t="inlineStr">
        <is>
          <t>158行 18列，源：None 备：</t>
        </is>
      </c>
    </row>
    <row r="3009">
      <c r="EH3009" s="0" t="inlineStr">
        <is>
          <t>158行 19列，源：None 备：</t>
        </is>
      </c>
    </row>
    <row r="3010">
      <c r="EH3010" s="0" t="inlineStr">
        <is>
          <t>159行 0列，源：370 备：612</t>
        </is>
      </c>
    </row>
    <row r="3011">
      <c r="EH3011" s="0" t="inlineStr">
        <is>
          <t>159行 1列，源：nan 备：</t>
        </is>
      </c>
    </row>
    <row r="3012">
      <c r="EH3012" s="0" t="inlineStr">
        <is>
          <t>159行 2列，源：nan 备：</t>
        </is>
      </c>
    </row>
    <row r="3013">
      <c r="EH3013" s="0" t="inlineStr">
        <is>
          <t>159行 3列，源：nan 备：</t>
        </is>
      </c>
    </row>
    <row r="3014">
      <c r="EH3014" s="0" t="inlineStr">
        <is>
          <t>159行 4列，源：nan 备：</t>
        </is>
      </c>
    </row>
    <row r="3015">
      <c r="EH3015" s="0" t="inlineStr">
        <is>
          <t>159行 5列，源：None 备：123</t>
        </is>
      </c>
    </row>
    <row r="3016">
      <c r="EH3016" s="0" t="inlineStr">
        <is>
          <t>159行 6列，源：None 备：12345678901234567890123789012345678</t>
        </is>
      </c>
    </row>
    <row r="3017">
      <c r="EH3017" s="0" t="inlineStr">
        <is>
          <t>159行 7列，源：None 备：0.12345678901234590123456789012367800000</t>
        </is>
      </c>
    </row>
    <row r="3018">
      <c r="EH3018" s="0" t="inlineStr">
        <is>
          <t>159行 8列，源：None 备：123456789012367012345678.1245890000</t>
        </is>
      </c>
    </row>
    <row r="3019">
      <c r="EH3019" s="0" t="inlineStr">
        <is>
          <t>159行 9列，源：None 备：123456712345.6789</t>
        </is>
      </c>
    </row>
    <row r="3020">
      <c r="EH3020" s="0" t="inlineStr">
        <is>
          <t>159行 10列，源：None 备：988</t>
        </is>
      </c>
    </row>
    <row r="3021">
      <c r="EH3021" s="0" t="inlineStr">
        <is>
          <t>159行 11列，源：None 备：987654321098765410987654321098765432</t>
        </is>
      </c>
    </row>
    <row r="3022">
      <c r="EH3022" s="0" t="inlineStr">
        <is>
          <t>159行 12列，源：None 备：0.98765432109874321098765432109876543200</t>
        </is>
      </c>
    </row>
    <row r="3023">
      <c r="EH3023" s="0" t="inlineStr">
        <is>
          <t>159行 13列，源：None 备：987654321098765432105432.1098542000</t>
        </is>
      </c>
    </row>
    <row r="3024">
      <c r="EH3024" s="0" t="inlineStr">
        <is>
          <t>159行 14列，源：None 备：1234567012456.78</t>
        </is>
      </c>
    </row>
    <row r="3025">
      <c r="EH3025" s="0" t="inlineStr">
        <is>
          <t>159行 15列，源：nan 备：</t>
        </is>
      </c>
    </row>
    <row r="3026">
      <c r="EH3026" s="0" t="inlineStr">
        <is>
          <t>159行 16列，源：nan 备：</t>
        </is>
      </c>
    </row>
    <row r="3027">
      <c r="EH3027" s="0" t="inlineStr">
        <is>
          <t>159行 17列，源：None 备：</t>
        </is>
      </c>
    </row>
    <row r="3028">
      <c r="EH3028" s="0" t="inlineStr">
        <is>
          <t>159行 18列，源：None 备：</t>
        </is>
      </c>
    </row>
    <row r="3029">
      <c r="EH3029" s="0" t="inlineStr">
        <is>
          <t>159行 19列，源：None 备：</t>
        </is>
      </c>
    </row>
    <row r="3030">
      <c r="EH3030" s="0" t="inlineStr">
        <is>
          <t>160行 0列，源：404 备：614</t>
        </is>
      </c>
    </row>
    <row r="3031">
      <c r="EH3031" s="0" t="inlineStr">
        <is>
          <t>160行 1列，源：123.0 备：</t>
        </is>
      </c>
    </row>
    <row r="3032">
      <c r="EH3032" s="0" t="inlineStr">
        <is>
          <t>160行 2列，源：12345.0 备：</t>
        </is>
      </c>
    </row>
    <row r="3033">
      <c r="EH3033" s="0" t="inlineStr">
        <is>
          <t>160行 3列，源：1234567890.0 备：</t>
        </is>
      </c>
    </row>
    <row r="3034">
      <c r="EH3034" s="0" t="inlineStr">
        <is>
          <t>160行 4列，源：1234567890123456.0 备：</t>
        </is>
      </c>
    </row>
    <row r="3035">
      <c r="EH3035" s="0" t="inlineStr">
        <is>
          <t>160行 5列，源：None 备：1000000000000000</t>
        </is>
      </c>
    </row>
    <row r="3036">
      <c r="EH3036" s="0" t="inlineStr">
        <is>
          <t>160行 6列，源：None 备：99999999999999999999999999999999</t>
        </is>
      </c>
    </row>
    <row r="3037">
      <c r="EH3037" s="0" t="inlineStr">
        <is>
          <t>160行 7列，源：None 备：0.99999999999999999999999999999900000000</t>
        </is>
      </c>
    </row>
    <row r="3038">
      <c r="EH3038" s="0" t="inlineStr">
        <is>
          <t>160行 8列，源：None 备：9999999999999999999999.9999990000</t>
        </is>
      </c>
    </row>
    <row r="3039">
      <c r="EH3039" s="0" t="inlineStr">
        <is>
          <t>160行 9列，源：None 备：999999999999.9990</t>
        </is>
      </c>
    </row>
    <row r="3040">
      <c r="EH3040" s="0" t="inlineStr">
        <is>
          <t>160行 10列，源：None 备：100000000000000</t>
        </is>
      </c>
    </row>
    <row r="3041">
      <c r="EH3041" s="0" t="inlineStr">
        <is>
          <t>160行 11列，源：None 备：999999999999999999999</t>
        </is>
      </c>
    </row>
    <row r="3042">
      <c r="EH3042" s="0" t="inlineStr">
        <is>
          <t>160行 12列，源：None 备：0.99999999999999999999999999900000000000</t>
        </is>
      </c>
    </row>
    <row r="3043">
      <c r="EH3043" s="0" t="inlineStr">
        <is>
          <t>160行 13列，源：None 备：999999999999999999999.9999990000</t>
        </is>
      </c>
    </row>
    <row r="3044">
      <c r="EH3044" s="0" t="inlineStr">
        <is>
          <t>160行 14列，源：None 备：9999999999.99</t>
        </is>
      </c>
    </row>
    <row r="3045">
      <c r="EH3045" s="0" t="inlineStr">
        <is>
          <t>160行 15列，源：nan 备：</t>
        </is>
      </c>
    </row>
    <row r="3046">
      <c r="EH3046" s="0" t="inlineStr">
        <is>
          <t>160行 16列，源：nan 备：</t>
        </is>
      </c>
    </row>
    <row r="3047">
      <c r="EH3047" s="0" t="inlineStr">
        <is>
          <t>160行 17列，源：None 备：</t>
        </is>
      </c>
    </row>
    <row r="3048">
      <c r="EH3048" s="0" t="inlineStr">
        <is>
          <t>160行 18列，源：None 备：</t>
        </is>
      </c>
    </row>
    <row r="3049">
      <c r="EH3049" s="0" t="inlineStr">
        <is>
          <t>160行 19列，源：None 备：</t>
        </is>
      </c>
    </row>
    <row r="3050">
      <c r="EH3050" s="0" t="inlineStr">
        <is>
          <t>161行 0列，源：406 备：615</t>
        </is>
      </c>
    </row>
    <row r="3051">
      <c r="EH3051" s="0" t="inlineStr">
        <is>
          <t>161行 1列，源：127.0 备：</t>
        </is>
      </c>
    </row>
    <row r="3052">
      <c r="EH3052" s="0" t="inlineStr">
        <is>
          <t>161行 2列，源：255.0 备：</t>
        </is>
      </c>
    </row>
    <row r="3053">
      <c r="EH3053" s="0" t="inlineStr">
        <is>
          <t>161行 3列，源：65535.0 备：</t>
        </is>
      </c>
    </row>
    <row r="3054">
      <c r="EH3054" s="0" t="inlineStr">
        <is>
          <t>161行 4列，源：4294967295.0 备：</t>
        </is>
      </c>
    </row>
    <row r="3055">
      <c r="EH3055" s="0" t="inlineStr">
        <is>
          <t>161行 5列，源：None 备：0</t>
        </is>
      </c>
    </row>
    <row r="3056">
      <c r="EH3056" s="0" t="inlineStr">
        <is>
          <t>161行 6列，源：None 备：1</t>
        </is>
      </c>
    </row>
    <row r="3057">
      <c r="EH3057" s="0" t="inlineStr">
        <is>
          <t>161行 7列，源：None 备：0.00000000000000000000000000100000000000</t>
        </is>
      </c>
    </row>
    <row r="3058">
      <c r="EH3058" s="0" t="inlineStr">
        <is>
          <t>161行 8列，源：None 备：0.0000000010</t>
        </is>
      </c>
    </row>
    <row r="3059">
      <c r="EH3059" s="0" t="inlineStr">
        <is>
          <t>161行 9列，源：None 备：0.0001</t>
        </is>
      </c>
    </row>
    <row r="3060">
      <c r="EH3060" s="0" t="inlineStr">
        <is>
          <t>161行 10列，源：None 备：0</t>
        </is>
      </c>
    </row>
    <row r="3061">
      <c r="EH3061" s="0" t="inlineStr">
        <is>
          <t>161行 11列，源：None 备：1</t>
        </is>
      </c>
    </row>
    <row r="3062">
      <c r="EH3062" s="0" t="inlineStr">
        <is>
          <t>161行 12列，源：None 备：0.00000000000000000000000000000100000000</t>
        </is>
      </c>
    </row>
    <row r="3063">
      <c r="EH3063" s="0" t="inlineStr">
        <is>
          <t>161行 13列，源：None 备：0.0000010000</t>
        </is>
      </c>
    </row>
    <row r="3064">
      <c r="EH3064" s="0" t="inlineStr">
        <is>
          <t>161行 14列，源：None 备：0.01</t>
        </is>
      </c>
    </row>
    <row r="3065">
      <c r="EH3065" s="0" t="inlineStr">
        <is>
          <t>161行 15列，源：nan 备：</t>
        </is>
      </c>
    </row>
    <row r="3066">
      <c r="EH3066" s="0" t="inlineStr">
        <is>
          <t>161行 16列，源：nan 备：</t>
        </is>
      </c>
    </row>
    <row r="3067">
      <c r="EH3067" s="0" t="inlineStr">
        <is>
          <t>161行 17列，源：None 备：</t>
        </is>
      </c>
    </row>
    <row r="3068">
      <c r="EH3068" s="0" t="inlineStr">
        <is>
          <t>161行 18列，源：None 备：</t>
        </is>
      </c>
    </row>
    <row r="3069">
      <c r="EH3069" s="0" t="inlineStr">
        <is>
          <t>161行 19列，源：None 备：</t>
        </is>
      </c>
    </row>
    <row r="3070">
      <c r="EH3070" s="0" t="inlineStr">
        <is>
          <t>162行 0列，源：454 备：62</t>
        </is>
      </c>
    </row>
    <row r="3071">
      <c r="EH3071" s="0" t="inlineStr">
        <is>
          <t>162行 1列，源：123.0 备：</t>
        </is>
      </c>
    </row>
    <row r="3072">
      <c r="EH3072" s="0" t="inlineStr">
        <is>
          <t>162行 2列，源：12345.0 备：</t>
        </is>
      </c>
    </row>
    <row r="3073">
      <c r="EH3073" s="0" t="inlineStr">
        <is>
          <t>162行 3列，源：1234567890.0 备：</t>
        </is>
      </c>
    </row>
    <row r="3074">
      <c r="EH3074" s="0" t="inlineStr">
        <is>
          <t>162行 4列，源：1234567890123456.0 备：</t>
        </is>
      </c>
    </row>
    <row r="3075">
      <c r="EH3075" s="0" t="inlineStr">
        <is>
          <t>162行 5列，源：None 备：</t>
        </is>
      </c>
    </row>
    <row r="3076">
      <c r="EH3076" s="0" t="inlineStr">
        <is>
          <t>162行 6列，源：None 备：</t>
        </is>
      </c>
    </row>
    <row r="3077">
      <c r="EH3077" s="0" t="inlineStr">
        <is>
          <t>162行 7列，源：None 备：</t>
        </is>
      </c>
    </row>
    <row r="3078">
      <c r="EH3078" s="0" t="inlineStr">
        <is>
          <t>162行 8列，源：None 备：</t>
        </is>
      </c>
    </row>
    <row r="3079">
      <c r="EH3079" s="0" t="inlineStr">
        <is>
          <t>162行 9列，源：None 备：</t>
        </is>
      </c>
    </row>
    <row r="3080">
      <c r="EH3080" s="0" t="inlineStr">
        <is>
          <t>162行 10列，源：None 备：</t>
        </is>
      </c>
    </row>
    <row r="3081">
      <c r="EH3081" s="0" t="inlineStr">
        <is>
          <t>162行 11列，源：None 备：</t>
        </is>
      </c>
    </row>
    <row r="3082">
      <c r="EH3082" s="0" t="inlineStr">
        <is>
          <t>162行 12列，源：None 备：</t>
        </is>
      </c>
    </row>
    <row r="3083">
      <c r="EH3083" s="0" t="inlineStr">
        <is>
          <t>162行 13列，源：None 备：</t>
        </is>
      </c>
    </row>
    <row r="3084">
      <c r="EH3084" s="0" t="inlineStr">
        <is>
          <t>162行 14列，源：None 备：</t>
        </is>
      </c>
    </row>
    <row r="3085">
      <c r="EH3085" s="0" t="inlineStr">
        <is>
          <t>162行 15列，源：nan 备：</t>
        </is>
      </c>
    </row>
    <row r="3086">
      <c r="EH3086" s="0" t="inlineStr">
        <is>
          <t>162行 16列，源：nan 备：</t>
        </is>
      </c>
    </row>
    <row r="3087">
      <c r="EH3087" s="0" t="inlineStr">
        <is>
          <t>162行 17列，源：None 备：</t>
        </is>
      </c>
    </row>
    <row r="3088">
      <c r="EH3088" s="0" t="inlineStr">
        <is>
          <t>162行 18列，源：None 备：</t>
        </is>
      </c>
    </row>
    <row r="3089">
      <c r="EH3089" s="0" t="inlineStr">
        <is>
          <t>162行 19列，源：None 备：</t>
        </is>
      </c>
    </row>
    <row r="3090">
      <c r="EH3090" s="0" t="inlineStr">
        <is>
          <t>163行 0列，源：456 备：63</t>
        </is>
      </c>
    </row>
    <row r="3091">
      <c r="EH3091" s="0" t="inlineStr">
        <is>
          <t>163行 1列，源：127.0 备：</t>
        </is>
      </c>
    </row>
    <row r="3092">
      <c r="EH3092" s="0" t="inlineStr">
        <is>
          <t>163行 2列，源：255.0 备：</t>
        </is>
      </c>
    </row>
    <row r="3093">
      <c r="EH3093" s="0" t="inlineStr">
        <is>
          <t>163行 3列，源：65535.0 备：</t>
        </is>
      </c>
    </row>
    <row r="3094">
      <c r="EH3094" s="0" t="inlineStr">
        <is>
          <t>163行 4列，源：4294967295.0 备：</t>
        </is>
      </c>
    </row>
    <row r="3095">
      <c r="EH3095" s="0" t="inlineStr">
        <is>
          <t>163行 5列，源：None 备：</t>
        </is>
      </c>
    </row>
    <row r="3096">
      <c r="EH3096" s="0" t="inlineStr">
        <is>
          <t>163行 6列，源：None 备：</t>
        </is>
      </c>
    </row>
    <row r="3097">
      <c r="EH3097" s="0" t="inlineStr">
        <is>
          <t>163行 7列，源：None 备：</t>
        </is>
      </c>
    </row>
    <row r="3098">
      <c r="EH3098" s="0" t="inlineStr">
        <is>
          <t>163行 8列，源：None 备：</t>
        </is>
      </c>
    </row>
    <row r="3099">
      <c r="EH3099" s="0" t="inlineStr">
        <is>
          <t>163行 9列，源：None 备：</t>
        </is>
      </c>
    </row>
    <row r="3100">
      <c r="EH3100" s="0" t="inlineStr">
        <is>
          <t>163行 10列，源：None 备：</t>
        </is>
      </c>
    </row>
    <row r="3101">
      <c r="EH3101" s="0" t="inlineStr">
        <is>
          <t>163行 11列，源：None 备：</t>
        </is>
      </c>
    </row>
    <row r="3102">
      <c r="EH3102" s="0" t="inlineStr">
        <is>
          <t>163行 12列，源：None 备：</t>
        </is>
      </c>
    </row>
    <row r="3103">
      <c r="EH3103" s="0" t="inlineStr">
        <is>
          <t>163行 13列，源：None 备：</t>
        </is>
      </c>
    </row>
    <row r="3104">
      <c r="EH3104" s="0" t="inlineStr">
        <is>
          <t>163行 14列，源：None 备：</t>
        </is>
      </c>
    </row>
    <row r="3105">
      <c r="EH3105" s="0" t="inlineStr">
        <is>
          <t>163行 15列，源：nan 备：</t>
        </is>
      </c>
    </row>
    <row r="3106">
      <c r="EH3106" s="0" t="inlineStr">
        <is>
          <t>163行 16列，源：nan 备：</t>
        </is>
      </c>
    </row>
    <row r="3107">
      <c r="EH3107" s="0" t="inlineStr">
        <is>
          <t>163行 17列，源：None 备：</t>
        </is>
      </c>
    </row>
    <row r="3108">
      <c r="EH3108" s="0" t="inlineStr">
        <is>
          <t>163行 18列，源：None 备：</t>
        </is>
      </c>
    </row>
    <row r="3109">
      <c r="EH3109" s="0" t="inlineStr">
        <is>
          <t>163行 19列，源：None 备：</t>
        </is>
      </c>
    </row>
    <row r="3110">
      <c r="EH3110" s="0" t="inlineStr">
        <is>
          <t>164行 0列，源：502 备：64</t>
        </is>
      </c>
    </row>
    <row r="3111">
      <c r="EH3111" s="0" t="inlineStr">
        <is>
          <t>164行 1列，源：nan 备：</t>
        </is>
      </c>
    </row>
    <row r="3112">
      <c r="EH3112" s="0" t="inlineStr">
        <is>
          <t>164行 2列，源：nan 备：</t>
        </is>
      </c>
    </row>
    <row r="3113">
      <c r="EH3113" s="0" t="inlineStr">
        <is>
          <t>164行 3列，源：nan 备：</t>
        </is>
      </c>
    </row>
    <row r="3114">
      <c r="EH3114" s="0" t="inlineStr">
        <is>
          <t>164行 4列，源：nan 备：</t>
        </is>
      </c>
    </row>
    <row r="3115">
      <c r="EH3115" s="0" t="inlineStr">
        <is>
          <t>164行 15列，源：nan 备：</t>
        </is>
      </c>
    </row>
    <row r="3116">
      <c r="EH3116" s="0" t="inlineStr">
        <is>
          <t>164行 16列，源：nan 备：</t>
        </is>
      </c>
    </row>
    <row r="3117">
      <c r="EH3117" s="0" t="inlineStr">
        <is>
          <t>164行 17列，源：None 备：</t>
        </is>
      </c>
    </row>
    <row r="3118">
      <c r="EH3118" s="0" t="inlineStr">
        <is>
          <t>164行 18列，源：None 备：</t>
        </is>
      </c>
    </row>
    <row r="3119">
      <c r="EH3119" s="0" t="inlineStr">
        <is>
          <t>164行 19列，源：None 备：</t>
        </is>
      </c>
    </row>
    <row r="3120">
      <c r="EH3120" s="0" t="inlineStr">
        <is>
          <t>165行 0列，源：504 备：65</t>
        </is>
      </c>
    </row>
    <row r="3121">
      <c r="EH3121" s="0" t="inlineStr">
        <is>
          <t>165行 1列，源：nan 备：</t>
        </is>
      </c>
    </row>
    <row r="3122">
      <c r="EH3122" s="0" t="inlineStr">
        <is>
          <t>165行 2列，源：nan 备：</t>
        </is>
      </c>
    </row>
    <row r="3123">
      <c r="EH3123" s="0" t="inlineStr">
        <is>
          <t>165行 3列，源：nan 备：</t>
        </is>
      </c>
    </row>
    <row r="3124">
      <c r="EH3124" s="0" t="inlineStr">
        <is>
          <t>165行 4列，源：nan 备：</t>
        </is>
      </c>
    </row>
    <row r="3125">
      <c r="EH3125" s="0" t="inlineStr">
        <is>
          <t>165行 15列，源：nan 备：</t>
        </is>
      </c>
    </row>
    <row r="3126">
      <c r="EH3126" s="0" t="inlineStr">
        <is>
          <t>165行 16列，源：nan 备：</t>
        </is>
      </c>
    </row>
    <row r="3127">
      <c r="EH3127" s="0" t="inlineStr">
        <is>
          <t>165行 17列，源：None 备：</t>
        </is>
      </c>
    </row>
    <row r="3128">
      <c r="EH3128" s="0" t="inlineStr">
        <is>
          <t>165行 18列，源：None 备：</t>
        </is>
      </c>
    </row>
    <row r="3129">
      <c r="EH3129" s="0" t="inlineStr">
        <is>
          <t>165行 19列，源：None 备：</t>
        </is>
      </c>
    </row>
    <row r="3130">
      <c r="EH3130" s="0" t="inlineStr">
        <is>
          <t>166行 0列，源：512 备：66</t>
        </is>
      </c>
    </row>
    <row r="3131">
      <c r="EH3131" s="0" t="inlineStr">
        <is>
          <t>166行 1列，源：nan 备：</t>
        </is>
      </c>
    </row>
    <row r="3132">
      <c r="EH3132" s="0" t="inlineStr">
        <is>
          <t>166行 2列，源：nan 备：</t>
        </is>
      </c>
    </row>
    <row r="3133">
      <c r="EH3133" s="0" t="inlineStr">
        <is>
          <t>166行 3列，源：nan 备：</t>
        </is>
      </c>
    </row>
    <row r="3134">
      <c r="EH3134" s="0" t="inlineStr">
        <is>
          <t>166行 4列，源：nan 备：</t>
        </is>
      </c>
    </row>
    <row r="3135">
      <c r="EH3135" s="0" t="inlineStr">
        <is>
          <t>166行 15列，源：nan 备：</t>
        </is>
      </c>
    </row>
    <row r="3136">
      <c r="EH3136" s="0" t="inlineStr">
        <is>
          <t>166行 16列，源：nan 备：</t>
        </is>
      </c>
    </row>
    <row r="3137">
      <c r="EH3137" s="0" t="inlineStr">
        <is>
          <t>166行 17列，源：None 备：</t>
        </is>
      </c>
    </row>
    <row r="3138">
      <c r="EH3138" s="0" t="inlineStr">
        <is>
          <t>166行 18列，源：None 备：</t>
        </is>
      </c>
    </row>
    <row r="3139">
      <c r="EH3139" s="0" t="inlineStr">
        <is>
          <t>166行 19列，源：None 备：</t>
        </is>
      </c>
    </row>
    <row r="3140">
      <c r="EH3140" s="0" t="inlineStr">
        <is>
          <t>167行 0列，源：514 备：67</t>
        </is>
      </c>
    </row>
    <row r="3141">
      <c r="EH3141" s="0" t="inlineStr">
        <is>
          <t>167行 1列，源：nan 备：</t>
        </is>
      </c>
    </row>
    <row r="3142">
      <c r="EH3142" s="0" t="inlineStr">
        <is>
          <t>167行 2列，源：nan 备：</t>
        </is>
      </c>
    </row>
    <row r="3143">
      <c r="EH3143" s="0" t="inlineStr">
        <is>
          <t>167行 3列，源：nan 备：</t>
        </is>
      </c>
    </row>
    <row r="3144">
      <c r="EH3144" s="0" t="inlineStr">
        <is>
          <t>167行 4列，源：nan 备：</t>
        </is>
      </c>
    </row>
    <row r="3145">
      <c r="EH3145" s="0" t="inlineStr">
        <is>
          <t>167行 15列，源：nan 备：</t>
        </is>
      </c>
    </row>
    <row r="3146">
      <c r="EH3146" s="0" t="inlineStr">
        <is>
          <t>167行 16列，源：nan 备：</t>
        </is>
      </c>
    </row>
    <row r="3147">
      <c r="EH3147" s="0" t="inlineStr">
        <is>
          <t>167行 17列，源：None 备：</t>
        </is>
      </c>
    </row>
    <row r="3148">
      <c r="EH3148" s="0" t="inlineStr">
        <is>
          <t>167行 18列，源：None 备：</t>
        </is>
      </c>
    </row>
    <row r="3149">
      <c r="EH3149" s="0" t="inlineStr">
        <is>
          <t>167行 19列，源：None 备：</t>
        </is>
      </c>
    </row>
    <row r="3150">
      <c r="EH3150" s="0" t="inlineStr">
        <is>
          <t>168行 0列，源：515 备：68</t>
        </is>
      </c>
    </row>
    <row r="3151">
      <c r="EH3151" s="0" t="inlineStr">
        <is>
          <t>168行 1列，源：nan 备：</t>
        </is>
      </c>
    </row>
    <row r="3152">
      <c r="EH3152" s="0" t="inlineStr">
        <is>
          <t>168行 2列，源：nan 备：</t>
        </is>
      </c>
    </row>
    <row r="3153">
      <c r="EH3153" s="0" t="inlineStr">
        <is>
          <t>168行 3列，源：nan 备：</t>
        </is>
      </c>
    </row>
    <row r="3154">
      <c r="EH3154" s="0" t="inlineStr">
        <is>
          <t>168行 4列，源：nan 备：</t>
        </is>
      </c>
    </row>
    <row r="3155">
      <c r="EH3155" s="0" t="inlineStr">
        <is>
          <t>168行 15列，源：nan 备：</t>
        </is>
      </c>
    </row>
    <row r="3156">
      <c r="EH3156" s="0" t="inlineStr">
        <is>
          <t>168行 16列，源：nan 备：</t>
        </is>
      </c>
    </row>
    <row r="3157">
      <c r="EH3157" s="0" t="inlineStr">
        <is>
          <t>168行 17列，源：None 备：</t>
        </is>
      </c>
    </row>
    <row r="3158">
      <c r="EH3158" s="0" t="inlineStr">
        <is>
          <t>168行 18列，源：None 备：</t>
        </is>
      </c>
    </row>
    <row r="3159">
      <c r="EH3159" s="0" t="inlineStr">
        <is>
          <t>168行 19列，源：None 备：</t>
        </is>
      </c>
    </row>
    <row r="3160">
      <c r="EH3160" s="0" t="inlineStr">
        <is>
          <t>169行 0列，源：602 备：69</t>
        </is>
      </c>
    </row>
    <row r="3161">
      <c r="EH3161" s="0" t="inlineStr">
        <is>
          <t>169行 1列，源：nan 备：</t>
        </is>
      </c>
    </row>
    <row r="3162">
      <c r="EH3162" s="0" t="inlineStr">
        <is>
          <t>169行 2列，源：nan 备：</t>
        </is>
      </c>
    </row>
    <row r="3163">
      <c r="EH3163" s="0" t="inlineStr">
        <is>
          <t>169行 3列，源：nan 备：</t>
        </is>
      </c>
    </row>
    <row r="3164">
      <c r="EH3164" s="0" t="inlineStr">
        <is>
          <t>169行 4列，源：nan 备：</t>
        </is>
      </c>
    </row>
    <row r="3165">
      <c r="EH3165" s="0" t="inlineStr">
        <is>
          <t>169行 15列，源：nan 备：</t>
        </is>
      </c>
    </row>
    <row r="3166">
      <c r="EH3166" s="0" t="inlineStr">
        <is>
          <t>169行 16列，源：nan 备：</t>
        </is>
      </c>
    </row>
    <row r="3167">
      <c r="EH3167" s="0" t="inlineStr">
        <is>
          <t>169行 17列，源：None 备：</t>
        </is>
      </c>
    </row>
    <row r="3168">
      <c r="EH3168" s="0" t="inlineStr">
        <is>
          <t>169行 18列，源：None 备：</t>
        </is>
      </c>
    </row>
    <row r="3169">
      <c r="EH3169" s="0" t="inlineStr">
        <is>
          <t>169行 19列，源：None 备：</t>
        </is>
      </c>
    </row>
    <row r="3170">
      <c r="EH3170" s="0" t="inlineStr">
        <is>
          <t>170行 0列，源：604 备：7</t>
        </is>
      </c>
    </row>
    <row r="3171">
      <c r="EH3171" s="0" t="inlineStr">
        <is>
          <t>170行 1列，源：nan 备：255</t>
        </is>
      </c>
    </row>
    <row r="3172">
      <c r="EH3172" s="0" t="inlineStr">
        <is>
          <t>170行 2列，源：nan 备：32767</t>
        </is>
      </c>
    </row>
    <row r="3173">
      <c r="EH3173" s="0" t="inlineStr">
        <is>
          <t>170行 3列，源：nan 备：2147483647</t>
        </is>
      </c>
    </row>
    <row r="3174">
      <c r="EH3174" s="0" t="inlineStr">
        <is>
          <t>170行 4列，源：nan 备：9223372036854775807</t>
        </is>
      </c>
    </row>
    <row r="3175">
      <c r="EH3175" s="0" t="inlineStr">
        <is>
          <t>170行 15列，源：nan 备：</t>
        </is>
      </c>
    </row>
    <row r="3176">
      <c r="EH3176" s="0" t="inlineStr">
        <is>
          <t>170行 16列，源：nan 备：</t>
        </is>
      </c>
    </row>
    <row r="3177">
      <c r="EH3177" s="0" t="inlineStr">
        <is>
          <t>170行 17列，源：None 备：</t>
        </is>
      </c>
    </row>
    <row r="3178">
      <c r="EH3178" s="0" t="inlineStr">
        <is>
          <t>170行 18列，源：None 备：</t>
        </is>
      </c>
    </row>
    <row r="3179">
      <c r="EH3179" s="0" t="inlineStr">
        <is>
          <t>170行 19列，源：None 备：</t>
        </is>
      </c>
    </row>
    <row r="3180">
      <c r="EH3180" s="0" t="inlineStr">
        <is>
          <t>171行 0列，源：612 备：70</t>
        </is>
      </c>
    </row>
    <row r="3181">
      <c r="EH3181" s="0" t="inlineStr">
        <is>
          <t>171行 1列，源：nan 备：</t>
        </is>
      </c>
    </row>
    <row r="3182">
      <c r="EH3182" s="0" t="inlineStr">
        <is>
          <t>171行 2列，源：nan 备：</t>
        </is>
      </c>
    </row>
    <row r="3183">
      <c r="EH3183" s="0" t="inlineStr">
        <is>
          <t>171行 3列，源：nan 备：</t>
        </is>
      </c>
    </row>
    <row r="3184">
      <c r="EH3184" s="0" t="inlineStr">
        <is>
          <t>171行 4列，源：nan 备：</t>
        </is>
      </c>
    </row>
    <row r="3185">
      <c r="EH3185" s="0" t="inlineStr">
        <is>
          <t>171行 15列，源：nan 备：</t>
        </is>
      </c>
    </row>
    <row r="3186">
      <c r="EH3186" s="0" t="inlineStr">
        <is>
          <t>171行 16列，源：nan 备：</t>
        </is>
      </c>
    </row>
    <row r="3187">
      <c r="EH3187" s="0" t="inlineStr">
        <is>
          <t>171行 17列，源：None 备：</t>
        </is>
      </c>
    </row>
    <row r="3188">
      <c r="EH3188" s="0" t="inlineStr">
        <is>
          <t>171行 18列，源：None 备：</t>
        </is>
      </c>
    </row>
    <row r="3189">
      <c r="EH3189" s="0" t="inlineStr">
        <is>
          <t>171行 19列，源：None 备：</t>
        </is>
      </c>
    </row>
    <row r="3190">
      <c r="EH3190" s="0" t="inlineStr">
        <is>
          <t>172行 0列，源：614 备：701</t>
        </is>
      </c>
    </row>
    <row r="3191">
      <c r="EH3191" s="0" t="inlineStr">
        <is>
          <t>172行 1列，源：nan 备：</t>
        </is>
      </c>
    </row>
    <row r="3192">
      <c r="EH3192" s="0" t="inlineStr">
        <is>
          <t>172行 2列，源：nan 备：</t>
        </is>
      </c>
    </row>
    <row r="3193">
      <c r="EH3193" s="0" t="inlineStr">
        <is>
          <t>172行 3列，源：nan 备：</t>
        </is>
      </c>
    </row>
    <row r="3194">
      <c r="EH3194" s="0" t="inlineStr">
        <is>
          <t>172行 4列，源：nan 备：</t>
        </is>
      </c>
    </row>
    <row r="3195">
      <c r="EH3195" s="0" t="inlineStr">
        <is>
          <t>172行 15列，源：nan 备：-1.7900000000000e+308</t>
        </is>
      </c>
    </row>
    <row r="3196">
      <c r="EH3196" s="0" t="inlineStr">
        <is>
          <t>172行 16列，源：nan 备：-339999995214436424907732413799364296704.000000</t>
        </is>
      </c>
    </row>
    <row r="3197">
      <c r="EH3197" s="0" t="inlineStr">
        <is>
          <t>172行 17列，源：None 备：-922337203685477.5808</t>
        </is>
      </c>
    </row>
    <row r="3198">
      <c r="EH3198" s="0" t="inlineStr">
        <is>
          <t>172行 18列，源：None 备：-214748.3648</t>
        </is>
      </c>
    </row>
    <row r="3199">
      <c r="EH3199" s="0" t="inlineStr">
        <is>
          <t>172行 19列，源：None 备：0</t>
        </is>
      </c>
    </row>
    <row r="3200">
      <c r="EH3200" s="0" t="inlineStr">
        <is>
          <t>173行 0列，源：615 备：717</t>
        </is>
      </c>
    </row>
    <row r="3201">
      <c r="EH3201" s="0" t="inlineStr">
        <is>
          <t>173行 1列，源：nan 备：</t>
        </is>
      </c>
    </row>
    <row r="3202">
      <c r="EH3202" s="0" t="inlineStr">
        <is>
          <t>173行 2列，源：nan 备：</t>
        </is>
      </c>
    </row>
    <row r="3203">
      <c r="EH3203" s="0" t="inlineStr">
        <is>
          <t>173行 3列，源：nan 备：</t>
        </is>
      </c>
    </row>
    <row r="3204">
      <c r="EH3204" s="0" t="inlineStr">
        <is>
          <t>173行 4列，源：nan 备：</t>
        </is>
      </c>
    </row>
    <row r="3205">
      <c r="EH3205" s="0" t="inlineStr">
        <is>
          <t>173行 15列，源：nan 备：-123456789000000002003480098325095514112.0000000000000</t>
        </is>
      </c>
    </row>
    <row r="3206">
      <c r="EH3206" s="0" t="inlineStr">
        <is>
          <t>173行 16列，源：nan 备：-340282306073709652508363335590014353408.000000</t>
        </is>
      </c>
    </row>
    <row r="3207">
      <c r="EH3207" s="0" t="inlineStr">
        <is>
          <t>173行 17列，源：None 备：-123456.7890</t>
        </is>
      </c>
    </row>
    <row r="3208">
      <c r="EH3208" s="0" t="inlineStr">
        <is>
          <t>173行 18列，源：None 备：-1234.5678</t>
        </is>
      </c>
    </row>
    <row r="3209">
      <c r="EH3209" s="0" t="inlineStr">
        <is>
          <t>173行 19列，源：None 备：0</t>
        </is>
      </c>
    </row>
    <row r="3210">
      <c r="EH3210" s="0" t="inlineStr">
        <is>
          <t>174行 0列，源：701 备：720</t>
        </is>
      </c>
    </row>
    <row r="3211">
      <c r="EH3211" s="0" t="inlineStr">
        <is>
          <t>174行 1列，源：nan 备：</t>
        </is>
      </c>
    </row>
    <row r="3212">
      <c r="EH3212" s="0" t="inlineStr">
        <is>
          <t>174行 2列，源：nan 备：</t>
        </is>
      </c>
    </row>
    <row r="3213">
      <c r="EH3213" s="0" t="inlineStr">
        <is>
          <t>174行 3列，源：nan 备：</t>
        </is>
      </c>
    </row>
    <row r="3214">
      <c r="EH3214" s="0" t="inlineStr">
        <is>
          <t>174行 4列，源：nan 备：</t>
        </is>
      </c>
    </row>
    <row r="3215">
      <c r="EH3215" s="0" t="inlineStr">
        <is>
          <t>174行 5列，源：None 备：</t>
        </is>
      </c>
    </row>
    <row r="3216">
      <c r="EH3216" s="0" t="inlineStr">
        <is>
          <t>174行 6列，源：None 备：</t>
        </is>
      </c>
    </row>
    <row r="3217">
      <c r="EH3217" s="0" t="inlineStr">
        <is>
          <t>174行 7列，源：None 备：</t>
        </is>
      </c>
    </row>
    <row r="3218">
      <c r="EH3218" s="0" t="inlineStr">
        <is>
          <t>174行 8列，源：None 备：</t>
        </is>
      </c>
    </row>
    <row r="3219">
      <c r="EH3219" s="0" t="inlineStr">
        <is>
          <t>174行 9列，源：None 备：</t>
        </is>
      </c>
    </row>
    <row r="3220">
      <c r="EH3220" s="0" t="inlineStr">
        <is>
          <t>174行 10列，源：None 备：</t>
        </is>
      </c>
    </row>
    <row r="3221">
      <c r="EH3221" s="0" t="inlineStr">
        <is>
          <t>174行 11列，源：None 备：</t>
        </is>
      </c>
    </row>
    <row r="3222">
      <c r="EH3222" s="0" t="inlineStr">
        <is>
          <t>174行 12列，源：None 备：</t>
        </is>
      </c>
    </row>
    <row r="3223">
      <c r="EH3223" s="0" t="inlineStr">
        <is>
          <t>174行 13列，源：None 备：</t>
        </is>
      </c>
    </row>
    <row r="3224">
      <c r="EH3224" s="0" t="inlineStr">
        <is>
          <t>174行 14列，源：None 备：</t>
        </is>
      </c>
    </row>
    <row r="3225">
      <c r="EH3225" s="0" t="inlineStr">
        <is>
          <t>174行 15列，源：-1.79e+308 备：-340282346600000016151267322115014000640.0000000000000</t>
        </is>
      </c>
    </row>
    <row r="3226">
      <c r="EH3226" s="0" t="inlineStr">
        <is>
          <t>174行 16列，源：-3.3999999521443642e+38 备：-340282306073709652508363335590014353408.000000</t>
        </is>
      </c>
    </row>
    <row r="3227">
      <c r="EH3227" s="0" t="inlineStr">
        <is>
          <t>174行 19列，源：False 备：0</t>
        </is>
      </c>
    </row>
    <row r="3228">
      <c r="EH3228" s="0" t="inlineStr">
        <is>
          <t>175行 0列，源：717 备：8</t>
        </is>
      </c>
    </row>
    <row r="3229">
      <c r="EH3229" s="0" t="inlineStr">
        <is>
          <t>175行 1列，源：nan 备：0</t>
        </is>
      </c>
    </row>
    <row r="3230">
      <c r="EH3230" s="0" t="inlineStr">
        <is>
          <t>175行 2列，源：nan 备：-32768</t>
        </is>
      </c>
    </row>
    <row r="3231">
      <c r="EH3231" s="0" t="inlineStr">
        <is>
          <t>175行 3列，源：nan 备：-2147483648</t>
        </is>
      </c>
    </row>
    <row r="3232">
      <c r="EH3232" s="0" t="inlineStr">
        <is>
          <t>175行 4列，源：nan 备：-9223372036854775808</t>
        </is>
      </c>
    </row>
    <row r="3233">
      <c r="EH3233" s="0" t="inlineStr">
        <is>
          <t>175行 5列，源：None 备：</t>
        </is>
      </c>
    </row>
    <row r="3234">
      <c r="EH3234" s="0" t="inlineStr">
        <is>
          <t>175行 6列，源：None 备：</t>
        </is>
      </c>
    </row>
    <row r="3235">
      <c r="EH3235" s="0" t="inlineStr">
        <is>
          <t>175行 7列，源：None 备：</t>
        </is>
      </c>
    </row>
    <row r="3236">
      <c r="EH3236" s="0" t="inlineStr">
        <is>
          <t>175行 8列，源：None 备：</t>
        </is>
      </c>
    </row>
    <row r="3237">
      <c r="EH3237" s="0" t="inlineStr">
        <is>
          <t>175行 9列，源：None 备：</t>
        </is>
      </c>
    </row>
    <row r="3238">
      <c r="EH3238" s="0" t="inlineStr">
        <is>
          <t>175行 10列，源：None 备：</t>
        </is>
      </c>
    </row>
    <row r="3239">
      <c r="EH3239" s="0" t="inlineStr">
        <is>
          <t>175行 11列，源：None 备：</t>
        </is>
      </c>
    </row>
    <row r="3240">
      <c r="EH3240" s="0" t="inlineStr">
        <is>
          <t>175行 12列，源：None 备：</t>
        </is>
      </c>
    </row>
    <row r="3241">
      <c r="EH3241" s="0" t="inlineStr">
        <is>
          <t>175行 13列，源：None 备：</t>
        </is>
      </c>
    </row>
    <row r="3242">
      <c r="EH3242" s="0" t="inlineStr">
        <is>
          <t>175行 14列，源：None 备：</t>
        </is>
      </c>
    </row>
    <row r="3243">
      <c r="EH3243" s="0" t="inlineStr">
        <is>
          <t>175行 15列，源：-1.23456789e+38 备：</t>
        </is>
      </c>
    </row>
    <row r="3244">
      <c r="EH3244" s="0" t="inlineStr">
        <is>
          <t>175行 16列，源：-3.4028230607370965e+38 备：</t>
        </is>
      </c>
    </row>
    <row r="3245">
      <c r="EH3245" s="0" t="inlineStr">
        <is>
          <t>175行 19列，源：False 备：</t>
        </is>
      </c>
    </row>
    <row r="3246">
      <c r="EH3246" s="0" t="inlineStr">
        <is>
          <t>176行 0列，源：720 备：9</t>
        </is>
      </c>
    </row>
    <row r="3247">
      <c r="EH3247" s="0" t="inlineStr">
        <is>
          <t>176行 1列，源：nan 备：42</t>
        </is>
      </c>
    </row>
    <row r="3248">
      <c r="EH3248" s="0" t="inlineStr">
        <is>
          <t>176行 2列，源：nan 备：12345</t>
        </is>
      </c>
    </row>
    <row r="3249">
      <c r="EH3249" s="0" t="inlineStr">
        <is>
          <t>176行 3列，源：nan 备：123456789</t>
        </is>
      </c>
    </row>
    <row r="3250">
      <c r="EH3250" s="0" t="inlineStr">
        <is>
          <t>176行 4列，源：nan 备：123456789012345</t>
        </is>
      </c>
    </row>
    <row r="3251">
      <c r="EH3251" s="0" t="inlineStr">
        <is>
          <t>176行 5列，源：None 备：</t>
        </is>
      </c>
    </row>
    <row r="3252">
      <c r="EH3252" s="0" t="inlineStr">
        <is>
          <t>176行 6列，源：None 备：</t>
        </is>
      </c>
    </row>
    <row r="3253">
      <c r="EH3253" s="0" t="inlineStr">
        <is>
          <t>176行 7列，源：None 备：</t>
        </is>
      </c>
    </row>
    <row r="3254">
      <c r="EH3254" s="0" t="inlineStr">
        <is>
          <t>176行 8列，源：None 备：</t>
        </is>
      </c>
    </row>
    <row r="3255">
      <c r="EH3255" s="0" t="inlineStr">
        <is>
          <t>176行 9列，源：None 备：</t>
        </is>
      </c>
    </row>
    <row r="3256">
      <c r="EH3256" s="0" t="inlineStr">
        <is>
          <t>176行 10列，源：None 备：</t>
        </is>
      </c>
    </row>
    <row r="3257">
      <c r="EH3257" s="0" t="inlineStr">
        <is>
          <t>176行 11列，源：None 备：</t>
        </is>
      </c>
    </row>
    <row r="3258">
      <c r="EH3258" s="0" t="inlineStr">
        <is>
          <t>176行 12列，源：None 备：</t>
        </is>
      </c>
    </row>
    <row r="3259">
      <c r="EH3259" s="0" t="inlineStr">
        <is>
          <t>176行 13列，源：None 备：</t>
        </is>
      </c>
    </row>
    <row r="3260">
      <c r="EH3260" s="0" t="inlineStr">
        <is>
          <t>176行 14列，源：None 备：</t>
        </is>
      </c>
    </row>
    <row r="3261">
      <c r="EH3261" s="0" t="inlineStr">
        <is>
          <t>176行 15列，源：-3.402823466e+38 备：</t>
        </is>
      </c>
    </row>
    <row r="3262">
      <c r="EH3262" s="0" t="inlineStr">
        <is>
          <t>176行 16列，源：-3.4028230607370965e+38 备：</t>
        </is>
      </c>
    </row>
    <row r="3263">
      <c r="EH3263" s="0" t="inlineStr">
        <is>
          <t>176行 19列，源：False 备：</t>
        </is>
      </c>
    </row>
    <row r="3264">
      <c r="EH3264" s="0" t="inlineStr">
        <is>
          <t>177行 1列，源：nan 备：</t>
        </is>
      </c>
    </row>
    <row r="3265">
      <c r="EH3265" s="0" t="inlineStr">
        <is>
          <t>177行 2列，源：nan 备：</t>
        </is>
      </c>
    </row>
    <row r="3266">
      <c r="EH3266" s="0" t="inlineStr">
        <is>
          <t>177行 3列，源：nan 备：</t>
        </is>
      </c>
    </row>
    <row r="3267">
      <c r="EH3267" s="0" t="inlineStr">
        <is>
          <t>177行 4列，源：nan 备：</t>
        </is>
      </c>
    </row>
    <row r="3268">
      <c r="EH3268" s="0" t="inlineStr">
        <is>
          <t>177行 5列，源：None 备：</t>
        </is>
      </c>
    </row>
    <row r="3269">
      <c r="EH3269" s="0" t="inlineStr">
        <is>
          <t>177行 6列，源：None 备：</t>
        </is>
      </c>
    </row>
    <row r="3270">
      <c r="EH3270" s="0" t="inlineStr">
        <is>
          <t>177行 7列，源：None 备：</t>
        </is>
      </c>
    </row>
    <row r="3271">
      <c r="EH3271" s="0" t="inlineStr">
        <is>
          <t>177行 8列，源：None 备：</t>
        </is>
      </c>
    </row>
    <row r="3272">
      <c r="EH3272" s="0" t="inlineStr">
        <is>
          <t>177行 9列，源：None 备：</t>
        </is>
      </c>
    </row>
    <row r="3273">
      <c r="EH3273" s="0" t="inlineStr">
        <is>
          <t>177行 10列，源：None 备：</t>
        </is>
      </c>
    </row>
    <row r="3274">
      <c r="EH3274" s="0" t="inlineStr">
        <is>
          <t>177行 11列，源：None 备：</t>
        </is>
      </c>
    </row>
    <row r="3275">
      <c r="EH3275" s="0" t="inlineStr">
        <is>
          <t>177行 12列，源：None 备：</t>
        </is>
      </c>
    </row>
    <row r="3276">
      <c r="EH3276" s="0" t="inlineStr">
        <is>
          <t>177行 13列，源：None 备：</t>
        </is>
      </c>
    </row>
    <row r="3277">
      <c r="EH3277" s="0" t="inlineStr">
        <is>
          <t>177行 14列，源：None 备：</t>
        </is>
      </c>
    </row>
    <row r="3278">
      <c r="EH3278" s="0" t="inlineStr">
        <is>
          <t>177行 15列，源：-1.79e+308 备：-1.7900000000000e+308</t>
        </is>
      </c>
    </row>
    <row r="3279">
      <c r="EH3279" s="0" t="inlineStr">
        <is>
          <t>177行 16列，源：-3.3999999521443642e+38 备：-339999995214436424907732413799364296704.000000</t>
        </is>
      </c>
    </row>
    <row r="3280">
      <c r="EH3280" s="0" t="inlineStr">
        <is>
          <t>177行 19列，源：False 备：0</t>
        </is>
      </c>
    </row>
    <row r="3281">
      <c r="EH3281" s="0" t="inlineStr">
        <is>
          <t>178行 1列，源：nan 备：</t>
        </is>
      </c>
    </row>
    <row r="3282">
      <c r="EH3282" s="0" t="inlineStr">
        <is>
          <t>178行 2列，源：nan 备：</t>
        </is>
      </c>
    </row>
    <row r="3283">
      <c r="EH3283" s="0" t="inlineStr">
        <is>
          <t>178行 3列，源：nan 备：</t>
        </is>
      </c>
    </row>
    <row r="3284">
      <c r="EH3284" s="0" t="inlineStr">
        <is>
          <t>178行 4列，源：nan 备：</t>
        </is>
      </c>
    </row>
    <row r="3285">
      <c r="EH3285" s="0" t="inlineStr">
        <is>
          <t>178行 5列，源：None 备：</t>
        </is>
      </c>
    </row>
    <row r="3286">
      <c r="EH3286" s="0" t="inlineStr">
        <is>
          <t>178行 6列，源：None 备：</t>
        </is>
      </c>
    </row>
    <row r="3287">
      <c r="EH3287" s="0" t="inlineStr">
        <is>
          <t>178行 7列，源：None 备：</t>
        </is>
      </c>
    </row>
    <row r="3288">
      <c r="EH3288" s="0" t="inlineStr">
        <is>
          <t>178行 8列，源：None 备：</t>
        </is>
      </c>
    </row>
    <row r="3289">
      <c r="EH3289" s="0" t="inlineStr">
        <is>
          <t>178行 9列，源：None 备：</t>
        </is>
      </c>
    </row>
    <row r="3290">
      <c r="EH3290" s="0" t="inlineStr">
        <is>
          <t>178行 10列，源：None 备：</t>
        </is>
      </c>
    </row>
    <row r="3291">
      <c r="EH3291" s="0" t="inlineStr">
        <is>
          <t>178行 11列，源：None 备：</t>
        </is>
      </c>
    </row>
    <row r="3292">
      <c r="EH3292" s="0" t="inlineStr">
        <is>
          <t>178行 12列，源：None 备：</t>
        </is>
      </c>
    </row>
    <row r="3293">
      <c r="EH3293" s="0" t="inlineStr">
        <is>
          <t>178行 13列，源：None 备：</t>
        </is>
      </c>
    </row>
    <row r="3294">
      <c r="EH3294" s="0" t="inlineStr">
        <is>
          <t>178行 14列，源：None 备：</t>
        </is>
      </c>
    </row>
    <row r="3295">
      <c r="EH3295" s="0" t="inlineStr">
        <is>
          <t>178行 15列，源：-1.23456789e+38 备：-123456789000000002003480098325095514112.0000000000000</t>
        </is>
      </c>
    </row>
    <row r="3296">
      <c r="EH3296" s="0" t="inlineStr">
        <is>
          <t>178行 16列，源：-3.4028230607370965e+38 备：-340282306073709652508363335590014353408.000000</t>
        </is>
      </c>
    </row>
    <row r="3297">
      <c r="EH3297" s="0" t="inlineStr">
        <is>
          <t>178行 19列，源：False 备：0</t>
        </is>
      </c>
    </row>
    <row r="3298">
      <c r="EH3298" s="0" t="inlineStr">
        <is>
          <t>179行 1列，源：nan 备：</t>
        </is>
      </c>
    </row>
    <row r="3299">
      <c r="EH3299" s="0" t="inlineStr">
        <is>
          <t>179行 2列，源：nan 备：</t>
        </is>
      </c>
    </row>
    <row r="3300">
      <c r="EH3300" s="0" t="inlineStr">
        <is>
          <t>179行 3列，源：nan 备：</t>
        </is>
      </c>
    </row>
    <row r="3301">
      <c r="EH3301" s="0" t="inlineStr">
        <is>
          <t>179行 4列，源：nan 备：</t>
        </is>
      </c>
    </row>
    <row r="3302">
      <c r="EH3302" s="0" t="inlineStr">
        <is>
          <t>179行 5列，源：None 备：</t>
        </is>
      </c>
    </row>
    <row r="3303">
      <c r="EH3303" s="0" t="inlineStr">
        <is>
          <t>179行 6列，源：None 备：</t>
        </is>
      </c>
    </row>
    <row r="3304">
      <c r="EH3304" s="0" t="inlineStr">
        <is>
          <t>179行 7列，源：None 备：</t>
        </is>
      </c>
    </row>
    <row r="3305">
      <c r="EH3305" s="0" t="inlineStr">
        <is>
          <t>179行 8列，源：None 备：</t>
        </is>
      </c>
    </row>
    <row r="3306">
      <c r="EH3306" s="0" t="inlineStr">
        <is>
          <t>179行 9列，源：None 备：</t>
        </is>
      </c>
    </row>
    <row r="3307">
      <c r="EH3307" s="0" t="inlineStr">
        <is>
          <t>179行 10列，源：None 备：</t>
        </is>
      </c>
    </row>
    <row r="3308">
      <c r="EH3308" s="0" t="inlineStr">
        <is>
          <t>179行 11列，源：None 备：</t>
        </is>
      </c>
    </row>
    <row r="3309">
      <c r="EH3309" s="0" t="inlineStr">
        <is>
          <t>179行 12列，源：None 备：</t>
        </is>
      </c>
    </row>
    <row r="3310">
      <c r="EH3310" s="0" t="inlineStr">
        <is>
          <t>179行 13列，源：None 备：</t>
        </is>
      </c>
    </row>
    <row r="3311">
      <c r="EH3311" s="0" t="inlineStr">
        <is>
          <t>179行 14列，源：None 备：</t>
        </is>
      </c>
    </row>
    <row r="3312">
      <c r="EH3312" s="0" t="inlineStr">
        <is>
          <t>179行 15列，源：-3.402823466e+38 备：-340282346600000016151267322115014000640.0000000000000</t>
        </is>
      </c>
    </row>
    <row r="3313">
      <c r="EH3313" s="0" t="inlineStr">
        <is>
          <t>179行 16列，源：-3.4028230607370965e+38 备：-340282306073709652508363335590014353408.000000</t>
        </is>
      </c>
    </row>
    <row r="3314">
      <c r="EH3314" s="0" t="inlineStr">
        <is>
          <t>179行 19列，源：False 备：0</t>
        </is>
      </c>
    </row>
  </sheetData>
  <mergeCells count="202">
    <mergeCell ref="A185:A189"/>
    <mergeCell ref="A885:A889"/>
    <mergeCell ref="A333:A342"/>
    <mergeCell ref="A1370:A1379"/>
    <mergeCell ref="A1343:A1345"/>
    <mergeCell ref="A849:A851"/>
    <mergeCell ref="A524:A528"/>
    <mergeCell ref="A995:A999"/>
    <mergeCell ref="A451:A455"/>
    <mergeCell ref="A916:A918"/>
    <mergeCell ref="A660:A664"/>
    <mergeCell ref="A466:A475"/>
    <mergeCell ref="A479:A481"/>
    <mergeCell ref="A1031:A1040"/>
    <mergeCell ref="A777:A780"/>
    <mergeCell ref="A727:A732"/>
    <mergeCell ref="A1304:A1306"/>
    <mergeCell ref="A287:A296"/>
    <mergeCell ref="A260:A262"/>
    <mergeCell ref="A343:A363"/>
    <mergeCell ref="A388:A393"/>
    <mergeCell ref="A589:A591"/>
    <mergeCell ref="A811:A813"/>
    <mergeCell ref="A90:A110"/>
    <mergeCell ref="A534:A538"/>
    <mergeCell ref="A284:A286"/>
    <mergeCell ref="A84:A86"/>
    <mergeCell ref="A1346:A1348"/>
    <mergeCell ref="A955:A960"/>
    <mergeCell ref="A670:A679"/>
    <mergeCell ref="A823:A843"/>
    <mergeCell ref="A448:A450"/>
    <mergeCell ref="A202:A223"/>
    <mergeCell ref="A370:A372"/>
    <mergeCell ref="A307:A327"/>
    <mergeCell ref="A510:A513"/>
    <mergeCell ref="A497:A499"/>
    <mergeCell ref="A733:A735"/>
    <mergeCell ref="A66:A70"/>
    <mergeCell ref="A1307:A1316"/>
    <mergeCell ref="A174:A176"/>
    <mergeCell ref="A895:A900"/>
    <mergeCell ref="A297:A306"/>
    <mergeCell ref="A613:A618"/>
    <mergeCell ref="A704:A713"/>
    <mergeCell ref="A1013:A1017"/>
    <mergeCell ref="A1047:A1051"/>
    <mergeCell ref="A1253:A1262"/>
    <mergeCell ref="A1216:A1236"/>
    <mergeCell ref="A819:A822"/>
    <mergeCell ref="A42:A44"/>
    <mergeCell ref="A748:A752"/>
    <mergeCell ref="A719:A721"/>
    <mergeCell ref="A1023:A1025"/>
    <mergeCell ref="A592:A596"/>
    <mergeCell ref="A876:A880"/>
    <mergeCell ref="A1136:A1138"/>
    <mergeCell ref="A890:A894"/>
    <mergeCell ref="A797:A802"/>
    <mergeCell ref="A774:A776"/>
    <mergeCell ref="A909:A912"/>
    <mergeCell ref="A199:A201"/>
    <mergeCell ref="A230:A232"/>
    <mergeCell ref="A940:A944"/>
    <mergeCell ref="A224:A226"/>
    <mergeCell ref="A1322:A1342"/>
    <mergeCell ref="A1299:A1303"/>
    <mergeCell ref="A913:A915"/>
    <mergeCell ref="A814:A818"/>
    <mergeCell ref="A619:A628"/>
    <mergeCell ref="A987:A989"/>
    <mergeCell ref="A114:A116"/>
    <mergeCell ref="A248:A251"/>
    <mergeCell ref="A736:A740"/>
    <mergeCell ref="A1052:A1077"/>
    <mergeCell ref="A919:A921"/>
    <mergeCell ref="A193:A198"/>
    <mergeCell ref="A1213:A1215"/>
    <mergeCell ref="A549:A553"/>
    <mergeCell ref="A922:A926"/>
    <mergeCell ref="A904:A908"/>
    <mergeCell ref="A930:A939"/>
    <mergeCell ref="A412:A416"/>
    <mergeCell ref="A263:A268"/>
    <mergeCell ref="A1263:A1265"/>
    <mergeCell ref="A881:A884"/>
    <mergeCell ref="A1390:A1392"/>
    <mergeCell ref="A492:A496"/>
    <mergeCell ref="A629:A631"/>
    <mergeCell ref="A227:A229"/>
    <mergeCell ref="A461:A465"/>
    <mergeCell ref="A632:A636"/>
    <mergeCell ref="A243:A247"/>
    <mergeCell ref="A252:A256"/>
    <mergeCell ref="A25:A27"/>
    <mergeCell ref="A786:A791"/>
    <mergeCell ref="A3:A5"/>
    <mergeCell ref="A456:A460"/>
    <mergeCell ref="A1279:A1283"/>
    <mergeCell ref="A945:A954"/>
    <mergeCell ref="A1177:A1202"/>
    <mergeCell ref="A1248:A1252"/>
    <mergeCell ref="A52:A55"/>
    <mergeCell ref="A514:A523"/>
    <mergeCell ref="A417:A427"/>
    <mergeCell ref="A373:A382"/>
    <mergeCell ref="A125:A127"/>
    <mergeCell ref="A637:A646"/>
    <mergeCell ref="A680:A700"/>
    <mergeCell ref="A714:A718"/>
    <mergeCell ref="A71:A75"/>
    <mergeCell ref="A274:A283"/>
    <mergeCell ref="A433:A437"/>
    <mergeCell ref="A11:A14"/>
    <mergeCell ref="A269:A273"/>
    <mergeCell ref="A111:A113"/>
    <mergeCell ref="A15:A24"/>
    <mergeCell ref="A190:A192"/>
    <mergeCell ref="A180:A184"/>
    <mergeCell ref="A529:A533"/>
    <mergeCell ref="A1000:A1002"/>
    <mergeCell ref="A28:A30"/>
    <mergeCell ref="A564:A573"/>
    <mergeCell ref="A1276:A1278"/>
    <mergeCell ref="A257:A259"/>
    <mergeCell ref="A990:A994"/>
    <mergeCell ref="A584:A588"/>
    <mergeCell ref="A1203:A1212"/>
    <mergeCell ref="A45:A47"/>
    <mergeCell ref="A1110:A1130"/>
    <mergeCell ref="A701:A703"/>
    <mergeCell ref="A741:A743"/>
    <mergeCell ref="A79:A83"/>
    <mergeCell ref="A744:A747"/>
    <mergeCell ref="A87:A89"/>
    <mergeCell ref="A397:A406"/>
    <mergeCell ref="A806:A810"/>
    <mergeCell ref="A476:A478"/>
    <mergeCell ref="A647:A649"/>
    <mergeCell ref="A781:A785"/>
    <mergeCell ref="A961:A986"/>
    <mergeCell ref="A1026:A1030"/>
    <mergeCell ref="A177:A179"/>
    <mergeCell ref="A1152:A1161"/>
    <mergeCell ref="A792:A796"/>
    <mergeCell ref="A1284:A1293"/>
    <mergeCell ref="A233:A237"/>
    <mergeCell ref="A37:A41"/>
    <mergeCell ref="A554:A563"/>
    <mergeCell ref="A1317:A1321"/>
    <mergeCell ref="A120:A124"/>
    <mergeCell ref="A142:A147"/>
    <mergeCell ref="A852:A872"/>
    <mergeCell ref="A31:A36"/>
    <mergeCell ref="A48:A51"/>
    <mergeCell ref="A1131:A1135"/>
    <mergeCell ref="A482:A491"/>
    <mergeCell ref="A1018:A1022"/>
    <mergeCell ref="A1294:A1298"/>
    <mergeCell ref="A500:A509"/>
    <mergeCell ref="A76:A78"/>
    <mergeCell ref="A138:A141"/>
    <mergeCell ref="A1003:A1012"/>
    <mergeCell ref="A665:A669"/>
    <mergeCell ref="A803:A805"/>
    <mergeCell ref="A901:A903"/>
    <mergeCell ref="A364:A369"/>
    <mergeCell ref="A128:A137"/>
    <mergeCell ref="A539:A548"/>
    <mergeCell ref="A873:A875"/>
    <mergeCell ref="A1149:A1151"/>
    <mergeCell ref="A407:A411"/>
    <mergeCell ref="A753:A773"/>
    <mergeCell ref="A117:A119"/>
    <mergeCell ref="A328:A332"/>
    <mergeCell ref="A1139:A1148"/>
    <mergeCell ref="A1349:A1369"/>
    <mergeCell ref="A608:A612"/>
    <mergeCell ref="A927:A929"/>
    <mergeCell ref="A153:A173"/>
    <mergeCell ref="A383:A387"/>
    <mergeCell ref="A1237:A1247"/>
    <mergeCell ref="A148:A152"/>
    <mergeCell ref="A438:A447"/>
    <mergeCell ref="A1385:A1389"/>
    <mergeCell ref="A722:A726"/>
    <mergeCell ref="A844:A848"/>
    <mergeCell ref="A597:A607"/>
    <mergeCell ref="A6:A10"/>
    <mergeCell ref="A56:A65"/>
    <mergeCell ref="A1041:A1046"/>
    <mergeCell ref="A394:A396"/>
    <mergeCell ref="A574:A583"/>
    <mergeCell ref="A1167:A1176"/>
    <mergeCell ref="A1078:A1083"/>
    <mergeCell ref="A1380:A1384"/>
    <mergeCell ref="A1162:A1166"/>
    <mergeCell ref="A1266:A1275"/>
    <mergeCell ref="A428:A432"/>
    <mergeCell ref="A650:A659"/>
    <mergeCell ref="A1084:A1109"/>
    <mergeCell ref="A238:A2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M1393"/>
  <sheetViews>
    <sheetView workbookViewId="0">
      <selection activeCell="A1" sqref="A1"/>
    </sheetView>
  </sheetViews>
  <sheetFormatPr baseColWidth="8" defaultRowHeight="15"/>
  <sheetData>
    <row r="1">
      <c r="A1" t="inlineStr">
        <is>
          <t>sqlserver -- 2026041919hbase</t>
        </is>
      </c>
      <c r="E1" t="inlineStr">
        <is>
          <t>源端共计 202个表，备端共计 202个表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7">
        <f>HYPERLINK("#2026041919hbase0!W20","info_sdt_dml_batch2_pk_irp2")</f>
        <v/>
      </c>
      <c r="Z2" s="17">
        <f>HYPERLINK("#2026041919hbase0!W23","info_sdt_dml_batch1_pk_urp1")</f>
        <v/>
      </c>
      <c r="AA2" s="17">
        <f>HYPERLINK("#2026041919hbase0!W35","info_sdt_dml_batch1_pk_urp2")</f>
        <v/>
      </c>
      <c r="AB2" s="17">
        <f>HYPERLINK("#2026041919hbase0!W38","info_varbinary_dml_batch1_pk_urp1")</f>
        <v/>
      </c>
      <c r="AC2" s="17">
        <f>HYPERLINK("#2026041919hbase0!W43","info_nchar_dml_single_pk_irp")</f>
        <v/>
      </c>
      <c r="AD2" s="17">
        <f>HYPERLINK("#2026041919hbase0!W52","info_datetimeoffset_dml_single_pk_drp")</f>
        <v/>
      </c>
      <c r="AE2" s="17">
        <f>HYPERLINK("#2026041919hbase0!W71","info_geometry_dml_single_pk_urp")</f>
        <v/>
      </c>
      <c r="AF2" s="17">
        <f>HYPERLINK("#2026041919hbase0!W74","info_sdt_dml_batch1_pk_drp2")</f>
        <v/>
      </c>
      <c r="AG2" s="17">
        <f>HYPERLINK("#2026041919hbase0!W87","info_sdt_dml_batch1_pk")</f>
        <v/>
      </c>
      <c r="AH2" s="17">
        <f>HYPERLINK("#2026041919hbase0!W90","info_int_dml_batch1_pk_urp1")</f>
        <v/>
      </c>
      <c r="AI2" s="17">
        <f>HYPERLINK("#2026041919hbase0!W111","info_xml_dml_single_pk_urp")</f>
        <v/>
      </c>
      <c r="AJ2" s="17">
        <f>HYPERLINK("#2026041919hbase0!W114","info_datetime_dml_batch1_pk_irp1")</f>
        <v/>
      </c>
      <c r="AK2" s="17">
        <f>HYPERLINK("#2026041919hbase0!W117","info_varbinary_dml_batch1_pk_urp2")</f>
        <v/>
      </c>
      <c r="AL2" s="17">
        <f>HYPERLINK("#2026041919hbase0!W122","info_datetime_dml_batch1_pk_irp2")</f>
        <v/>
      </c>
      <c r="AM2" s="17">
        <f>HYPERLINK("#2026041919hbase0!W139","info_datetime_dml_batch2_pk_irp1")</f>
        <v/>
      </c>
      <c r="AN2" s="17">
        <f>HYPERLINK("#2026041919hbase0!W142","info_int_dml_batch1_pk_urp2")</f>
        <v/>
      </c>
      <c r="AO2" s="17">
        <f>HYPERLINK("#2026041919hbase0!W174","info_datetime_dml_batch2_pk_irp2")</f>
        <v/>
      </c>
      <c r="AP2" s="17">
        <f>HYPERLINK("#2026041919hbase0!W185","info_datetime_dml_batch1_pk_urp1")</f>
        <v/>
      </c>
      <c r="AQ2" s="17">
        <f>HYPERLINK("#2026041919hbase0!W188","info_nchar_dml_single_pk_urp")</f>
        <v/>
      </c>
      <c r="AR2" s="17">
        <f>HYPERLINK("#2026041919hbase0!W232","info_datetime_dml_batch1_pk_urp2")</f>
        <v/>
      </c>
      <c r="AS2" s="17">
        <f>HYPERLINK("#2026041919hbase0!W240","info_geometry_dml_single_pk")</f>
        <v/>
      </c>
      <c r="AT2" s="17">
        <f>HYPERLINK("#2026041919hbase0!W247","info_datetime_dml_batch1_pk_drp2")</f>
        <v/>
      </c>
      <c r="AU2" s="17">
        <f>HYPERLINK("#2026041919hbase0!W255","info_datetime_dml_batch1_pk")</f>
        <v/>
      </c>
      <c r="AV2" s="17">
        <f>HYPERLINK("#2026041919hbase0!W258","info_nchar_dml_batch1_pk_irp1")</f>
        <v/>
      </c>
      <c r="AW2" s="17">
        <f>HYPERLINK("#2026041919hbase0!W274","info_datetime2_dml_batch1_pk_irp1")</f>
        <v/>
      </c>
      <c r="AX2" s="17">
        <f>HYPERLINK("#2026041919hbase0!W284","info_date_dml_single_pk_irp")</f>
        <v/>
      </c>
      <c r="AY2" s="17">
        <f>HYPERLINK("#2026041919hbase0!W287","info_datetime2_dml_batch2_pk_irp1")</f>
        <v/>
      </c>
      <c r="AZ2" s="17">
        <f>HYPERLINK("#2026041919hbase0!W297","info_datetime2_dml_batch1_pk_irp2")</f>
        <v/>
      </c>
      <c r="BA2" s="17">
        <f>HYPERLINK("#2026041919hbase0!W307","info_int_dml_batch1_pk_drp2")</f>
        <v/>
      </c>
      <c r="BB2" s="17">
        <f>HYPERLINK("#2026041919hbase0!W328","info_binary_dml_batch1_pk_irp1")</f>
        <v/>
      </c>
      <c r="BC2" s="17">
        <f>HYPERLINK("#2026041919hbase0!W333","info_datetime2_dml_batch2_pk_irp2")</f>
        <v/>
      </c>
      <c r="BD2" s="17">
        <f>HYPERLINK("#2026041919hbase0!W349","info_int_dml_batch1_pk")</f>
        <v/>
      </c>
      <c r="BE2" s="17">
        <f>HYPERLINK("#2026041919hbase0!W370","info_hierarchyid_dml_single_pk_irp")</f>
        <v/>
      </c>
      <c r="BF2" s="17">
        <f>HYPERLINK("#2026041919hbase0!W373","info_datetime2_dml_batch1_pk_urp1")</f>
        <v/>
      </c>
      <c r="BG2" s="17">
        <f>HYPERLINK("#2026041919hbase0!W389","info_nchar_dml_batch1_pk_irp2")</f>
        <v/>
      </c>
      <c r="BH2" s="17">
        <f>HYPERLINK("#2026041919hbase0!W394","info_date_dml_single_pk_urp")</f>
        <v/>
      </c>
      <c r="BI2" s="17">
        <f>HYPERLINK("#2026041919hbase0!W397","info_datetime2_dml_batch1_pk_urp2")</f>
        <v/>
      </c>
      <c r="BJ2" s="17">
        <f>HYPERLINK("#2026041919hbase0!W423","info_nvarchar_dml_single_pk_irp")</f>
        <v/>
      </c>
      <c r="BK2" s="17">
        <f>HYPERLINK("#2026041919hbase0!W433","info_binary_dml_batch1_pk_irp2")</f>
        <v/>
      </c>
      <c r="BL2" s="17">
        <f>HYPERLINK("#2026041919hbase0!W438","info_datetime2_dml_batch1_pk_drp2")</f>
        <v/>
      </c>
      <c r="BM2" s="17">
        <f>HYPERLINK("#2026041919hbase0!W451","info_nvarchar_dml_single_pk_urp")</f>
        <v/>
      </c>
      <c r="BN2" s="17">
        <f>HYPERLINK("#2026041919hbase0!W456","info_datetime2_dml_batch1_pk")</f>
        <v/>
      </c>
      <c r="BO2" s="17">
        <f>HYPERLINK("#2026041919hbase0!W471","info_binary_dml_batch2_pk_irp1")</f>
        <v/>
      </c>
      <c r="BP2" s="17">
        <f>HYPERLINK("#2026041919hbase0!W476","info_date_dml_single_pk_drp")</f>
        <v/>
      </c>
      <c r="BQ2" s="17">
        <f>HYPERLINK("#2026041919hbase0!W482","info_datetimeoffset_dml_batch1_pk_irp1")</f>
        <v/>
      </c>
      <c r="BR2" s="17">
        <f>HYPERLINK("#2026041919hbase0!W492","info_date_dml_single_pk")</f>
        <v/>
      </c>
      <c r="BS2" s="17">
        <f>HYPERLINK("#2026041919hbase0!W504","info_datetimeoffset_dml_batch1_pk_irp2")</f>
        <v/>
      </c>
      <c r="BT2" s="17">
        <f>HYPERLINK("#2026041919hbase0!W514","info_char_dml_batch1_pk_urp1")</f>
        <v/>
      </c>
      <c r="BU2" s="17">
        <f>HYPERLINK("#2026041919hbase0!W519","info_datetimeoffset_dml_batch2_pk_irp1")</f>
        <v/>
      </c>
      <c r="BV2" s="17">
        <f>HYPERLINK("#2026041919hbase0!W534","info_binary_dml_batch2_pk_irp2")</f>
        <v/>
      </c>
      <c r="BW2" s="17">
        <f>HYPERLINK("#2026041919hbase0!W539","info_datetimeoffset_dml_batch2_pk_irp2")</f>
        <v/>
      </c>
      <c r="BX2" s="17">
        <f>HYPERLINK("#2026041919hbase0!W549","info_char_dml_batch1_pk_urp2")</f>
        <v/>
      </c>
      <c r="BY2" s="17">
        <f>HYPERLINK("#2026041919hbase0!W554","info_datetimeoffset_dml_batch1_pk_urp1")</f>
        <v/>
      </c>
      <c r="BZ2" s="17">
        <f>HYPERLINK("#2026041919hbase0!W569","info_time_dml_single_pk_irp")</f>
        <v/>
      </c>
      <c r="CA2" s="17">
        <f>HYPERLINK("#2026041919hbase0!W579","info_datetimeoffset_dml_batch1_pk_urp2")</f>
        <v/>
      </c>
      <c r="CB2" s="17">
        <f>HYPERLINK("#2026041919hbase0!W589","info_date_dml_batch1_pk_irp2")</f>
        <v/>
      </c>
      <c r="CC2" s="17">
        <f>HYPERLINK("#2026041919hbase0!W616","info_datetimeoffset_dml_batch1_pk_drp2")</f>
        <v/>
      </c>
      <c r="CD2" s="17">
        <f>HYPERLINK("#2026041919hbase0!W647","info_date_dml_batch2_pk_irp1")</f>
        <v/>
      </c>
      <c r="CE2" s="17">
        <f>HYPERLINK("#2026041919hbase0!W650","info_time_dml_single_pk_urp")</f>
        <v/>
      </c>
      <c r="CF2" s="17">
        <f>HYPERLINK("#2026041919hbase0!W660","info_binary_dml_batch1_pk_urp1")</f>
        <v/>
      </c>
      <c r="CG2" s="17">
        <f>HYPERLINK("#2026041919hbase0!W665","info_time_dml_single_pk_drp")</f>
        <v/>
      </c>
      <c r="CH2" s="17">
        <f>HYPERLINK("#2026041919hbase0!W680","info_date_dml_batch2_pk_irp2")</f>
        <v/>
      </c>
      <c r="CI2" s="17">
        <f>HYPERLINK("#2026041919hbase0!W683","info_binary_dml_batch1_pk_urp2")</f>
        <v/>
      </c>
      <c r="CJ2" s="17">
        <f>HYPERLINK("#2026041919hbase0!W688","info_time_dml_single_pk")</f>
        <v/>
      </c>
      <c r="CK2" s="17">
        <f>HYPERLINK("#2026041919hbase0!W698","info_int_dml_single_pk_irp")</f>
        <v/>
      </c>
      <c r="CL2" s="17">
        <f>HYPERLINK("#2026041919hbase0!W719","info_sdt_dml_single_pk_irp")</f>
        <v/>
      </c>
      <c r="CM2" s="17">
        <f>HYPERLINK("#2026041919hbase0!W733","info_sdt_dml_single_pk_urp")</f>
        <v/>
      </c>
      <c r="CN2" s="17">
        <f>HYPERLINK("#2026041919hbase0!W745","info_sdt_dml_single_pk_drp")</f>
        <v/>
      </c>
      <c r="CO2" s="17">
        <f>HYPERLINK("#2026041919hbase0!W748","info_char_dml_batch1_pk_drp2")</f>
        <v/>
      </c>
      <c r="CP2" s="17">
        <f>HYPERLINK("#2026041919hbase0!W753","info_sdt_dml_single_pk")</f>
        <v/>
      </c>
      <c r="CQ2" s="17">
        <f>HYPERLINK("#2026041919hbase0!W760","info_int_dml_single_pk_urp")</f>
        <v/>
      </c>
      <c r="CR2" s="17">
        <f>HYPERLINK("#2026041919hbase0!W803","info_char_dml_single_pk_irp")</f>
        <v/>
      </c>
      <c r="CS2" s="17">
        <f>HYPERLINK("#2026041919hbase0!W808","info_date_dml_batch1_pk_urp1")</f>
        <v/>
      </c>
      <c r="CT2" s="17">
        <f>HYPERLINK("#2026041919hbase0!W811","info_date_dml_batch1_pk_urp2")</f>
        <v/>
      </c>
      <c r="CU2" s="17">
        <f>HYPERLINK("#2026041919hbase0!W814","info_binary_dml_batch1_pk_drp2")</f>
        <v/>
      </c>
      <c r="CV2" s="17">
        <f>HYPERLINK("#2026041919hbase0!W819","info_datetime_dml_single_pk_irp")</f>
        <v/>
      </c>
      <c r="CW2" s="17">
        <f>HYPERLINK("#2026041919hbase0!W822","info_int_dml_single_pk_drp")</f>
        <v/>
      </c>
      <c r="CX2" s="17">
        <f>HYPERLINK("#2026041919hbase0!W873","info_timestamp_dml_single_pk_irp")</f>
        <v/>
      </c>
      <c r="CY2" s="17">
        <f>HYPERLINK("#2026041919hbase0!W881","info_char_dml_single_pk_urp")</f>
        <v/>
      </c>
      <c r="CZ2" s="17">
        <f>HYPERLINK("#2026041919hbase0!W901","info_datetime_dml_single_pk_urp")</f>
        <v/>
      </c>
      <c r="DA2" s="17">
        <f>HYPERLINK("#2026041919hbase0!W913","info_date_dml_batch1_pk_drp2")</f>
        <v/>
      </c>
      <c r="DB2" s="17">
        <f>HYPERLINK("#2026041919hbase0!W916","info_datetime_dml_single_pk_drp")</f>
        <v/>
      </c>
      <c r="DC2" s="17">
        <f>HYPERLINK("#2026041919hbase0!W919","info_date_dml_batch1_pk")</f>
        <v/>
      </c>
      <c r="DD2" s="17">
        <f>HYPERLINK("#2026041919hbase0!W922","info_timestamp_dml_single_pk_drp")</f>
        <v/>
      </c>
      <c r="DE2" s="17">
        <f>HYPERLINK("#2026041919hbase0!W925","info_nvarchar_dml_batch1_pk_irp1")</f>
        <v/>
      </c>
      <c r="DF2" s="17">
        <f>HYPERLINK("#2026041919hbase0!W930","info_time_dml_batch1_pk_irp1")</f>
        <v/>
      </c>
      <c r="DG2" s="17">
        <f>HYPERLINK("#2026041919hbase0!W940","info_binary_dml_batch1_pk")</f>
        <v/>
      </c>
      <c r="DH2" s="17">
        <f>HYPERLINK("#2026041919hbase0!W951","info_time_dml_batch1_pk_irp2")</f>
        <v/>
      </c>
      <c r="DI2" s="17">
        <f>HYPERLINK("#2026041919hbase0!W961","info_datetime_dml_single_pk")</f>
        <v/>
      </c>
      <c r="DJ2" s="17">
        <f>HYPERLINK("#2026041919hbase0!W964","info_sql_variant_dml_single_pk_irp")</f>
        <v/>
      </c>
      <c r="DK2" s="17">
        <f>HYPERLINK("#2026041919hbase0!W998","info_nvarchar_dml_batch1_pk_irp2")</f>
        <v/>
      </c>
      <c r="DL2" s="17">
        <f>HYPERLINK("#2026041919hbase0!W1003","info_datetime2_dml_single_pk_irp")</f>
        <v/>
      </c>
      <c r="DM2" s="17">
        <f>HYPERLINK("#2026041919hbase0!W1018","info_varbinary_dml_batch1_pk_irp1")</f>
        <v/>
      </c>
      <c r="DN2" s="17">
        <f>HYPERLINK("#2026041919hbase0!W1023","info_geography_dml_single_pk_irp")</f>
        <v/>
      </c>
      <c r="DO2" s="17">
        <f>HYPERLINK("#2026041919hbase0!W1031","info_time_dml_batch2_pk_irp1")</f>
        <v/>
      </c>
      <c r="DP2" s="17">
        <f>HYPERLINK("#2026041919hbase0!W1047","info_varbinary_dml_batch1_pk_irp2")</f>
        <v/>
      </c>
      <c r="DQ2" s="17">
        <f>HYPERLINK("#2026041919hbase0!W1052","info_sql_variant_dml_single_pk_urp")</f>
        <v/>
      </c>
      <c r="DR2" s="17">
        <f>HYPERLINK("#2026041919hbase0!W1078","info_sql_variant_dml_single_pk_drp")</f>
        <v/>
      </c>
      <c r="DS2" s="17">
        <f>HYPERLINK("#2026041919hbase0!W1110","info_datetime2_dml_single_pk_urp")</f>
        <v/>
      </c>
      <c r="DT2" s="17">
        <f>HYPERLINK("#2026041919hbase0!W1120","info_int_dml_batch1_pk_irp1")</f>
        <v/>
      </c>
      <c r="DU2" s="17">
        <f>HYPERLINK("#2026041919hbase0!W1146","info_geography_dml_single_pk_urp")</f>
        <v/>
      </c>
      <c r="DV2" s="17">
        <f>HYPERLINK("#2026041919hbase0!W1152","info_time_dml_batch2_pk_irp2")</f>
        <v/>
      </c>
      <c r="DW2" s="17">
        <f>HYPERLINK("#2026041919hbase0!W1162","info_varbinary_dml_batch2_pk_irp1")</f>
        <v/>
      </c>
      <c r="DX2" s="17">
        <f>HYPERLINK("#2026041919hbase0!W1167","info_time_dml_batch1_pk_urp1")</f>
        <v/>
      </c>
      <c r="DY2" s="17">
        <f>HYPERLINK("#2026041919hbase0!W1177","info_sql_variant_dml_single_pk")</f>
        <v/>
      </c>
      <c r="DZ2" s="17">
        <f>HYPERLINK("#2026041919hbase0!W1206","info_time_dml_batch1_pk_urp2")</f>
        <v/>
      </c>
      <c r="EA2" s="17">
        <f>HYPERLINK("#2026041919hbase0!W1216","info_datetime2_dml_single_pk_drp")</f>
        <v/>
      </c>
      <c r="EB2" s="17">
        <f>HYPERLINK("#2026041919hbase0!W1237","info_int_dml_batch1_pk_irp2")</f>
        <v/>
      </c>
      <c r="EC2" s="17">
        <f>HYPERLINK("#2026041919hbase0!W1266","info_geography_dml_single_pk_drp")</f>
        <v/>
      </c>
      <c r="ED2" s="17">
        <f>HYPERLINK("#2026041919hbase0!W1274","info_datetime2_dml_single_pk")</f>
        <v/>
      </c>
      <c r="EE2" s="17">
        <f>HYPERLINK("#2026041919hbase0!W1284","info_time_dml_batch1_pk_drp2")</f>
        <v/>
      </c>
      <c r="EF2" s="17">
        <f>HYPERLINK("#2026041919hbase0!W1307","info_time_dml_batch1_pk")</f>
        <v/>
      </c>
      <c r="EG2" s="17">
        <f>HYPERLINK("#2026041919hbase0!W1317","info_sdt_dml_batch1_pk_irp1")</f>
        <v/>
      </c>
      <c r="EH2" s="17">
        <f>HYPERLINK("#2026041919hbase0!W1320","info_sdt_dml_batch1_pk_irp2")</f>
        <v/>
      </c>
      <c r="EI2" s="17">
        <f>HYPERLINK("#2026041919hbase0!W1323","info_int_dml_batch2_pk_irp2")</f>
        <v/>
      </c>
      <c r="EJ2" s="17">
        <f>HYPERLINK("#2026041919hbase0!W1344","info_int_dml_batch2_pk_irp1")</f>
        <v/>
      </c>
      <c r="EK2" s="17">
        <f>HYPERLINK("#2026041919hbase0!W1365","info_varbinary_dml_batch2_pk_irp2")</f>
        <v/>
      </c>
      <c r="EL2" s="17">
        <f>HYPERLINK("#2026041919hbase0!W1370","info_datetimeoffset_dml_single_pk_irp")</f>
        <v/>
      </c>
      <c r="EM2" s="17">
        <f>HYPERLINK("#2026041919hbase0!W1390","info_sdt_dml_batch2_pk_irp1")</f>
        <v/>
      </c>
    </row>
    <row r="3">
      <c r="A3" t="inlineStr">
        <is>
          <t>info_geometry_dml_single_pk_irp</t>
        </is>
      </c>
      <c r="K3" t="inlineStr">
        <is>
          <t>[0;34m info_geometry_dml_single_pk_irp [0m源备字段数相同，源端字段：2 	备端字段2</t>
        </is>
      </c>
      <c r="W3" t="inlineStr">
        <is>
          <t>YES 源备无差异</t>
        </is>
      </c>
      <c r="X3">
        <f>A3</f>
        <v/>
      </c>
      <c r="Y3" t="inlineStr">
        <is>
          <t>['2', '1900-01-01 00:00:00']行 ['10', '2079-06-0523:59:00']列，源：7163b5525caf7cc0ddc250784e2537ae 备：260b3f88846937abbb57b9ed391a2593</t>
        </is>
      </c>
      <c r="Z3" t="inlineStr">
        <is>
          <t>['1', '2026-04-17 17:16:00']行 ['1', '2026-04-1717:16:00']列，源：2d5fbb0544a15d3202bcf6ca932d4891 备：ae05d2f911bc822c335e1b507b3bd82b</t>
        </is>
      </c>
      <c r="AA3" t="inlineStr">
        <is>
          <t>['1', '2026-04-17 17:16:00']行 ['1', '2026-04-1717:16:00']列，源：2d5fbb0544a15d3202bcf6ca932d4891 备：ae05d2f911bc822c335e1b507b3bd82b</t>
        </is>
      </c>
      <c r="AB3"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AC3"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AD3" t="inlineStr">
        <is>
          <t>['5', '9999-12-3123:59:59+00:00', '9999-12-3123:59:59.9+00:00', '9999-12-3123:59:59.99+00:00', '9999-12-3123:59:59.999+00:00', '9999-12-3123:59:59.9999+00:00', '9999-12-3123:59:59.99999+00:00', '9999-12-3123:59:59.999999+00:00', '9999-12-3123:59:59.9999999+00:00']行 ['11', '2003-11-0502:00:00-05:10', '2003-11-0502:00:00.0-05:10', '2003-11-0502:00:00.00-05:10', '2003-11-0502:00:00.000-05:10', '2003-11-0502:00:00.0000-05:10', '2003-11-0502:00:00.00000-05:10', '2003-11-0502:00:00.000000-05:10', '2003-11-0502:00:00.0000000-05:10']列，源：e9913af2ede92ca2dee8e158b5f6391f 备：5763c1eeb92d430c4d8f32e6dce6129c</t>
        </is>
      </c>
      <c r="AE3" t="inlineStr">
        <is>
          <t>['1', 'POINT31.2397121.4998']行 ['1', 'POINT31.2396999999999991121.499799999999993']列，源：97f1381802053e405b078cba695c9180 备：2f9857b3adce7fd734a67787d560c40f</t>
        </is>
      </c>
      <c r="AF3" t="inlineStr">
        <is>
          <t>['4', '2079-06-06 23:59:00']行 ['10', '2079-06-0523:59:00']列，源：a8fd36861b3c5e2223d79720c578b109 备：260b3f88846937abbb57b9ed391a2593</t>
        </is>
      </c>
      <c r="AG3" t="inlineStr">
        <is>
          <t>['8', '2079-06-05 23:59:00']行 ['10', '2079-06-0523:59:00']列，源：71450360e6c7158404ef1634176fcef3 备：260b3f88846937abbb57b9ed391a2593</t>
        </is>
      </c>
      <c r="AH3" t="inlineStr">
        <is>
          <t>['2', '100', '32767', '123456', '1000000', '', '100000000000000000000000000000000000000', '1', '10000000000000000000000000000', '-888888.22', '999999999999999999', '100000000000000000000000000000000000000', '1', '10000000000000000000000000000', '9999999999999999.99', '0', '0', '203685477.5808', '214748.3647', '0']行 ['10', '100', '-12345', '123456', '1000000', '', '', '', '', '-888888.22', '', '', '', '', '', '0', '0', '203685477.5808', '', '0']列，源：d1ab9718bc3b95849add29c1d6e2ef6d 备：684fff0193dd89d8fd7cb2ab46f8ea99</t>
        </is>
      </c>
      <c r="AI3" t="inlineStr">
        <is>
          <t>['2', '&lt;PANELPANELNO=10&gt;&lt;DECODERID&gt;4402032520085&lt;/DECODERID&gt;&lt;NAME&gt;海康B20解码器10&lt;/NAME&gt;&lt;IP&gt;44.43.85.6&lt;/IP&gt;&lt;COMMPORT&gt;200&lt;/COMMPORT&gt;&lt;CHANEL&gt;16842762&lt;/CHANEL&gt;&lt;LOCATIONXLOCATION=1100YLOCATION=20/&gt;&lt;SIZEXSIZE=120YSIZE=80/&gt;&lt;CAMERAID&gt;4402057040372&lt;/CAMERAID&gt;&lt;/PANEL&gt;']行 ['2', '&lt;PANELPANELNO=10&gt;&lt;DECODERID&gt;4402032520085&lt;/DECODERID&gt;&lt;NAME&gt;海康B20解码器10&lt;/NAME&gt;&lt;IP&gt;44.43.85.6&lt;/IP&gt;&lt;COMMPORT&gt;200&lt;/COMMPORT&gt;&lt;CHANEL&gt;16842762&lt;/CHANEL&gt;&lt;LOCATIONXLOCATION=1100YLOCATION=20&gt;&lt;/LOCATION&gt;&lt;SIZEXSIZE=120YSIZE=80&gt;&lt;/SIZE&gt;&lt;CAMERAID&gt;4402057040372&lt;/CAMERAID&gt;&lt;/PANEL&gt;']列，源：96266fb1402bee8d596e2a777096e0c6 备：d25c21c104b3b65905c52407e7114edf</t>
        </is>
      </c>
      <c r="AJ3" t="inlineStr">
        <is>
          <t>['2', '1900-01-01 00:00:00']行 ['10', '1996-03-0323:59:59.997']列，源：7163b5525caf7cc0ddc250784e2537ae 备：80ca088afd4f34b3478a790207b727a1</t>
        </is>
      </c>
      <c r="AK3"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AL3" t="inlineStr">
        <is>
          <t>['2', '1900-01-01 00:00:00']行 ['10', '1996-03-0323:59:59.997']列，源：7163b5525caf7cc0ddc250784e2537ae 备：80ca088afd4f34b3478a790207b727a1</t>
        </is>
      </c>
      <c r="AM3" t="inlineStr">
        <is>
          <t>['2', '1900-01-01 00:00:00']行 ['10', '1996-03-0323:59:59.997']列，源：7163b5525caf7cc0ddc250784e2537ae 备：80ca088afd4f34b3478a790207b727a1</t>
        </is>
      </c>
      <c r="AN3" t="inlineStr">
        <is>
          <t>['2', '100', '32767', '123456', '1000000', '99999', '100000000000000000000000000000000000000', '1', '10000000000000000000000000000', '-11111.34', '999999999999999999', '100000000000000000000000000000000000000', '1', '10000000000000000000000000000', '9999999999999999.99', '123.456789', '0', '203685477.5808', '214748.3647', '1']行 ['10', '100', '0', '0', '0', '99999', '', '', '', '-11111.34', '', '', '', '', '', '123.456789', '0', '203685477.5808', '', '1']列，源：672e28b200ed21d563af1564c5497bc5 备：a6643c928015791cdff8d723252803db</t>
        </is>
      </c>
      <c r="AO3" t="inlineStr">
        <is>
          <t>['2', '1900-01-01 00:00:00']行 ['10', '1996-03-0323:59:59.997']列，源：7163b5525caf7cc0ddc250784e2537ae 备：80ca088afd4f34b3478a790207b727a1</t>
        </is>
      </c>
      <c r="AP3" t="inlineStr">
        <is>
          <t>['1', '9999-12-31 23:59:59.997']行 ['1', '9999-12-3123:59:59.997']列，源：49bf41e21bce4b6aa426ea16fea9b80b 备：0bc8cdf4ed1ea9c5601313dc84be2ab0</t>
        </is>
      </c>
      <c r="AQ3" t="inlineStr">
        <is>
          <t>['2', '', '', '']行 ['10',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4d8dcc58473bca7d755328caf6d901a9 备：3922c31d35ad494bb0f8643bbfdba304</t>
        </is>
      </c>
      <c r="AR3" t="inlineStr">
        <is>
          <t>['1', '1753-01-01 00:00:00']行 ['1', '1753-01-0100:00:00.000']列，源：9cd1e70c18d765807b52386e2ad5b384 备：d9a1dcb1dc3351d747d95aa40b5523bf</t>
        </is>
      </c>
      <c r="AS3" t="inlineStr">
        <is>
          <t>['2', 'LINESTRING116.339.9116.439.8116.539.7']行 ['2', 'LINESTRING116.29999999999999739.8999999999999986116.40000000000000639.7999999999999972116.539.7000000000000028']列，源：f9e07eccb5ddfd9492efb14425cbd3cc 备：5f0b18ed1dd974f4c60c909062b8e47b</t>
        </is>
      </c>
      <c r="AT3" t="inlineStr">
        <is>
          <t>['6', '2020-02-29 19:27:31.123']行 ['15', '2001-04-0923:59:59.993']列，源：b508aa13b2796caa994f13bde922fcb0 备：72c850940e18c1fefbfcc8955f523a0b</t>
        </is>
      </c>
      <c r="AU3" t="inlineStr">
        <is>
          <t>['5', '2020-02-29 19:27:31.123']行 ['11', '2020-02-2919:27:31.123']列，源：75cb24e7941ce8af07761c6909f647d7 备：14ebd3d155655e0d57aebf925fbcd1a7</t>
        </is>
      </c>
      <c r="AV3"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AW3"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AX3" t="inlineStr">
        <is>
          <t>['2', '1900-01-01']行 ['10', '1990-05-11 00:00:00']列，源：373036067846cb09995da6c719d8dac6 备：e5bf777f2ec296e289e3b78f37703518</t>
        </is>
      </c>
      <c r="AY3"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AZ3" t="inlineStr">
        <is>
          <t>['2', '1900-01-01 00:00:00', '1900-01-01 00:00:00', '1900-01-01 00:00:00', '1900-01-01 00:00:00', '1900-01-01 00:00:00', '1900-01-01 00:00:00', '1900-01-01 00:00:00', '1900-01-01 00:00:00']行 ['123', '2026-04-1717:17:25', '2026-04-1717:17:24.6', '2026-04-1717:17:24.63', '2026-04-1717:17:24.631', '2026-04-1717:17:24.6306', '2026-04-1717:17:24.63065', '2026-04-1717:17:24.630647', '2026-04-1717:17:24.6306467']列，源：ec1b5704293664ae8a54510519790378 备：4816b5c8b3ee691cc06287e4bb1a2935</t>
        </is>
      </c>
      <c r="BA3" t="inlineStr">
        <is>
          <t>['3', '', '', '', '', '', '', '', '', '', '', '', '', '', '', '', '', '', '', '']行 ['10', '99', '-12345', '-123456789', '-123456789012345', '', '', '', '', '', '', '', '', '', '', '', '', '', '', '']列，源：3928921cf5611a846e657b0d459e50be 备：fe07344c627d94d98fc9cdc96e263b6f</t>
        </is>
      </c>
      <c r="BB3"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C3" t="inlineStr">
        <is>
          <t>['2', '1900-01-01 00:00:00', '1900-01-01 00:00:00', '1900-01-01 00:00:00', '1900-01-01 00:00:00', '1900-01-01 00:00:00', '1900-01-01 00:00:00', '1900-01-01 00:00:00', '1900-01-01 00:00:00']行 ['103', '2026-04-1717:17:33', '2026-04-1717:17:33.4', '2026-04-1717:17:33.41', '2026-04-1717:17:33.413', '2026-04-1717:17:33.4133', '2026-04-1717:17:33.41330', '2026-04-1717:17:33.413301', '2026-04-1717:17:33.4133005']列，源：ec1b5704293664ae8a54510519790378 备：d5f2305951471576308ab3911830e502</t>
        </is>
      </c>
      <c r="BD3" t="inlineStr">
        <is>
          <t>['2', '100', '32767', '123456', '1000000', '99999', '100000000000000000000000000000000000000', '1', '10000000000000000000000000000', '-11111.34', '999999999999999999', '100000000000000000000000000000000000000', '1', '10000000000000000000000000000', '9999999999999999.99', '123.456789', '0', '203685477.5808', '214748.3647', '1']行 ['10', '99', '0', '0', '0', '99999', '', '', '', '-11111.34', '', '', '', '', '', '123.456789', '', '', '', '1']列，源：672e28b200ed21d563af1564c5497bc5 备：8dc0d7f0e4e0b32e58ba446f86507394</t>
        </is>
      </c>
      <c r="BE3" t="inlineStr">
        <is>
          <t>['2', '/']行 ['2', '']列，源：1863203c3dc3eb634853d840e8a83eec 备：090d8bcb2d9d15c11e38e2091bef3450</t>
        </is>
      </c>
      <c r="BF3" t="inlineStr">
        <is>
          <t>['1', '2046-05-11 14:30:45', '2046-05-11 14:30:45.1', '2046-05-11 14:30:45.12', '2046-05-11 14:30:45.123', '2046-05-11 14:30:45.1235', '2046-05-11 14:30:45.12346', '2046-05-11 14:30:45.123457', '2046-05-11 14:30:45.123456']行 ['1', '2046-05-1114:30:45', '2046-05-1114:30:45.1', '2046-05-1114:30:45.12', '2046-05-1114:30:45.123', '2046-05-1114:30:45.1235', '2046-05-1114:30:45.12346', '2046-05-1114:30:45.123457', '2046-05-1114:30:45.1234567']列，源：7163f9e6e8ce41a70b88072f6c78ea06 备：b41c2fc4619f913da077972d294082b7</t>
        </is>
      </c>
      <c r="BG3" t="inlineStr">
        <is>
          <t>['2', '', '', '']行 ['128',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4d8dcc58473bca7d755328caf6d901a9 备：b0a35070226bb000777c7836783531d7</t>
        </is>
      </c>
      <c r="BH3" t="inlineStr">
        <is>
          <t>['1', '2026-04-17']行 ['1', '2026-04-17 00:00:00']列，源：51fdce5ba4e49d1bf655b1dd57b80d81 备：a842988c0a1f208f343fb9bab70c279b</t>
        </is>
      </c>
      <c r="BI3" t="inlineStr">
        <is>
          <t>['1', '0001-01-02 00:00:00', '0001-01-02 00:00:00', '0001-01-02 00:00:00', '0001-01-02 00:00:00', '0001-01-02 00:00:00', '0001-01-02 00:00:00', '0001-01-02 00:00:00', '0001-01-02 00:00:00']行 ['1', '0001-01-0200:00:00', '0001-01-0200:00:00.0', '0001-01-0200:00:00.00', '0001-01-0200:00:00.000', '0001-01-0200:00:00.0000', '0001-01-0200:00:00.00000', '0001-01-0200:00:00.000000', '0001-01-0200:00:00.0000000']列，源：f0122e764bb06d5613e239bf8724e8c4 备：26227b8e6260860f0f4dc32ddd931ba2</t>
        </is>
      </c>
      <c r="BJ3"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BK3"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L3"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BM3" t="inlineStr">
        <is>
          <t>['2', '', '', '']行 ['10',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4d8dcc58473bca7d755328caf6d901a9 备：3922c31d35ad494bb0f8643bbfdba304</t>
        </is>
      </c>
      <c r="BN3"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O3"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P3" t="inlineStr">
        <is>
          <t>['6', '2020-02-29']行 ['6', '2020-02-29 00:00:00']列，源：a2a7a57dda79ef4680a19eb1520320ee 备：f324cab36a986b21a06d8f275a7e31a9</t>
        </is>
      </c>
      <c r="BQ3"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R3" t="inlineStr">
        <is>
          <t>['6', '1970-01-01']行 ['6', '1970-01-01 00:00:00']列，源：067d3bce9c5c1af5e41234571acddcea 备：931ecf349f8ff2342e5014234170279e</t>
        </is>
      </c>
      <c r="BS3"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T3" t="inlineStr">
        <is>
          <t>['1', '€', 'TOOLONG英255VAL方&amp;', 'TOOLONG英255VAL方&amp;TOOLONG英255V']行 ['1',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9b69624625d2e7cb6ae6d8aa480539c8 备：06b682ec82a5a14d2a88bebd1d9fa69c</t>
        </is>
      </c>
      <c r="BU3"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V3" t="inlineStr">
        <is>
          <t>['2',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1999a3d812f6bab0821dbe0e2c033df1 备：d6589507cca8ae94b0ffec9859aa01b2</t>
        </is>
      </c>
      <c r="BW3"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BX3" t="inlineStr">
        <is>
          <t>['1', 'B', '这是一个中文字符串', '这是一个长中文字符串这是一个长中文字符串这是一个长中文字符串']行 ['1', 'B',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03179af7f282b4ec3298ea021f1f3635 备：85d5605f130988ef12c5cb563a5b7398</t>
        </is>
      </c>
      <c r="BY3" t="inlineStr">
        <is>
          <t>['2', '1971-05-1100:00:00+14:00', '', '1971-05-1100:00:00.00+14:00', '', '1971-05-1100:00:00.0000+14:00', '', '1971-05-1100:00:00.000000+14:00', '']行 ['10', '1971-05-1100:00:00+14:00', '', '1971-05-1100:00:00.00+14:00', '', '1971-05-1100:00:00.0000+14:00', '', '1971-05-1100:00:00.000000+14:00', '']列，源：f2b549109591b61cc31200a373c3fbb8 备：1de300593b181f534a5b6ecceb26bafb</t>
        </is>
      </c>
      <c r="BZ3"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CA3" t="inlineStr">
        <is>
          <t>['2', '2000-05-1100:30:45+09:00', '2000-05-1100:30:45.1+09:00', '2000-05-1100:30:45.12+09:00', '2000-05-1100:30:45.123+09:00', '2000-05-1100:30:45.1235+09:00', '2000-05-1100:30:45.12346+09:00', '2000-05-1100:30:45.123457+09:00', '2000-05-1100:30:45.1234567+09:00']行 ['10', '2013-03-1202:00:00-04:25', '2013-03-1202:00:00.0-04:25', '2013-03-1202:00:00.00-04:25', '2013-03-1202:00:00.000-04:25', '2013-03-1202:00:00.0000-04:25', '2013-03-1202:00:00.00000-04:25', '2013-03-1202:00:00.000000-04:25', '2013-03-1202:00:00.0000000-04:25']列，源：533f86d075585ffbc356964d53c88389 备：7fda097046bb020f0b52e84bbb175efc</t>
        </is>
      </c>
      <c r="CB3" t="inlineStr">
        <is>
          <t>['2', '1900-01-01']行 ['10', '1990-05-11 00:00:00']列，源：373036067846cb09995da6c719d8dac6 备：e5bf777f2ec296e289e3b78f37703518</t>
        </is>
      </c>
      <c r="CC3" t="inlineStr">
        <is>
          <t>['5', '9999-12-3123:59:59+00:00', '9999-12-3123:59:59.9+00:00', '9999-12-3123:59:59.99+00:00', '9999-12-3123:59:59.999+00:00', '9999-12-3123:59:59.9999+00:00', '9999-12-3123:59:59.99999+00:00', '9999-12-3123:59:59.999999+00:00', '9999-12-3123:59:59.9999999+00:00']行 ['10', '2013-03-1202:00:00-04:25', '2013-03-1202:00:00.0-04:25', '2013-03-1202:00:00.00-04:25', '2013-03-1202:00:00.000-04:25', '2013-03-1202:00:00.0000-04:25', '2013-03-1202:00:00.00000-04:25', '2013-03-1202:00:00.000000-04:25', '2013-03-1202:00:00.0000000-04:25']列，源：e9913af2ede92ca2dee8e158b5f6391f 备：7fda097046bb020f0b52e84bbb175efc</t>
        </is>
      </c>
      <c r="CD3" t="inlineStr">
        <is>
          <t>['2', '1900-01-01']行 ['10', '1990-05-11 00:00:00']列，源：373036067846cb09995da6c719d8dac6 备：e5bf777f2ec296e289e3b78f37703518</t>
        </is>
      </c>
      <c r="CE3"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CF3" t="inlineStr">
        <is>
          <t>['1', 'X', 'THISISATESTSTRIN', 'CASECASECASECASECASECASECASECASECASECASECASECASECASECASECASECASECASECASECASECASECASECASECASECASECASECASECASECASECASECASECASECASECASECASECASECASECASECASECASECASECASECASECASECASECASECASECASECASECASECASE']行 ['1',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486f314a1cf5ce90ad6305880b0ac0e2 备：5d00dd6d402d25c6cd3a5a8272d2509c</t>
        </is>
      </c>
      <c r="CG3"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CH3" t="inlineStr">
        <is>
          <t>['2', '1900-01-01']行 ['10', '1990-05-11 00:00:00']列，源：373036067846cb09995da6c719d8dac6 备：e5bf777f2ec296e289e3b78f37703518</t>
        </is>
      </c>
      <c r="CI3" t="inlineStr">
        <is>
          <t>['1', 'X', 'THISISATESTSTRIN', 'CASECASECASECASECASECASECASECASECASECASECASECASECASECASECASECASECASECASECASECASECASECASECASECASECASECASECASECASECASECASECASECASECASECASECASECASECASECASECASECASECASECASECASECASECASECASECASECASECASECASE']行 ['1',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486f314a1cf5ce90ad6305880b0ac0e2 备：5d00dd6d402d25c6cd3a5a8272d2509c</t>
        </is>
      </c>
      <c r="CJ3" t="inlineStr">
        <is>
          <t>['2', '00:00:00', '00:00:00', '00:00:00', '00:00:00', '00:00:00', '00:00:00', '00:00:00', '00:00:00']行 ['2', '2026-04-19 00:00:00', '2026-04-19 00:00:00', '2026-04-19 00:00:00', '2026-04-19 00:00:00', '2026-04-19 00:00:00', '2026-04-19 00:00:00', '2026-04-19 00:00:00', '2026-04-19 00:00:00']列，源：6194fe9ef203afc2f6024b60236cfa38 备：173b808bd14c96f9330babbd1a42793e</t>
        </is>
      </c>
      <c r="CK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L3" t="inlineStr">
        <is>
          <t>['2', '1900-01-01 00:00:00']行 ['10', '2079-06-0523:59:00']列，源：7163b5525caf7cc0ddc250784e2537ae 备：260b3f88846937abbb57b9ed391a2593</t>
        </is>
      </c>
      <c r="CM3" t="inlineStr">
        <is>
          <t>['1', '2026-04-17 16:53:00']行 ['1', '2026-04-1716:53:00']列，源：7d20be08a2fa2099ebf88efe5bc4ec99 备：c086dbc6c9f6ef3c1f641531fb2c99d0</t>
        </is>
      </c>
      <c r="CN3" t="inlineStr">
        <is>
          <t>['4', '2079-06-06 23:59:00']行 ['10', '2079-06-0523:59:00']列，源：a8fd36861b3c5e2223d79720c578b109 备：260b3f88846937abbb57b9ed391a2593</t>
        </is>
      </c>
      <c r="CO3" t="inlineStr">
        <is>
          <t>['2', 'A', 'THISISATESTCASEYF', 'AAAAAAAAAAAAAAAAAAAAAAAAAAAAAA']行 ['2',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ccbfba12ea78916a00a4a05cbbe319c7 备：386693a6efec8ead031da480f4892f29</t>
        </is>
      </c>
      <c r="CP3" t="inlineStr">
        <is>
          <t>['6', '2000-05-11 14:31:00']行 ['6', '2000-05-1114:31:00']列，源：f39a80f7f2afea41624178aa543e8352 备：702a3018c6fc842d685848243b4df261</t>
        </is>
      </c>
      <c r="CQ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R3" t="inlineStr">
        <is>
          <t>['5', 'A', 'THISISATESTCASEYF', 'AAAAAAAAAAAAAAAAAAAAAAAAAAAAAA']行 ['5', 'A', 'THISISATESTCASEYF', 'AAAAAAAAAAAAAAAAAAAAAAAAAAAAAAAAAAAAAAAAAAAAAAAAAAAAAAAAAAAAAAAAAAAAAAAAAAAAAAAAAAAAAAAAAAAAAAAAAAAAAAAAAAAAAAAAAAAAAAAAAAAAAAAAAAAAAAAAAAAAAAAAAAAAAAAAAAAAAAAAAAAAAAAAAAAAAAAAAAAAAAAAAAAAAAAAAAAAAAAA']列，源：080fa69665d5d456f6212e3677581604 备：6a86317663ac0eea736f0e0122e572f6</t>
        </is>
      </c>
      <c r="CS3" t="inlineStr">
        <is>
          <t>['1', '2026-04-17']行 ['1', '2026-04-17 00:00:00']列，源：51fdce5ba4e49d1bf655b1dd57b80d81 备：a842988c0a1f208f343fb9bab70c279b</t>
        </is>
      </c>
      <c r="CT3" t="inlineStr">
        <is>
          <t>['1', '2068-06-01']行 ['1', '2068-06-01 00:00:00']列，源：fce22f7f1488c5e2f70e5dd73238d816 备：921919f4879b0eb182b5dc728f9cc7ae</t>
        </is>
      </c>
      <c r="CU3" t="inlineStr">
        <is>
          <t>['5', 'A', 'VARIABLELENGTHBINA', 'TESTTESTTESTTESTTESTTESTTESTTESTTESTTESTTESTTESTTESTTESTTESTTESTTESTTESTTESTTESTTESTTESTTESTTESTTESTTESTTESTTESTTESTTESTTESTTESTTESTTESTTESTTESTTESTTESTTESTTESTTESTTESTTESTTESTTESTTESTTESTTESTTESTTEST']行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备：846658c6426c8aad960fbac5e9014739</t>
        </is>
      </c>
      <c r="CV3" t="inlineStr">
        <is>
          <t>['2', '1900-01-01 00:00:00']行 ['10', '1996-03-0323:59:59.997']列，源：7163b5525caf7cc0ddc250784e2537ae 备：80ca088afd4f34b3478a790207b727a1</t>
        </is>
      </c>
      <c r="CW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CX3" t="inlineStr">
        <is>
          <t>['1', 'TIMESTAMP不参与比较']行 ['1', '00000000000140A6']列，源：1fa6ac0b33511e6ec200d0974dfee5a0 备：6ced172a559dbddfdaa01fb48eda62d7</t>
        </is>
      </c>
      <c r="CY3" t="inlineStr">
        <is>
          <t>['1', '€', 'TOOLONG英255VAL方&amp;', 'TOOLONG英255VAL方&amp;TOOLONG英255V']行 ['1',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9b69624625d2e7cb6ae6d8aa480539c8 备：06b682ec82a5a14d2a88bebd1d9fa69c</t>
        </is>
      </c>
      <c r="CZ3" t="inlineStr">
        <is>
          <t>['1', '2024-05-11 12:00:00.567']行 ['1', '2024-05-1112:00:00.567']列，源：4aa6a539dda256b1eef1ba2cc5387d55 备：aa9bb5f1c31fab410ae1131d9ab48730</t>
        </is>
      </c>
      <c r="DA3" t="inlineStr">
        <is>
          <t>['3', '0001-01-01']行 ['3', '0001-01-01 00:00:00']列，源：4601fcc74c9fc089c275a28dc28fa7ef 备：fadb3754d1a5a0d09eeb5a8a5472077a</t>
        </is>
      </c>
      <c r="DB3" t="inlineStr">
        <is>
          <t>['3', '1753-01-01 00:00:00']行 ['11', '1997-04-0423:59:59.997']列，源：49cca1cb1aacf5de2bcca89e974a617b 备：bb435b12de45d9ed5e562f989cbfc4c3</t>
        </is>
      </c>
      <c r="DC3" t="inlineStr">
        <is>
          <t>['1', '2068-06-01']行 ['1', '2068-06-01 00:00:00']列，源：fce22f7f1488c5e2f70e5dd73238d816 备：921919f4879b0eb182b5dc728f9cc7ae</t>
        </is>
      </c>
      <c r="DD3" t="inlineStr">
        <is>
          <t>['1', 'TIMESTAMP不参与比较']行 ['1', '00000000000140A8']列，源：1fa6ac0b33511e6ec200d0974dfee5a0 备：c4a631cc49b1ece088e9574b7a0c047d</t>
        </is>
      </c>
      <c r="DE3" t="inlineStr">
        <is>
          <t>['2', '', '', '']行 ['10',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4d8dcc58473bca7d755328caf6d901a9 备：7131e9faa428f205d289919f7e71886a</t>
        </is>
      </c>
      <c r="DF3"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G3" t="inlineStr">
        <is>
          <t>['3', 'X', 'THISISATESTSTRIN', 'CASECASECASECASECASECASECASECASECASECASECASECASECASECASECASECASECASECASECASECASECASECASECASECASECASECASECASECASECASECASECASECASECASECASECASECASECASECASECASECASECASECASECASECASECASECASECASECASECASECASE']行 ['3',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2e8d3ee69bcc850a4ef1622497f98ae0 备：34024772421508410b58f3d893893cc8</t>
        </is>
      </c>
      <c r="DH3"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I3" t="inlineStr">
        <is>
          <t>['6', '2002-06-11 23:59:59.993']行 ['6', '2002-06-1123:59:59.993']列，源：95bcb4e52df80c9e6b877233af64071b 备：70fba5b0b192fdeb7b2da6474e7c8c25</t>
        </is>
      </c>
      <c r="DJ3" t="inlineStr">
        <is>
          <t>['1', '', '', '', '', '', '', '', '', '', '', '', '', '', '', '', '', '', '', '', '', '', '', '', 'TIMESTAMP不参与比较']行 ['1', '', '', '', '', '', '', '', '', '', '', '', '', '', '', '', '', '', '', '', '', '', '', '', '14075']列，源：c063c27c525e0ffa2f638361d8ad5572 备：9d73dc9af5377587abf074df169d00c6</t>
        </is>
      </c>
      <c r="DK3" t="inlineStr">
        <is>
          <t>['2', '', '', '']行 ['128',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4d8dcc58473bca7d755328caf6d901a9 备：b0a35070226bb000777c7836783531d7</t>
        </is>
      </c>
      <c r="DL3"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DM3"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DN3" t="inlineStr">
        <is>
          <t>['1', 'POINT116.40439.915']行 ['1', 'POINT116.40399999999999639.9149999999999991']列，源：d0f01e2a66cec7de966b17c4a147acf1 备：b3e7106ad9a11321686edb9c26bd4332</t>
        </is>
      </c>
      <c r="DO3"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P3"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DQ3" t="inlineStr">
        <is>
          <t>['1', '5112046', '2026-04-19 18:10:00', '051120122:30PM', '051119993:30PM+01:00', '255', '32767', '2147483647', '10120122:30PM', '0', '922337203685477.5807', '051200011:59PM', '0.000000000000000000000000000000000662607', '1', '123456789012.1234', 'B6B0C3D4-E8F9-4A5B-6C7D-8E9F0A1B2C3E', '1234.5678', '1234567890123', '0X7661726961626C65206C656E6774682062696E61', '这是一个中文字符串', '0XC9CFBAA32324255E262A2D3D0000000000000000', '*TEST英255VAL方&amp;', '*TEST英255VAL方&amp;', '&amp;TOOLONG英255VAL方!', 'TIMESTAMP不参与比较']行 ['1', '2046-05-11 00:00:00', '2026-04-19 18:10:06.123456', '2012-05-1114:30:45.1234567', '1999-05-1115:30:45.1234567+01:00', '255', '32767', '2147483647', '2012-10-0114:30:00', '0', '922337203685477.5807', '2000-05-0123:59:59.993', '0.000000000000000000000000000000000662607', '1', '123456789012.1234', 'B6B0C3D4-E8F9-4A5B-6C7D-8E9F0A1B2C3E', '1234.5678', '1234567890123', '0X7661726961626C65206C656E6774682062696E61', '这是一个中文字符串', '0XBAA32324255E262A2D3D0000000000000000', '*TEST英255VAL方&amp;', '*TEST英255VAL方&amp;', '&amp;TOOLONG英255VAL方!', '14078']列，源：7daca3b6ac8ceced429bd3b9ccc2e29e 备：c059b1709d279cbc6b2dfb16e524704b</t>
        </is>
      </c>
      <c r="DR3" t="inlineStr">
        <is>
          <t>['3', '2212034', '2026-04-19 03:59:00', '051120122:30PM', '0511199112:00AM+14:00', '10', '-12768', '-147483648', '10120132:30PM', '-140000000000000000000000000000000000000', '-122337203685477.58', '1230199911:59PM', '-1790000000000000000000000000000', '1', '-2000000000000', 'C1B0C3D4-E8F9-4A5B-6C7D-8E9F0A1B2C3D', '-114748.36', '-1223372036854775808', '0X31313131313031323334353637383930', '!TOOLONG英255VAL方&amp;', '0X4023D3A2B7BDC8EDBCFEB9C9B7DDB9ABCBBE0000', '*TOOLONG英255VAL方&amp;', '~LONG英255VAL方&amp;', '`LONG英255VAL方&amp;', 'TIMESTAMP不参与比较']行 ['3', '2034-02-21 00:00:00', '2026-04-19 03:59:59.999999', '2012-05-1114:30:45.1234567', '1991-05-1100:00:00.0000001+14:00', '10', '-12768', '-147483648', '2013-10-0114:30:00', '-140000000000000000000000000000000000000', '-122337203685477.5808', '1999-12-3023:59:59.997', '-1790000000000000000000000000000', '1', '-2000000000000', 'C1B0C3D4-E8F9-4A5B-6C7D-8E9F0A1B2C3D', '-114748.3648', '-1223372036854775808', '0X31313131313031323334353637383930', '!TOOLONG英255VAL方&amp;', '0X4023D3A2B7BDC8EDBCFEB9C9B7DDB9ABCBBE0000', '*TOOLONG英255VAL方&amp;', '~LONG英255VAL方&amp;', '`LONG英255VAL方&amp;', '000000000001407D']列，源：56ac8b89a5d83f1180017b9d91e48d41 备：99576716a302e96de8f417d06e5be9c9</t>
        </is>
      </c>
      <c r="DS3" t="inlineStr">
        <is>
          <t>['1', '2046-05-11 14:30:45', '2046-05-11 14:30:45.1', '2046-05-11 14:30:45.12', '2046-05-11 14:30:45.123', '2046-05-11 14:30:45.1235', '2046-05-11 14:30:45.12346', '2046-05-11 14:30:45.123457', '2046-05-11 14:30:45.123456']行 ['1', '2046-05-1114:30:45', '2046-05-1114:30:45.1', '2046-05-1114:30:45.12', '2046-05-1114:30:45.123', '2046-05-1114:30:45.1235', '2046-05-1114:30:45.12346', '2046-05-1114:30:45.123457', '2046-05-1114:30:45.1234567']列，源：7163f9e6e8ce41a70b88072f6c78ea06 备：b41c2fc4619f913da077972d294082b7</t>
        </is>
      </c>
      <c r="DT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DU3" t="inlineStr">
        <is>
          <t>['1', 'POINT55.9271035250276-3.29431266523898']行 ['1', 'POINT55.9271035250275972-3.29431266523898003']列，源：17b755fd86c80a6b01539f12a08efc29 备：0189664abdeb5b6a9065cd20f83885a9</t>
        </is>
      </c>
      <c r="DV3"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DW3"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DX3"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DY3" t="inlineStr">
        <is>
          <t>['4', '2212054', '2026-04-19 23:19:00', '051120022:30PM', '0511199112:00AM+14:00', '77', '-1768', '-17483648', '09120232:30PM', '-140000000000000000000000000000000000000', '-12337203685477.58', '1230199511:59PM', '-1790000000000000000000000000000', '0', '-2000000000000', 'C1B0C3D4-E8F9-4A5B-6C7D-8E9F0A1B2C3D', '-114748.36', '-1223372036854775808', '0X31313131313031323334353637383930', '!TOOLONG英255VAL方&amp;', '0X4023D3A2B7BDC8EDBCFEB9C9B7DDB9ABCBBE0000', '*TOOLONG英255VAL方&amp;', '~LONG英255VAL方&amp;', '`LONG英255VAL方&amp;', 'TIMESTAMP不参与比较']行 ['4', '2054-02-21 00:00:00', '2026-04-19 23:19:59.999999', '2002-05-1114:30:45.1234567', '1991-05-1100:00:00.0000001+14:00', '77', '-1768', '-17483648', '2023-09-0114:30:00', '-140000000000000000000000000000000000000', '-12337203685477.5808', '1995-12-3023:59:59.997', '-1790000000000000000000000000000', '0', '-2000000000000', 'C1B0C3D4-E8F9-4A5B-6C7D-8E9F0A1B2C3D', '-114748.3648', '-1223372036854775808', '0X31313131313031323334353637383930', '!TOOLONG英255VAL方&amp;', '0X4023D3A2B7BDC8EDBCFEB9C9B7DDB9ABCBBE0000', '*TOOLONG英255VAL方&amp;', '~LONG英255VAL方&amp;', '`LONG英255VAL方&amp;', '14085']列，源：8c8bfd3f80f2f14682c6b3c3da579fde 备：5b2a8e12e301da5593358f40bcae63c4</t>
        </is>
      </c>
      <c r="DZ3" t="inlineStr">
        <is>
          <t>['1', '18:10:06', '18:10:06.1', '18:10:06.12', '18:10:06.123', '18:10:06.1235', '18:10:06.12346', '18:10:06.123457', '18:10:06.123456']行 ['1', '2026-04-19 18:10:06', '2026-04-19 18:10:06.1', '2026-04-19 18:10:06.12', '2026-04-19 18:10:06.123', '2026-04-19 18:10:06.1235', '2026-04-19 18:10:06.12346', '2026-04-19 18:10:06.123457', '2026-04-19 18:10:06.123456']列，源：343491fd7f7749f44ba16995082fa0d1 备：f5917c4163a49a4cb7c31a3eeea2e4d5</t>
        </is>
      </c>
      <c r="EA3" t="inlineStr">
        <is>
          <t>['2',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'1900-01-0100:00:00.0000000']列，源：ec1b5704293664ae8a54510519790378 备：b8eac0a39a54c6e1ef17522521d42596</t>
        </is>
      </c>
      <c r="EB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C3" t="inlineStr">
        <is>
          <t>['2', 'LINESTRING116.40439.915121.47431.23']行 ['2', 'LINESTRING116.40399999999999639.9149999999999991121.47400000000000431.2300000000000004']列，源：3064e08cb4b217df2c21689bc99ccfb8 备：c9d8ea29a73cd769ea282abbf5201bb1</t>
        </is>
      </c>
      <c r="ED3" t="inlineStr">
        <is>
          <t>['3', '2025-02-01 00:00:00', '2025-02-01 00:00:00', '2025-02-01 00:00:00', '2025-02-01 00:00:00', '2025-02-01 00:00:00', '2025-02-01 00:00:00', '2025-02-01 00:00:00', '2025-01-31 23:59:59.999999']行 ['3', '2025-02-0100:00:00', '2025-02-0100:00:00.0', '2025-02-0100:00:00.00', '2025-02-0100:00:00.000', '2025-02-0100:00:00.0000', '2025-02-0100:00:00.00000', '2025-02-0100:00:00.000000', '2025-01-3123:59:59.9999999']列，源：756a5e85f92db1a93872f989f4dde1f7 备：d063b204e4b876fd63b88713f8587d9e</t>
        </is>
      </c>
      <c r="EE3" t="inlineStr">
        <is>
          <t>['2', '00:00:00', '00:00:00', '00:00:00', '00:00:00', '00:00:00', '00:00:00', '00:00:00', '00:00:00']行 ['10', '2026-04-19 12:30:45', '2026-04-19 12:30:45.1', '2026-04-19 12:30:45.12', '2026-04-19 12:30:45.123', '2026-04-19 12:30:45.1235', '2026-04-19 12:30:45.12346', '2026-04-19 12:30:45.123456', '2026-04-19 12:30:45.123456']列，源：6194fe9ef203afc2f6024b60236cfa38 备：9fb076b42c3345e6386db66201d9d63b</t>
        </is>
      </c>
      <c r="EF3" t="inlineStr">
        <is>
          <t>['2', '18:10:06', '18:10:06.1', '18:10:06.12', '18:10:06.123', '18:10:06.1235', '18:10:06.12346', '18:10:06.123457', '18:10:06.123456']行 ['10', '2026-04-19 09:12:34', '2026-04-19 12:30:45.1', '2026-04-19 09:12:34.12', '2026-04-19 12:30:45.123', '2026-04-19 09:12:34.1235', '2026-04-19 12:30:45.12346', '2026-04-19 09:12:34.123457', '2026-04-19 12:30:45.123456']列，源：9a03ffbc7cbf8371078e50237e538df1 备：cc50775823e4178635407a9933553257</t>
        </is>
      </c>
      <c r="EG3" t="inlineStr">
        <is>
          <t>['2', '1900-01-01 00:00:00']行 ['10', '2079-06-0523:59:00']列，源：7163b5525caf7cc0ddc250784e2537ae 备：260b3f88846937abbb57b9ed391a2593</t>
        </is>
      </c>
      <c r="EH3" t="inlineStr">
        <is>
          <t>['2', '1900-01-01 00:00:00']行 ['10', '2079-06-0523:59:00']列，源：7163b5525caf7cc0ddc250784e2537ae 备：260b3f88846937abbb57b9ed391a2593</t>
        </is>
      </c>
      <c r="EI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J3" t="inlineStr">
        <is>
          <t>['1', '0', '-32768', '-2147483648',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['1', '0', '-32768', '-2147483648', '-9223372036854775808',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'0']列，源：24cc99f44d784b92d8b60eda937b0306 备：59dedff963d0ece8831d6918dc5d62bc</t>
        </is>
      </c>
      <c r="EK3" t="inlineStr">
        <is>
          <t>['2', '', '', '']行 ['10',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d8dcc58473bca7d755328caf6d901a9 备：d6589507cca8ae94b0ffec9859aa01b2</t>
        </is>
      </c>
      <c r="EL3" t="inlineStr">
        <is>
          <t>['2', '1900-01-0100:00:00+00:00', '1900-01-0100:00:00.0+00:00', '1900-01-0100:00:00.00+00:00', '1900-01-0100:00:00.000+00:00', '1900-01-0100:00:00.0000+00:00', '1900-01-0100:00:00.00000+00:00', '1900-01-0100:00:00.000000+00:00', '1900-01-0100:00:00.0000000+00:00']行 ['10', '2013-03-1202:00:00-04:25', '2013-03-1202:00:00.0-04:25', '2013-03-1202:00:00.00-04:25', '2013-03-1202:00:00.000-04:25', '2013-03-1202:00:00.0000-04:25', '2013-03-1202:00:00.00000-04:25', '2013-03-1202:00:00.000000-04:25', '2013-03-1202:00:00.0000000-04:25']列，源：a90945644d7e627bd23eb4243cc8ac03 备：7fda097046bb020f0b52e84bbb175efc</t>
        </is>
      </c>
      <c r="EM3" t="inlineStr">
        <is>
          <t>['2', '1900-01-01 00:00:00']行 ['10', '2079-06-0523:59:00']列，源：7163b5525caf7cc0ddc250784e2537ae 备：260b3f88846937abbb57b9ed391a2593</t>
        </is>
      </c>
    </row>
    <row r="4">
      <c r="B4" t="inlineStr">
        <is>
          <t>YES</t>
        </is>
      </c>
      <c r="C4" t="inlineStr">
        <is>
          <t>NULL</t>
        </is>
      </c>
      <c r="D4" t="inlineStr">
        <is>
          <t>NULL</t>
        </is>
      </c>
      <c r="E4" t="inlineStr">
        <is>
          <t>NULL</t>
        </is>
      </c>
      <c r="F4" t="inlineStr">
        <is>
          <t>NULL</t>
        </is>
      </c>
      <c r="G4" t="inlineStr">
        <is>
          <t>NULL</t>
        </is>
      </c>
      <c r="H4" t="inlineStr">
        <is>
          <t>NULL</t>
        </is>
      </c>
      <c r="I4" t="inlineStr">
        <is>
          <t>YES!PK__info_geo__3213E83F82114B83</t>
        </is>
      </c>
      <c r="J4" t="inlineStr">
        <is>
          <t>YES! 主键相关索引</t>
        </is>
      </c>
      <c r="K4" t="inlineStr">
        <is>
          <t xml:space="preserve"> NO!  	 id列源备映射错误，源端为int None位	期望更改为text	实际备端为int None位</t>
        </is>
      </c>
      <c r="Y4" t="inlineStr">
        <is>
          <t>['3', '1900-01-01 00:00:00']行 ['11', '1900-01-0200:00:00']列，源：d9b55a91743c105ce527b2f92a306239 备：3c46efdf6de7164ea1530f3c348ee44f</t>
        </is>
      </c>
      <c r="Z4" t="inlineStr">
        <is>
          <t>['2', '2026-04-17 17:16:00']行 ['10', '2026-04-1717:16:00']列，源：bcaf1e9bf82d22e142bb3a1b86ef8b30 备：65073be1ccc8f95b124e8f69fb75e85a</t>
        </is>
      </c>
      <c r="AA4" t="inlineStr">
        <is>
          <t>['2', '2026-04-17 17:16:00']行 ['10', '2079-06-0523:59:00']列，源：bcaf1e9bf82d22e142bb3a1b86ef8b30 备：260b3f88846937abbb57b9ed391a2593</t>
        </is>
      </c>
      <c r="AB4" t="inlineStr">
        <is>
          <t>['3', '', '', '']行 ['2', '', '', '']列，源：0b6be33b0c5115aa8db935a501447fdb 备：4d8dcc58473bca7d755328caf6d901a9</t>
        </is>
      </c>
      <c r="AC4"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AD4" t="inlineStr">
        <is>
          <t>['11', '2003-11-0502:00:00-05:10', '2003-11-0502:00:00.0-05:10', '2003-11-0502:00:00.00-05:10', '2003-11-0502:00:00.000-05:10', '2003-11-0502:00:00.0000-05:10', '2003-11-0502:00:00.00000-05:10', '2003-11-0502:00:00.000000-05:10', '2003-11-0502:00:00.0000000-05:10']行 ['12', '2025-05-1200:00:00-14:00', '2025-05-1200:00:00.0-14:00', '2025-05-1200:00:00.00-14:00', '2025-05-1200:00:00.000-14:00', '2025-05-1200:00:00.0000-14:00', '2025-05-1200:00:00.00000-14:00', '2025-05-1200:00:00.000000-14:00', '2025-05-1123:59:59.9999999-14:00']列，源：5763c1eeb92d430c4d8f32e6dce6129c 备：62ddc8cbf63642db045e45819e8ebb70</t>
        </is>
      </c>
      <c r="AE4" t="inlineStr">
        <is>
          <t>['2', 'LINESTRING116.339.9116.439.8116.539.7']行 ['2', 'LINESTRING116.29999999999999739.8999999999999986116.40000000000000639.7999999999999972116.539.7000000000000028']列，源：f9e07eccb5ddfd9492efb14425cbd3cc 备：5f0b18ed1dd974f4c60c909062b8e47b</t>
        </is>
      </c>
      <c r="AF4" t="inlineStr">
        <is>
          <t>['6', '2020-03-01 00:00:00']行 ['11', '1900-01-0200:00:00']列，源：be7aff488bcd19699d49eb11b0b282aa 备：3c46efdf6de7164ea1530f3c348ee44f</t>
        </is>
      </c>
      <c r="AG4" t="inlineStr">
        <is>
          <t>['10', '2079-06-05 23:59:00']行 ['11', '2079-06-0523:59:00']列，源：b488192595cccf78b07d6e771e28a6e2 备：580fe4d76064e6aa867264da3e951f5b</t>
        </is>
      </c>
      <c r="AH4" t="inlineStr">
        <is>
          <t>['3', '100', '', '123456', '1000000', '', '', '', '', '-888888.22', '', '', '', '', '', '0', '0', '203685477.5808', '', '0']行 ['11', '100', '20000', '123456', '1000000', '', '', '', '', '-888888.22', '', '', '', '', '', '0', '0', '203685477.5808', '', '0']列，源：950f08a27779fe5d6b41016885c3b290 备：fe42108026228a356bb8ae8c68f97aa2</t>
        </is>
      </c>
      <c r="AI4" t="inlineStr">
        <is>
          <t>['5', '&lt;PANELPANELNO=11&gt;&lt;DECODERID&gt;4402032520086&lt;/DECODERID&gt;&lt;NAME&gt;海康B20解码器11&lt;/NAME&gt;&lt;IP&gt;44.43.85.6&lt;/IP&gt;&lt;COMMPORT&gt;200&lt;/COMMPORT&gt;&lt;CHANEL&gt;16842763&lt;/CHANEL&gt;&lt;LOCATIONXLOCATION=1220YLOCATION=20/&gt;&lt;SIZEXSIZE=120YSIZE=80/&gt;&lt;CAMERAID&gt;4402032040414&lt;/CAMERAID&gt;&lt;/PANEL&gt;']行 ['5', '&lt;PANELPANELNO=11&gt;&lt;DECODERID&gt;4402032520086&lt;/DECODERID&gt;&lt;NAME&gt;海康B20解码器11&lt;/NAME&gt;&lt;IP&gt;44.43.85.6&lt;/IP&gt;&lt;COMMPORT&gt;200&lt;/COMMPORT&gt;&lt;CHANEL&gt;16842763&lt;/CHANEL&gt;&lt;LOCATIONXLOCATION=1220YLOCATION=20&gt;&lt;/LOCATION&gt;&lt;SIZEXSIZE=120YSIZE=80&gt;&lt;/SIZE&gt;&lt;CAMERAID&gt;4402032040414&lt;/CAMERAID&gt;&lt;/PANEL&gt;']列，源：87d50b582fdc88d1a5d019c99292d6dc 备：7bf155da8885203826e374f7012e36cc</t>
        </is>
      </c>
      <c r="AJ4" t="inlineStr">
        <is>
          <t>['3', '1753-01-01 00:00:00']行 ['11', '1997-04-0423:59:59.997']列，源：49cca1cb1aacf5de2bcca89e974a617b 备：bb435b12de45d9ed5e562f989cbfc4c3</t>
        </is>
      </c>
      <c r="AK4" t="inlineStr">
        <is>
          <t>['3', '', '', '']行 ['2', '', '', '']列，源：0b6be33b0c5115aa8db935a501447fdb 备：4d8dcc58473bca7d755328caf6d901a9</t>
        </is>
      </c>
      <c r="AL4" t="inlineStr">
        <is>
          <t>['3', '1753-01-01 00:00:00']行 ['11', '1997-04-0423:59:59.997']列，源：49cca1cb1aacf5de2bcca89e974a617b 备：bb435b12de45d9ed5e562f989cbfc4c3</t>
        </is>
      </c>
      <c r="AM4" t="inlineStr">
        <is>
          <t>['3', '1753-01-01 00:00:00']行 ['11', '1997-04-0423:59:59.997']列，源：49cca1cb1aacf5de2bcca89e974a617b 备：bb435b12de45d9ed5e562f989cbfc4c3</t>
        </is>
      </c>
      <c r="AN4" t="inlineStr">
        <is>
          <t>['3', '100', '0', '0', '0', '99999', '', '', '', '-11111.34', '', '', '', '', '', '123.456789', '0', '203685477.5808', '', '1']行 ['11', '100', '0', '0', '0', '', '', '', '', '-888888.22', '', '', '', '', '', '0', '0', '203685477.5808', '', '0']列，源：c669bd8fad22de39e0ed5d377b0f74d1 备：8173eaa276139b87dc01ee4d9a3c2820</t>
        </is>
      </c>
      <c r="AO4" t="inlineStr">
        <is>
          <t>['3', '1753-01-01 00:00:00']行 ['103', '1753-01-0100:00:00.000']列，源：49cca1cb1aacf5de2bcca89e974a617b 备：706516e970d7c3f2cab7f7f6518e103a</t>
        </is>
      </c>
      <c r="AP4" t="inlineStr">
        <is>
          <t>['2', '9999-12-31 23:59:59.997']行 ['10', '9999-12-3123:59:59.997']列，源：6601cbdec38078ab2ad78bc0c27a57d2 备：1fd1baaeb4cd40d34752a9b8c06c8ada</t>
        </is>
      </c>
      <c r="AQ4" t="inlineStr">
        <is>
          <t>['3', '', '', '']行 ['2', '', '', '']列，源：0b6be33b0c5115aa8db935a501447fdb 备：4d8dcc58473bca7d755328caf6d901a9</t>
        </is>
      </c>
      <c r="AR4" t="inlineStr">
        <is>
          <t>['2', '1753-01-01 00:00:00']行 ['10', '1996-03-0323:59:59.997']列，源：d4240daefc8776b8e26e329463a8f83b 备：80ca088afd4f34b3478a790207b727a1</t>
        </is>
      </c>
      <c r="AT4" t="inlineStr">
        <is>
          <t>['7', '2000-05-11 14:30:29']行 ['16', '2002-06-1123:59:59.993']列，源：2e1088644583c54f021ba6fbbd0145b2 备：dd95e5ac1573694c264ae980ec79cc8e</t>
        </is>
      </c>
      <c r="AU4" t="inlineStr">
        <is>
          <t>['7', '2020-02-29 19:27:31.123']行 ['5', '2020-02-2919:27:31.123']列，源：b31ce19c559a898ffd9b81b1a351d86c 备：18f95b36b51b92e657fb9b4441f8264a</t>
        </is>
      </c>
      <c r="AV4"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AW4" t="inlineStr">
        <is>
          <t>['3', '2026-04-17 17:17:22', '2026-04-17 17:17:22.4', '2026-04-17 17:17:22.45', '2026-04-17 17:17:22.449', '2026-04-17 17:17:22.4487', '2026-04-17 17:17:22.4487', '2026-04-17 17:17:22.448698', '2026-04-17 17:17:22.448697']行 ['3', '2026-04-1717:17:22', '2026-04-1717:17:22.4', '2026-04-1717:17:22.45', '2026-04-1717:17:22.449', '2026-04-1717:17:22.4487', '2026-04-1717:17:22.44870', '2026-04-1717:17:22.448698', '2026-04-1717:17:22.4486978']列，源：6fcebf063e37128a47b41edf09cb39f6 备：40e46969ff0a019be00ab6b215651541</t>
        </is>
      </c>
      <c r="AX4" t="inlineStr">
        <is>
          <t>['3', '0001-01-01']行 ['11', '2068-06-01 00:00:00']列，源：4601fcc74c9fc089c275a28dc28fa7ef 备：b41974313dd099351d624a254ecaf06d</t>
        </is>
      </c>
      <c r="AY4" t="inlineStr">
        <is>
          <t>['3', '2026-04-17 17:17:33', '2026-04-17 17:17:33.4', '2026-04-17 17:17:33.41', '2026-04-17 17:17:33.413', '2026-04-17 17:17:33.4133', '2026-04-17 17:17:33.4133', '2026-04-17 17:17:33.413301', '2026-04-17 17:17:33.4133']行 ['3', '2026-04-1717:17:33', '2026-04-1717:17:33.4', '2026-04-1717:17:33.41', '2026-04-1717:17:33.413', '2026-04-1717:17:33.4133', '2026-04-1717:17:33.41330', '2026-04-1717:17:33.413301', '2026-04-1717:17:33.4133005']列，源：aa25be3e3d7323a6ff844f1f906c5cb0 备：770cb865e2cbae97c20dee327fdc9259</t>
        </is>
      </c>
      <c r="AZ4" t="inlineStr">
        <is>
          <t>['3', '2026-04-17 17:17:25', '2026-04-17 17:17:24.6', '2026-04-17 17:17:24.63', '2026-04-17 17:17:24.631', '2026-04-17 17:17:24.6306', '2026-04-17 17:17:24.63065', '2026-04-17 17:17:24.630647', '2026-04-17 17:17:24.630646']行 ['125', '9999-12-3123:59:59', '9999-12-3123:59:59.9', '9999-12-3123:59:59.99', '9999-12-3123:59:59.999', '9999-12-3123:59:59.9999', '9999-12-3123:59:59.99999', '9999-12-3123:59:59.999999', '9999-12-3123:59:59.9999999']列，源：730a61ddfc8b468778d3a5178497af20 备：4a95e0a43adf6a62b5e1d5e1cec61a9a</t>
        </is>
      </c>
      <c r="BA4" t="inlineStr">
        <is>
          <t>['10', '99', '-12345', '-123456789', '-123456789012345', '', '', '', '', '', '', '', '', '', '', '', '', '', '', '']行 ['12', '', '', '', '', '123', '12345678901234567890123789010000000', '0.1234567890123459012345678901', '123456789012367012345678.1246', '123456712345.6789', '988', '987654321098765410987654321100000000', '0.9876543210987432109876543211', '987654321098765432105432.1099', '1234567012456.78', '', '', '', '', '']列，源：fe07344c627d94d98fc9cdc96e263b6f 备：b48d758f4e5aa3334c133bdfb1c74b7d</t>
        </is>
      </c>
      <c r="BB4"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 '0', '0']列，源：873536624b91a09c96b643967d9578db 备：b424556eb7bea118d7c22c47aff64ab2</t>
        </is>
      </c>
      <c r="BC4" t="inlineStr">
        <is>
          <t>['3', '2026-04-17 17:17:33', '2026-04-17 17:17:33.4', '2026-04-17 17:17:33.41', '2026-04-17 17:17:33.413', '2026-04-17 17:17:33.4133', '2026-04-17 17:17:33.4133', '2026-04-17 17:17:33.413301', '2026-04-17 17:17:33.4133']行 ['105', '9999-12-3123:59:59', '9999-12-3123:59:59.9', '9999-12-3123:59:59.99', '9999-12-3123:59:59.999', '9999-12-3123:59:59.9999', '9999-12-3123:59:59.99999', '9999-12-3123:59:59.999999', '9999-12-3123:59:59.9999999']列，源：aa25be3e3d7323a6ff844f1f906c5cb0 备：172af28ba70f6f1b2c591703c8877636</t>
        </is>
      </c>
      <c r="BD4" t="inlineStr">
        <is>
          <t>['3', '100', '0', '0', '0', '', '', '', '', '-888888.22', '', '', '', '', '', '0', '0', '203685477.5808', '', '0']行 ['11', '200', '0', '0', '0', '99999', '', '', '', '-11111.34', '', '', '', '', '', '123.456789', '', '', '', '1']列，源：0ecec7e97993ff9ff8af5d424ed31848 备：aae4ef4b07c93d0873444fadbebfe0a0</t>
        </is>
      </c>
      <c r="BE4" t="inlineStr">
        <is>
          <t>['5', '/']行 ['5', '']列，源：f1cad2934f3b4af849d5e55b081255f8 备：82374ec1090b34777f1263e34f705522</t>
        </is>
      </c>
      <c r="BF4" t="inlineStr">
        <is>
          <t>['2', '2046-05-11 14:30:45', '2046-05-11 14:30:45.1', '2046-05-11 14:30:45.12', '2046-05-11 14:30:45.123', '2046-05-11 14:30:45.1235', '2046-05-11 14:30:45.12346', '2046-05-11 14:30:45.123457', '2046-05-11 14:30:45.123456']行 ['2', '2046-05-1114:30:45', '2046-05-1114:30:45.1', '2046-05-1114:30:45.12', '2046-05-1114:30:45.123', '2046-05-1114:30:45.1235', '2046-05-1114:30:45.12346', '2046-05-1114:30:45.123457', '2046-05-1114:30:45.1234567']列，源：9f841bced0c4451919e9180d28c5856d 备：3b596b072f99b53e42bcc0dad84f1d62</t>
        </is>
      </c>
      <c r="BG4" t="inlineStr">
        <is>
          <t>['3',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dcb595a4a25a1857a5da52dac7ed2817 备：0bbcedfc715bfbd530fa77d478cdfe55</t>
        </is>
      </c>
      <c r="BH4" t="inlineStr">
        <is>
          <t>['2', '2068-06-01']行 ['2', '2068-06-01 00:00:00']列，源：60df4c4f40d15c737f3402734a4cda3d 备：82e34a0400963c9b6a36b2573a687bce</t>
        </is>
      </c>
      <c r="BI4" t="inlineStr">
        <is>
          <t>['2', '0001-01-02 00:00:00', '0001-01-02 00:00:00', '0001-01-02 00:00:00', '0001-01-02 00:00:00', '0001-01-02 00:00:00', '0001-01-02 00:00:00', '0001-01-02 00:00:00', '0001-01-02 00:00:00']行 ['2', '0001-01-0200:00:00', '0001-01-0200:00:00.0', '0001-01-0200:00:00.00', '0001-01-0200:00:00.000', '0001-01-0200:00:00.0000', '0001-01-0200:00:00.00000', '0001-01-0200:00:00.000000', '0001-01-0200:00:00.0000000']列，源：2588f9090925be4082f88ab3c7f1c0a7 备：c3a09c27d13cf10f44ee172cf6d45c08</t>
        </is>
      </c>
      <c r="BJ4"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BK4"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['123', '0', '0', '0']列，源：873536624b91a09c96b643967d9578db 备：464f61a506cef0f4ab114b46755969a1</t>
        </is>
      </c>
      <c r="BM4" t="inlineStr">
        <is>
          <t>['3', '', '', '']行 ['2', '', '', '']列，源：0b6be33b0c5115aa8db935a501447fdb 备：4d8dcc58473bca7d755328caf6d901a9</t>
        </is>
      </c>
      <c r="BN4"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O4"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 '0', '0']列，源：873536624b91a09c96b643967d9578db 备：b424556eb7bea118d7c22c47aff64ab2</t>
        </is>
      </c>
      <c r="BP4" t="inlineStr">
        <is>
          <t>['7', '1970-01-01']行 ['7', '1970-01-01 00:00:00']列，源：bb61a186c635829b41be7ca8b286402d 备：a15de1fe9e4c8bc16f66f0c7b8c0635f</t>
        </is>
      </c>
      <c r="BQ4" t="inlineStr">
        <is>
          <t>['3', '2026-04-1717:18:21+08:00', '2026-04-1717:18:20.6+08:00', '2026-04-1717:18:20.57+08:00', '2026-04-1717:18:20.568+08:00', '2026-04-1717:18:20.5678+08:00', '2026-04-1717:18:20.56779+08:00', '2026-04-1717:18:20.567790+08:00', '2026-04-1717:18:20.5677897+08:00']行 ['11', '2003-11-0502:00:00-05:10', '2003-11-0502:00:00.0-05:10', '2003-11-0502:00:00.00-05:10', '2003-11-0502:00:00.000-05:10', '2003-11-0502:00:00.0000-05:10', '2003-11-0502:00:00.00000-05:10', '2003-11-0502:00:00.000000-05:10', '2003-11-0502:00:00.0000000-05:10']列，源：5cb5d1498903a390c67a7e8c68e3ffe3 备：5763c1eeb92d430c4d8f32e6dce6129c</t>
        </is>
      </c>
      <c r="BR4" t="inlineStr">
        <is>
          <t>['7', '1900-01-01']行 ['7', '1900-01-01 00:00:00']列，源：e389f027ba80b01f87e13a05f9c5388d 备：998378e5b148cd3ae8e5b7759d61eda2</t>
        </is>
      </c>
      <c r="BS4" t="inlineStr">
        <is>
          <t>['3', '2026-04-1717:18:23+08:00', '2026-04-1717:18:22.8+08:00', '2026-04-1717:18:22.75+08:00', '2026-04-1717:18:22.755+08:00', '2026-04-1717:18:22.7550+08:00', '2026-04-1717:18:22.75495+08:00', '2026-04-1717:18:22.754952+08:00', '2026-04-1717:18:22.7549521+08:00']行 ['11', '2003-11-0502:00:00-05:10', '2003-11-0502:00:00.0-05:10', '2003-11-0502:00:00.00-05:10', '2003-11-0502:00:00.000-05:10', '2003-11-0502:00:00.0000-05:10', '2003-11-0502:00:00.00000-05:10', '2003-11-0502:00:00.000000-05:10', '2003-11-0502:00:00.0000000-05:10']列，源：b20b50cb2f31f99efe89e7ded465b582 备：5763c1eeb92d430c4d8f32e6dce6129c</t>
        </is>
      </c>
      <c r="BT4" t="inlineStr">
        <is>
          <t>['2', '€', 'TOOLONG英255VAL方&amp;', 'TOOLONG英255VAL方&amp;TOOLONG英255V']行 ['2',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a05ef8e6ce59502876011f7dc9d5563e 备：d807d844792adb95cfa5f535232508a4</t>
        </is>
      </c>
      <c r="BU4" t="inlineStr">
        <is>
          <t>['3', '2026-04-1717:18:32+08:00', '2026-04-1717:18:31.5+08:00', '2026-04-1717:18:31.54+08:00', '2026-04-1717:18:31.537+08:00', '2026-04-1717:18:31.5370+08:00', '2026-04-1717:18:31.53698+08:00', '2026-04-1717:18:31.536981+08:00', '2026-04-1717:18:31.5369809+08:00']行 ['11', '2003-11-0502:00:00-05:10', '2003-11-0502:00:00.0-05:10', '2003-11-0502:00:00.00-05:10', '2003-11-0502:00:00.000-05:10', '2003-11-0502:00:00.0000-05:10', '2003-11-0502:00:00.00000-05:10', '2003-11-0502:00:00.000000-05:10', '2003-11-0502:00:00.0000000-05:10']列，源：0efec4c4a33512935b692ea911746a9a 备：5763c1eeb92d430c4d8f32e6dce6129c</t>
        </is>
      </c>
      <c r="BV4" t="inlineStr">
        <is>
          <t>['3',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['103', '0', '0', '0']列，源：873536624b91a09c96b643967d9578db 备：455c7d61158f755d81e6decdee72ddce</t>
        </is>
      </c>
      <c r="BW4" t="inlineStr">
        <is>
          <t>['3', '2026-04-1717:18:32+08:00', '2026-04-1717:18:31.5+08:00', '2026-04-1717:18:31.54+08:00', '2026-04-1717:18:31.537+08:00', '2026-04-1717:18:31.5370+08:00', '2026-04-1717:18:31.53698+08:00', '2026-04-1717:18:31.536981+08:00', '2026-04-1717:18:31.5369809+08:00']行 ['102', '1900-01-0100:00:00+00:00', '1900-01-0100:00:00.0+00:00', '1900-01-0100:00:00.00+00:00', '1900-01-0100:00:00.000+00:00', '1900-01-0100:00:00.0000+00:00', '1900-01-0100:00:00.00000+00:00', '1900-01-0100:00:00.000000+00:00', '1900-01-0100:00:00.0000000+00:00']列，源：0efec4c4a33512935b692ea911746a9a 备：425a3155bc50bd57fe2dc5dfb5ca2f2a</t>
        </is>
      </c>
      <c r="BX4" t="inlineStr">
        <is>
          <t>['2', 'B', '这是一个中文字符串', '这是一个长中文字符串这是一个长中文字符串这是一个长中文字符串']行 ['2', 'B',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2312fe3e8e5da4b9fe723a15cc119f21 备：6d17a4a040e6cc30c1fca062d7216c5f</t>
        </is>
      </c>
      <c r="BY4" t="inlineStr">
        <is>
          <t>['3', '1971-05-1100:00:00+14:00', '', '1971-05-1100:00:00.00+14:00', '', '1971-05-1100:00:00.0000+14:00', '', '1971-05-1100:00:00.000000+14:00', '']行 ['11', '1971-05-1100:00:00+14:00', '', '1971-05-1100:00:00.00+14:00', '', '1971-05-1100:00:00.0000+14:00', '', '1971-05-1100:00:00.000000+14:00', '']列，源：27f6a1ff4a0ed3fe4339736c6d13a8a5 备：090cfda14aebd01b3f82dc5b9b6b7ec2</t>
        </is>
      </c>
      <c r="BZ4"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CA4" t="inlineStr">
        <is>
          <t>['3', '2000-05-1100:30:45+09:00', '2000-05-1100:30:45.1+09:00', '2000-05-1100:30:45.12+09:00', '2000-05-1100:30:45.123+09:00', '2000-05-1100:30:45.1235+09:00', '2000-05-1100:30:45.12346+09:00', '2000-05-1100:30:45.123457+09:00', '2000-05-1100:30:45.1234567+09:00']行 ['11', '2025-05-1200:00:00-14:00', '2025-05-1200:00:00.0-14:00', '2025-05-1200:00:00.00-14:00', '2025-05-1200:00:00.000-14:00', '2025-05-1200:00:00.0000-14:00', '2025-05-1200:00:00.00000-14:00', '2025-05-1200:00:00.000000-14:00', '2025-05-1123:59:59.9999999-14:00']列，源：c178879dbf722af501cf35bec54a0db8 备：aae0fba80181e98f52fe848941baa467</t>
        </is>
      </c>
      <c r="CB4" t="inlineStr">
        <is>
          <t>['3', '0001-01-01']行 ['11', '2068-06-01 00:00:00']列，源：4601fcc74c9fc089c275a28dc28fa7ef 备：b41974313dd099351d624a254ecaf06d</t>
        </is>
      </c>
      <c r="CC4" t="inlineStr">
        <is>
          <t>['6', '2063-05-1110:30:45-04:00', '2063-05-1110:30:45.1-04:00', '2063-05-1110:30:45.12-04:00', '2063-05-1110:30:45.123-04:00', '2063-05-1110:30:45.1235-04:00', '2063-05-1110:30:45.12346-04:00', '2063-05-1110:30:45.123457-04:00', '2063-05-1110:30:45.1234567-04:00']行 ['5', '9999-12-3123:59:59+00:00', '9999-12-3123:59:59.9+00:00', '9999-12-3123:59:59.99+00:00', '9999-12-3123:59:59.999+00:00', '9999-12-3123:59:59.9999+00:00', '9999-12-3123:59:59.99999+00:00', '9999-12-3123:59:59.999999+00:00', '9999-12-3123:59:59.9999999+00:00']列，源：ced5cd81b766fa957614103c3a575085 备：e9913af2ede92ca2dee8e158b5f6391f</t>
        </is>
      </c>
      <c r="CD4" t="inlineStr">
        <is>
          <t>['3', '0001-01-01']行 ['11', '2068-06-01 00:00:00']列，源：4601fcc74c9fc089c275a28dc28fa7ef 备：b41974313dd099351d624a254ecaf06d</t>
        </is>
      </c>
      <c r="CE4" t="inlineStr">
        <is>
          <t>['2', '00:00:00', '00:00:00', '00:00:00', '00:00:00', '00:00:00', '00:00:00', '00:00:00', '00:00:00']行 ['2', '2026-04-19 00:00:00', '2026-04-19 00:00:00', '2026-04-19 00:00:00', '2026-04-19 00:00:00', '2026-04-19 00:00:00', '2026-04-19 00:00:00', '2026-04-19 00:00:00', '2026-04-19 00:00:00']列，源：6194fe9ef203afc2f6024b60236cfa38 备：173b808bd14c96f9330babbd1a42793e</t>
        </is>
      </c>
      <c r="CF4" t="inlineStr">
        <is>
          <t>['2', 'X', 'THISISATESTSTRIN', 'CASECASECASECASECASECASECASECASECASECASECASECASECASECASECASECASECASECASECASECASECASECASECASECASECASECASECASECASECASECASECASECASECASECASECASECASECASECASECASECASECASECASECASECASECASECASECASECASECASECASE']行 ['10',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f9de9e21559c1a0808bafe82af3ef9 备：4e07c167118162cc960efb1c0fd14cde</t>
        </is>
      </c>
      <c r="CG4" t="inlineStr">
        <is>
          <t>['4', '12:30:45', '12:30:45', '12:30:45', '12:30:45', '12:30:45', '12:30:45', '12:30:45', '12:30:45']行 ['13', '', '2026-04-19 00:00:01.1', '', '2026-04-19 00:00:01.123', '', '2026-04-19 00:00:01.12346', '', '2026-04-19 00:00:01.123456']列，源：af7bdf7ac883041436da298f53a28e6d 备：38e0cb193eb10f0bdac4a4f253d8c63d</t>
        </is>
      </c>
      <c r="CH4" t="inlineStr">
        <is>
          <t>['3', '0001-01-01']行 ['102', '1900-01-01 00:00:00']列，源：4601fcc74c9fc089c275a28dc28fa7ef 备：57de2d4b4c6e4c2802527300ea6d2b94</t>
        </is>
      </c>
      <c r="CI4" t="inlineStr">
        <is>
          <t>['2', 'X', 'THISISATESTSTRIN', 'CASECASECASECASECASECASECASECASECASECASECASECASECASECASECASECASECASECASECASECASECASECASECASECASECASECASECASECASECASECASECASECASECASECASECASECASECASECASECASECASECASECASECASECASECASECASECASECASECASECASE']行 ['10',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7cf9de9e21559c1a0808bafe82af3ef9 备：3fc6041fd76d8754295c5886448da618</t>
        </is>
      </c>
      <c r="CJ4" t="inlineStr">
        <is>
          <t>['4', '09:12:34', '00:00:01.1', '09:12:34.12', '00:00:01.123', '09:12:34.1235', '00:00:01.12346', '09:12:34.123457', '00:00:01.123456']行 ['4', '2026-04-19 09:12:34', '2026-04-19 00:00:01.1', '2026-04-19 09:12:34.12', '2026-04-19 00:00:01.123', '2026-04-19 09:12:34.1235', '2026-04-19 00:00:01.12346', '2026-04-19 09:12:34.123457', '2026-04-19 00:00:01.123456']列，源：33c06fa38ea6367e9264ee8f224c2d37 备：f935bafbf3e4f99fbb4524041a7e21a2</t>
        </is>
      </c>
      <c r="CK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 '', '', '', '', '', '', '', '0.0001', '', '', '', '', '', '', '', '', '', '']列，源：e797376797ac47602c6d3a1d12743f3a 备：3b84c2f4b0d14bd57e87463de2ddf0ce</t>
        </is>
      </c>
      <c r="CL4" t="inlineStr">
        <is>
          <t>['3', '1900-01-01 00:00:00']行 ['11', '1900-01-0200:00:00']列，源：d9b55a91743c105ce527b2f92a306239 备：3c46efdf6de7164ea1530f3c348ee44f</t>
        </is>
      </c>
      <c r="CM4" t="inlineStr">
        <is>
          <t>['2', '2079-06-05 23:59:00']行 ['2', '2079-06-0523:59:00']列，源：b6946ed29cf40283e1a81648633fd2aa 备：17a9df01a2295e21f27edb5b2fede86c</t>
        </is>
      </c>
      <c r="CN4" t="inlineStr">
        <is>
          <t>['6', '2020-03-01 00:00:00']行 ['11', '1900-01-0200:00:00']列，源：be7aff488bcd19699d49eb11b0b282aa 备：3c46efdf6de7164ea1530f3c348ee44f</t>
        </is>
      </c>
      <c r="CO4" t="inlineStr">
        <is>
          <t>['4', 'X', 'THISISACHARSTRIN', 'THISISACHARSTRINTHISISA']行 ['4', 'X', 'THISISACHARSTRIN', '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列，源：8fdf5b05e3441ba55e247a692d606d2c 备：3bea0b8e6522ecb09f58ff19936387de</t>
        </is>
      </c>
      <c r="CQ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'1']列，源：e797376797ac47602c6d3a1d12743f3a 备：9a93dcca444304e4522e0a37b4535e3f</t>
        </is>
      </c>
      <c r="CR4" t="inlineStr">
        <is>
          <t>['7', 'A', 'THISISATESTCASEYF', 'AAAAAAAAAAAAAAAAAAAAAAAAAAAAAA']行 ['7', 'A', 'THISISATESTCASEYF', 'AAAAAAAAAAAAAAAAAAAAAAAAAAAAAAAAAAAAAAAAAAAAAAAAAAAAAAAAAAAAAAAAAAAAAAAAAAAAAAAAAAAAAAAAAAAAAAAAAAAAAAAAAAAAAAAAAAAAAAAAAAAAAAAAAAAAAAAAAAAAAAAAAAAAAAAAAAAAAAAAAAAAAAAAAAAAAAAAAAAAAAAAAAAAAAAAAAAAAAAA']列，源：30c3f4d082d51f6768da7c8d542a486d 备：ea65a16973f6a92a01b3213710bbe908</t>
        </is>
      </c>
      <c r="CS4" t="inlineStr">
        <is>
          <t>['2', '2026-04-17']行 ['10', '2026-04-17 00:00:00']列，源：21220d8cdede573df56e90be762cf4eb 备：daf7fc52a049bf54ccdfc7c9d6c47244</t>
        </is>
      </c>
      <c r="CT4" t="inlineStr">
        <is>
          <t>['2', '2068-06-01']行 ['10', '1990-12-31 00:00:00']列，源：60df4c4f40d15c737f3402734a4cda3d 备：bc5354ca41938209be4c852b465717c1</t>
        </is>
      </c>
      <c r="CU4"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备：86fc697c4f402aefe34e23269138d429</t>
        </is>
      </c>
      <c r="CV4" t="inlineStr">
        <is>
          <t>['3', '1753-01-01 00:00:00']行 ['11', '1997-04-0423:59:59.997']列，源：49cca1cb1aacf5de2bcca89e974a617b 备：bb435b12de45d9ed5e562f989cbfc4c3</t>
        </is>
      </c>
      <c r="CW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 '', '', '', '', '', '', '', '0.0001', '', '', '', '', '', '', '', '', '', '']列，源：e797376797ac47602c6d3a1d12743f3a 备：3b84c2f4b0d14bd57e87463de2ddf0ce</t>
        </is>
      </c>
      <c r="CX4" t="inlineStr">
        <is>
          <t>['2', 'TIMESTAMP不参与比较']行 ['2', '00000000000140A7']列，源：b7928a4a28c3c063b1294eabf833de20 备：b58d78aeb32b9f4b1b9d9da02ea37301</t>
        </is>
      </c>
      <c r="CY4" t="inlineStr">
        <is>
          <t>['5', 'B', '这是一个中文字符串', '这是一个长中文字符串这是一个长中文字符串这是一个长中文字符串']行 ['5', 'B',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4df052492e9b0001a7d75995e76f17ef 备：101271c4c5b45815e1358f75a95102ac</t>
        </is>
      </c>
      <c r="CZ4" t="inlineStr">
        <is>
          <t>['2', '2040-12-25 23:59:59.997']行 ['2', '2040-12-2523:59:59.997']列，源：3cb9724c41ac5db800f8c3582f8dffeb 备：3688b37300217154111c4d89b4885be1</t>
        </is>
      </c>
      <c r="DA4" t="inlineStr">
        <is>
          <t>['5', '2026-04-17']行 ['5', '2026-04-17 00:00:00']列，源：cdf2a5ad84833f2e7c255f72c3fd4222 备：a9d6f923ef723efde238d2495d243d08</t>
        </is>
      </c>
      <c r="DB4" t="inlineStr">
        <is>
          <t>['4', '9999-12-31 23:59:59.997']行 ['12', '1998-05-0523:59:59.997']列，源：790b685ddba643b3b927b659a0e679ba 备：65394b71d064d22da645116214f7e562</t>
        </is>
      </c>
      <c r="DC4" t="inlineStr">
        <is>
          <t>['3', '2026-04-17']行 ['11', '1990-12-31 00:00:00']列，源：993542c7f4a45163ba87356fb79a7489 备：835c2e3a4dc310df88f1668da4cf8ab4</t>
        </is>
      </c>
      <c r="DE4" t="inlineStr">
        <is>
          <t>['3', '', '', '']行 ['11',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b6be33b0c5115aa8db935a501447fdb 备：919475ea389ad79ad641072bbb118d61</t>
        </is>
      </c>
      <c r="DF4"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G4"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02b7c91ea85805835c880370990e25a6 备：48dfc04adf15f13bc786957ab66a62da</t>
        </is>
      </c>
      <c r="DH4"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J4" t="inlineStr">
        <is>
          <t>['2', '2292020', '2026-04-19 23:59:00', '051120462:30PM', '0511197112:00AM+14:00', '0', '-32768', '-2147483648', '10120232:30PM', '-340000000000000000000000000000000000000', '-922337203685477.58', '1230999911:59PM',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'0', '-1000000000000000', 'A7B0C3D4-E8F9-4A5B-6C7D-8E9F0A1B2C3D', '-214748.36', '-9223372036854775808', '0X3132333435363738393031323334353637383930', 'TOOLONG英255VAL方&amp;', '0XC9CFBAA3D3A2B7BDC8EDBCFEB9C9B7DDB9ABCBBE', 'TOOLONG英255VAL方&amp;', 'TOOLONG英255VAL方&amp;', 'TOOLONG英255VAL方&amp;', 'TIMESTAMP不参与比较']行 ['2', '2020-02-29 00:00:00', '2026-04-19 23:59:59.999999', '2046-05-1114:30:45.1234567', '1971-05-1100:00:00.0000001+14:00', '0', '-32768', '-2147483648', '2023-10-0114:30:00', '-340000000000000000000000000000000000000', '-922337203685477.5808', '9999-12-3023:59:59.997',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'0', '-1000000000000000', 'A7B0C3D4-E8F9-4A5B-6C7D-8E9F0A1B2C3D', '-214748.3648', '-9223372036854775808', '0X3132333435363738393031323334353637383930', 'TOOLONG英255VAL方&amp;', '0XBAA3D3A2B7BDC8EDBCFEB9C9B7DDB9ABCBBE', 'TOOLONG英255VAL方&amp;', 'TOOLONG英255VAL方&amp;', 'TOOLONG英255VAL方&amp;', '14076']列，源：5f86bb9def998aec06f412c64824d2bd 备：07227ae6cf9bd065f4ee21a336673ba8</t>
        </is>
      </c>
      <c r="DK4" t="inlineStr">
        <is>
          <t>['3',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dcb595a4a25a1857a5da52dac7ed2817 备：0bbcedfc715bfbd530fa77d478cdfe55</t>
        </is>
      </c>
      <c r="DL4" t="inlineStr">
        <is>
          <t>['3', '2026-04-17 16:55:36', '2026-04-17 16:55:35.8', '2026-04-17 16:55:35.77', '2026-04-17 16:55:35.769', '2026-04-17 16:55:35.7687', '2026-04-17 16:55:35.7687', '2026-04-17 16:55:35.768696', '2026-04-17 16:55:35.768695']行 ['3', '2026-04-1716:55:36', '2026-04-1716:55:35.8', '2026-04-1716:55:35.77', '2026-04-1716:55:35.769', '2026-04-1716:55:35.7687', '2026-04-1716:55:35.76870', '2026-04-1716:55:35.768696', '2026-04-1716:55:35.7686959']列，源：666b95fc4f2cb8e7739027b31fea6d82 备：13fd35c1e1630a3a67fb4265fbd7bc07</t>
        </is>
      </c>
      <c r="DM4" t="inlineStr">
        <is>
          <t>['3', '', '', '']行 ['2', '', '', '']列，源：0b6be33b0c5115aa8db935a501447fdb 备：4d8dcc58473bca7d755328caf6d901a9</t>
        </is>
      </c>
      <c r="DN4" t="inlineStr">
        <is>
          <t>['2', 'LINESTRING116.40439.915121.47431.23']行 ['2', 'LINESTRING116.40399999999999639.9149999999999991121.47400000000000431.2300000000000004']列，源：3064e08cb4b217df2c21689bc99ccfb8 备：c9d8ea29a73cd769ea282abbf5201bb1</t>
        </is>
      </c>
      <c r="DO4"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DP4" t="inlineStr">
        <is>
          <t>['3', '', '', '']行 ['123', '', '', '']列，源：0b6be33b0c5115aa8db935a501447fdb 备：8d23b4b2eb75a725cc7fa321666f20a1</t>
        </is>
      </c>
      <c r="DQ4" t="inlineStr">
        <is>
          <t>['2', '', '', '', '', '', '', '', '', '', '', '', '', '', '', '', '', '', '', '', '', '', '', '', 'TIMESTAMP不参与比较']行 ['2', '', '', '', '', '', '', '', '', '', '', '', '', '', '', '', '', '', '', '', '', '', '', '', '000000000001407A']列，源：f45264ac0aec5c21519a54fddd8f8a31 备：926ea3587e97de207dee802ada747401</t>
        </is>
      </c>
      <c r="DS4" t="inlineStr">
        <is>
          <t>['2', '1941-05-11 14:30:45', '1941-05-11 14:30:45.1', '1941-05-11 14:30:45.12', '1941-05-11 14:30:45.123', '1941-05-11 14:30:45.1235', '1941-05-11 14:30:45.12346', '1941-05-11 14:30:45.123457', '1941-05-11 14:30:45.123456']行 ['2', '1941-05-1114:30:45', '1941-05-1114:30:45.1', '1941-05-1114:30:45.12', '1941-05-1114:30:45.123', '1941-05-1114:30:45.1235', '1941-05-1114:30:45.12346', '1941-05-1114:30:45.123457', '1941-05-1114:30:45.1234567']列，源：81f13f50f6ff4017aec2b499bc8be661 备：35f9705b0d507a4396fecccd7f140778</t>
        </is>
      </c>
      <c r="DT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DU4" t="inlineStr">
        <is>
          <t>['3', 'POLYGON-122.35847.653-122.34847.649-122.34847.658-122.35847.658-122.35847.653']行 ['3', 'POLYGON-122.35800000000000447.6529999999999987-122.34799999999999947.6490000000000009-122.34799999999999947.6580000000000013-122.35800000000000447.6580000000000013-122.35800000000000447.6529999999999987']列，源：7f876a78567df83bea73feff674a7c57 备：a8ec4dbb66ea32bae49c014e45636c6e</t>
        </is>
      </c>
      <c r="DV4" t="inlineStr">
        <is>
          <t>['3', '23:59:59', '23:59:59.9', '23:59:59.99', '23:59:59.999', '23:59:59.9999', '23:59:59.99999', '23:59:59.999999', '23:59:59.999999']行 ['109', '2026-04-19 12:30:45', '2026-04-19 12:30:45.1', '2026-04-19 12:30:45.12', '2026-04-19 12:30:45.123', '2026-04-19 12:30:45.1235', '2026-04-19 12:30:45.12345', '2026-04-19 12:30:45.12345', '2026-04-19 12:30:45.12345']列，源：905f390cf0bc4e59c64bf30087398228 备：aeba2a65cbf83fbba4d4dcee1aca6429</t>
        </is>
      </c>
      <c r="DW4" t="inlineStr">
        <is>
          <t>['3', '', '', '']行 ['2', '', '', '']列，源：0b6be33b0c5115aa8db935a501447fdb 备：4d8dcc58473bca7d755328caf6d901a9</t>
        </is>
      </c>
      <c r="DX4" t="inlineStr">
        <is>
          <t>['2', '18:10:06', '18:10:06.1', '18:10:06.12', '18:10:06.123', '18:10:06.1235', '18:10:06.12346', '18:10:06.123457', '18:10:06.123456']行 ['10', '2026-04-19 18:10:06', '2026-04-19 18:10:06.1', '2026-04-19 18:10:06.12', '2026-04-19 18:10:06.123', '2026-04-19 18:10:06.1235', '2026-04-19 18:10:06.12346', '2026-04-19 18:10:06.123457', '2026-04-19 18:10:06.123456']列，源：9a03ffbc7cbf8371078e50237e538df1 备：fd0bfb63593569a525abab9119e36ab1</t>
        </is>
      </c>
      <c r="DZ4" t="inlineStr">
        <is>
          <t>['2', '18:10:06', '18:10:06.1', '18:10:06.12', '18:10:06.123', '18:10:06.1235', '18:10:06.12346', '18:10:06.123457', '18:10:06.123456']行 ['10', '2026-04-19 09:12:34', '2026-04-19 12:30:45.1', '2026-04-19 09:12:34.12', '2026-04-19 12:30:45.123', '2026-04-19 09:12:34.1235', '2026-04-19 12:30:45.12346', '2026-04-19 09:12:34.123457', '2026-04-19 12:30:45.123456']列，源：9a03ffbc7cbf8371078e50237e538df1 备：cc50775823e4178635407a9933553257</t>
        </is>
      </c>
      <c r="EA4"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EB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C4" t="inlineStr">
        <is>
          <t>['5', 'POLYGON-122.35847.653-122.34847.649-122.34847.658-122.35847.658-122.35847.653']行 ['5', 'POLYGON-122.35800000000000447.6529999999999987-122.34799999999999947.6490000000000009-122.34799999999999947.6580000000000013-122.35800000000000447.6580000000000013-122.35800000000000447.6529999999999987']列，源：95be8b5f52ac81cc957a0f6ef217a3b5 备：efaec24864edf0ba97922e1575b74a52</t>
        </is>
      </c>
      <c r="EE4" t="inlineStr">
        <is>
          <t>['4', '12:30:45', '12:30:45', '12:30:45', '12:30:45', '12:30:45', '12:30:45', '12:30:45', '12:30:45']行 ['11', '2026-04-19 12:30:45', '2026-04-19 12:30:45.1', '2026-04-19 12:30:45.12', '2026-04-19 12:30:45.123', '2026-04-19 12:30:45.1235', '2026-04-19 12:30:45.12346', '2026-04-19 12:30:45.123457', '2026-04-19 12:30:45.123456']列，源：af7bdf7ac883041436da298f53a28e6d 备：65b748c765c854123d60799f963bdbb5</t>
        </is>
      </c>
      <c r="EF4" t="inlineStr">
        <is>
          <t>['4', '09:12:34', '12:30:45', '09:12:34.12', '12:30:45', '09:12:34.1235', '12:30:45', '09:12:34.123457', '12:30:45']行 ['11', '2026-04-19 12:30:45', '2026-04-19 12:30:45.1', '2026-04-19 12:30:45.12', '2026-04-19 12:30:45.123', '2026-04-19 12:30:45.1235', '2026-04-19 12:30:45.12346', '2026-04-19 12:30:45.123457', '2026-04-19 12:30:45.123456']列，源：d394d9042f78f523258f52063f3bfa67 备：65b748c765c854123d60799f963bdbb5</t>
        </is>
      </c>
      <c r="EG4" t="inlineStr">
        <is>
          <t>['3', '1900-01-01 00:00:00']行 ['11', '1900-01-0200:00:00']列，源：d9b55a91743c105ce527b2f92a306239 备：3c46efdf6de7164ea1530f3c348ee44f</t>
        </is>
      </c>
      <c r="EH4" t="inlineStr">
        <is>
          <t>['3', '1900-01-01 00:00:00']行 ['11', '1900-01-0200:00:00']列，源：d9b55a91743c105ce527b2f92a306239 备：3c46efdf6de7164ea1530f3c348ee44f</t>
        </is>
      </c>
      <c r="EI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J4" t="inlineStr">
        <is>
          <t>['2', '255', '32767', '2147483647', '9223372036854775808', '999999999999999999', '100000000000000000000000000000000000000', '1', '10000000000000000000000000000', '999999999999999.9999', '999999999999999999', '100000000000000000000000000000000000000', '1', '10000000000000000000000000000', '9999999999999999.99',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['10', '99', '-12345', '-123456789', '-123456789012345', '', '', '', '', '', '', '', '', '', '', '', '', '', '', '']列，源：e797376797ac47602c6d3a1d12743f3a 备：fe07344c627d94d98fc9cdc96e263b6f</t>
        </is>
      </c>
      <c r="EK4" t="inlineStr">
        <is>
          <t>['3', '', '', '']行 ['103', '', '', '']列，源：0b6be33b0c5115aa8db935a501447fdb 备：00bfa3d0cb3871c495026963a48e4bca</t>
        </is>
      </c>
      <c r="EL4" t="inlineStr">
        <is>
          <t>['3', '2026-04-1716:56:53+08:00', '2026-04-1716:56:52.8+08:00', '2026-04-1716:56:52.83+08:00', '2026-04-1716:56:52.828+08:00', '2026-04-1716:56:52.8279+08:00', '2026-04-1716:56:52.82789+08:00', '2026-04-1716:56:52.827894+08:00', '2026-04-1716:56:52.8278938+08:00']行 ['11', '2003-11-0502:00:00-05:10', '2003-11-0502:00:00.0-05:10', '2003-11-0502:00:00.00-05:10', '2003-11-0502:00:00.000-05:10', '2003-11-0502:00:00.0000-05:10', '2003-11-0502:00:00.00000-05:10', '2003-11-0502:00:00.000000-05:10', '2003-11-0502:00:00.0000000-05:10']列，源：d3d2137dd8becc272579a695d1210c18 备：5763c1eeb92d430c4d8f32e6dce6129c</t>
        </is>
      </c>
      <c r="EM4" t="inlineStr">
        <is>
          <t>['3', '1900-01-01 00:00:00']行 ['11', '1900-01-0200:00:00']列，源：d9b55a91743c105ce527b2f92a306239 备：3c46efdf6de7164ea1530f3c348ee44f</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c_geometry列源备映射错误，源端为geometry -1位	期望更改为text	实际备端为geometry -1位</t>
        </is>
      </c>
      <c r="Y5" t="inlineStr">
        <is>
          <t>['4', '2079-06-06 23:59:00']行 ['12', '1990-11-2600:01:00']列，源：a8fd36861b3c5e2223d79720c578b109 备：c732fe18d9e6b66f1fd51af875bfd787</t>
        </is>
      </c>
      <c r="Z5" t="inlineStr">
        <is>
          <t>['3', '2026-04-17 17:16:00']行 ['11', '2026-04-1717:16:00']列，源：e6082f00d491a769e0a6b638db2c65a1 备：a5f62231a60a80e23bbe79e7f00efff4</t>
        </is>
      </c>
      <c r="AA5" t="inlineStr">
        <is>
          <t>['3', '2079-06-05 23:59:00']行 ['11', '1900-01-0200:00:00']列，源：bd4927546bde1a1c2fbf7b8721e58927 备：3c46efdf6de7164ea1530f3c348ee44f</t>
        </is>
      </c>
      <c r="AB5" t="inlineStr">
        <is>
          <t>['4', '', '', '']行 ['3', '', '', '']列，源：7c4c838f7d8ad7ddd7d4f869b807ac77 备：0b6be33b0c5115aa8db935a501447fdb</t>
        </is>
      </c>
      <c r="AC5"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AD5" t="inlineStr">
        <is>
          <t>['12', '2025-05-1200:00:00-14:00', '2025-05-1200:00:00.0-14:00', '2025-05-1200:00:00.00-14:00', '2025-05-1200:00:00.000-14:00', '2025-05-1200:00:00.0000-14:00', '2025-05-1200:00:00.00000-14:00', '2025-05-1200:00:00.000000-14:00', '2025-05-1123:59:59.9999999-14:00']行 ['13', '1971-05-1100:00:00+14:00', '1971-05-1100:00:00.0+14:00', '1971-05-1100:00:00.00+14:00', '1971-05-1100:00:00.000+14:00', '1971-05-1100:00:00.0000+14:00', '1971-05-1100:00:00.00000+14:00', '1971-05-1100:00:00.000000+14:00', '1971-05-1100:00:00.0000001+14:00']列，源：62ddc8cbf63642db045e45819e8ebb70 备：dc344ffcaa3e3c2a77034f12a4753488</t>
        </is>
      </c>
      <c r="AE5" t="inlineStr">
        <is>
          <t>['3', 'POLYGON114.0522.54114.0622.54114.0622.55114.0522.55114.0522.54']行 ['3', 'POLYGON114.04999999999999722.5399999999999991114.06000000000000222.5399999999999991114.06000000000000222.5500000000000007114.04999999999999722.5500000000000007114.04999999999999722.5399999999999991']列，源：0c89246214862d013f6e8ef5da304900 备：b0cc19ab47b6ed5379aea2021b88f5c6</t>
        </is>
      </c>
      <c r="AF5" t="inlineStr">
        <is>
          <t>['8', '2068-05-11 14:31:00']行 ['4', '2079-06-0623:59:00']列，源：c20db0d090d4853ac182e54f16efc93e 备：a6d75d1a66b9d20659c081896ddd30ba</t>
        </is>
      </c>
      <c r="AG5" t="inlineStr">
        <is>
          <t>['11', '2079-06-05 23:59:00']行 ['8', '2079-06-0523:59:00']列，源：159446e3bb4afea2103e0a8411de86fa 备：5f976184e7b3d26d71558f4381207555</t>
        </is>
      </c>
      <c r="AH5" t="inlineStr">
        <is>
          <t>['4', '100', '12345', '123456', '1000000', '', '-1234567890123456789012345', '0.0000000000000000000000008', '1234567890123456789012345678', '-888888.22', '123456789123456789', '-1234567890123456789012345', '0.0000000000000000000000008', '1234567890123456789012345678', '-123456789012.12', '0', '0', '203685477.5808', '1234.5678', '0']行 ['12', '100', '', '123456', '1000000', '', '12345678901234567890123789010000000', '0.1234567890123459012345678901', '123456789012367012345678.1246', '-888888.22', '988', '987654321098765410987654321100000000', '0.9876543210987432109876543211', '987654321098765432105432.1099', '1234567012456.78', '0', '0', '203685477.5808', '', '0']列，源：d90905b6300dde8773d3a38046d9e92f 备：d172a412f5fb18d2e88e30aa41203462</t>
        </is>
      </c>
      <c r="AJ5" t="inlineStr">
        <is>
          <t>['4', '9999-12-31 23:59:59.997']行 ['12', '1998-05-0523:59:59.997']列，源：790b685ddba643b3b927b659a0e679ba 备：65394b71d064d22da645116214f7e562</t>
        </is>
      </c>
      <c r="AK5" t="inlineStr">
        <is>
          <t>['4', '', '', '']行 ['3', '', '', '']列，源：7c4c838f7d8ad7ddd7d4f869b807ac77 备：0b6be33b0c5115aa8db935a501447fdb</t>
        </is>
      </c>
      <c r="AL5" t="inlineStr">
        <is>
          <t>['4', '9999-12-31 23:59:59.997']行 ['12', '1998-05-0523:59:59.997']列，源：790b685ddba643b3b927b659a0e679ba 备：65394b71d064d22da645116214f7e562</t>
        </is>
      </c>
      <c r="AM5" t="inlineStr">
        <is>
          <t>['4', '9999-12-31 23:59:59.997']行 ['12', '1998-05-0523:59:59.997']列，源：790b685ddba643b3b927b659a0e679ba 备：65394b71d064d22da645116214f7e562</t>
        </is>
      </c>
      <c r="AN5" t="inlineStr">
        <is>
          <t>['4', '100', '12345', '123456', '1000000', '', '-1234567890123456789012345', '0.0000000000000000000000008', '1234567890123456789012345678', '-888888.22', '123456789123456789', '-1234567890123456789012345', '0.0000000000000000000000008', '1234567890123456789012345678', '-123456789012.12', '0', '0', '203685477.5808', '1234.5678', '0']行 ['12', '100', '', '123456', '1000000', '', '12345678901234567890123789010000000', '0.1234567890123459012345678901', '123456789012367012345678.1246', '-888888.22', '988', '987654321098765410987654321100000000', '0.9876543210987432109876543211', '987654321098765432105432.1099', '1234567012456.78', '0', '0', '203685477.5808', '', '0']列，源：d90905b6300dde8773d3a38046d9e92f 备：d172a412f5fb18d2e88e30aa41203462</t>
        </is>
      </c>
      <c r="AO5" t="inlineStr">
        <is>
          <t>['4', '9999-12-31 23:59:59.997']行 ['106', '2020-02-2919:27:31.123']列，源：790b685ddba643b3b927b659a0e679ba 备：928ff4e9fc058180117cfceabb76092f</t>
        </is>
      </c>
      <c r="AP5" t="inlineStr">
        <is>
          <t>['3', '9999-12-31 23:59:59.997']行 ['11', '9999-12-3123:59:59.997']列，源：f4bddb9aa3693f78ba9c1b0bb1803af1 备：0b594a38485f1faeea9fbf0403dd31d4</t>
        </is>
      </c>
      <c r="AQ5" t="inlineStr">
        <is>
          <t>['4', '', '', '']行 ['3', '', '', '']列，源：7c4c838f7d8ad7ddd7d4f869b807ac77 备：0b6be33b0c5115aa8db935a501447fdb</t>
        </is>
      </c>
      <c r="AR5" t="inlineStr">
        <is>
          <t>['3', '1753-01-01 00:00:00']行 ['11', '2020-02-2919:27:31.123']列，源：49cca1cb1aacf5de2bcca89e974a617b 备：14ebd3d155655e0d57aebf925fbcd1a7</t>
        </is>
      </c>
      <c r="AT5" t="inlineStr">
        <is>
          <t>['15', '2001-04-09 23:59:59.993']行 ['17', '2003-11-0423:59:59.990']列，源：0a6dcffcccec03fbf67900e2d0e8ae6d 备：f6a0bc59d839acb488f1957d839f4f02</t>
        </is>
      </c>
      <c r="AU5" t="inlineStr">
        <is>
          <t>['9', '2020-02-29 19:27:31.123']行 ['7', '2020-02-2919:27:31.123']列，源：49d43b6d70cfce6026d762874900d4ed 备：bcd2c39196f5efeeb3c8d31bd4750f0c</t>
        </is>
      </c>
      <c r="AV5"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AW5"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AX5" t="inlineStr">
        <is>
          <t>['4', '9999-12-31']行 ['2', '1900-01-01 00:00:00']列，源：e0244b7a7bbdb3b7eafc538da734e23b 备：7163b5525caf7cc0ddc250784e2537ae</t>
        </is>
      </c>
      <c r="AY5"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AZ5" t="inlineStr">
        <is>
          <t>['4', '0001-01-01 00:00:00', '0001-01-01 00:00:00', '0001-01-01 00:00:00', '0001-01-01 00:00:00', '0001-01-01 00:00:00', '0001-01-01 00:00:00', '0001-01-01 00:00:00', '0001-01-01 00:00:00']行 ['126', '1945-05-1114:30:45', '1945-05-1114:30:45.1', '1945-05-1114:30:45.12', '1945-05-1114:30:45.123', '1945-05-1114:30:45.1235', '1945-05-1114:30:45.12346', '1945-05-1114:30:45.123457', '1945-05-1114:30:45.1234567']列，源：69485a29c62325f3a984dc1a1848ba27 备：467fae71ea63889d649733fe1febbcff</t>
        </is>
      </c>
      <c r="BA5" t="inlineStr">
        <is>
          <t>['12', '', '', '', '', '123', '12345678901234567890123789010000000', '0.1234567890123459012345678901', '123456789012367012345678.1246', '123456712345.6789', '988', '987654321098765410987654321100000000', '0.9876543210987432109876543211', '987654321098765432105432.1099', '1234567012456.78', '', '', '', '', '']行 ['13', '', '', '', '', '-457', '-123456780123456781234589012300000', '-0.4567890123479234567890145679', '-123456789012347890345678.9874', '-98743298765.4321', '-321', '-987654321096543210987654321100000000', '-0.1234569012345671234567890123', '-6543210976543287654321.098765', '-9876543210954.32', '', '', '', '', '']列，源：b48d758f4e5aa3334c133bdfb1c74b7d 备：a44b5811c634b93da05bdec7da53ebf7</t>
        </is>
      </c>
      <c r="BB5" t="inlineStr">
        <is>
          <t>['4', '', '', '']行 ['3', '0', '0', '0']列，源：7c4c838f7d8ad7ddd7d4f869b807ac77 备：33d78c2e485ebefc19151eea3b123459</t>
        </is>
      </c>
      <c r="BC5" t="inlineStr">
        <is>
          <t>['4', '0001-01-01 00:00:00', '0001-01-01 00:00:00', '0001-01-01 00:00:00', '0001-01-01 00:00:00', '0001-01-01 00:00:00', '0001-01-01 00:00:00', '0001-01-01 00:00:00', '0001-01-01 00:00:00']行 ['106', '1945-05-1114:30:45', '1945-05-1114:30:45.1', '1945-05-1114:30:45.12', '1945-05-1114:30:45.123', '1945-05-1114:30:45.1235', '1945-05-1114:30:45.12346', '1945-05-1114:30:45.123457', '1945-05-1114:30:45.1234567']列，源：69485a29c62325f3a984dc1a1848ba27 备：b6fbb8ccb872e95d4063fe935c144670</t>
        </is>
      </c>
      <c r="BD5" t="inlineStr">
        <is>
          <t>['5', '0', '0', '0', '0', '', '', '', '', '', '', '', '', '', '', '', '', '', '', '']行 ['12', '', '', '', '', '123', '12345678901234567890123789010000000', '0.1234567890123459012345678901', '123456789012367012345678.1246', '123456712345.6789', '988', '987654321098765410987654321100000000', '0.9876543210987432109876543211', '987654321098765432105432.1099', '1234567012456.78', '', '', '', '', '']列，源：61f2d024da6dc2a41105ba753fc689fe 备：b48d758f4e5aa3334c133bdfb1c74b7d</t>
        </is>
      </c>
      <c r="BF5"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G5" t="inlineStr">
        <is>
          <t>['4',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e82ae7840035ff9b184933d7a7e914eb 备：263116367a90948e2d0f40b9f0341300</t>
        </is>
      </c>
      <c r="BH5" t="inlineStr">
        <is>
          <t>['3', '9999-12-31']行 ['3', '9999-12-31 00:00:00']列，源：c25740f1fd7def9c7efa7bd30f00c156 备：ad1e9dc8131ec11be8bbd67156541899</t>
        </is>
      </c>
      <c r="BI5" t="inlineStr">
        <is>
          <t>['3', '2046-05-11 14:30:45', '2046-05-11 14:30:45.1', '2046-05-11 14:30:45.12', '2046-05-11 14:30:45.123', '2046-05-11 14:30:45.1235', '2046-05-11 14:30:45.12346', '2046-05-11 14:30:45.123457', '2046-05-11 14:30:45.123456']行 ['3', '2046-05-1114:30:45', '2046-05-1114:30:45.1', '2046-05-1114:30:45.12', '2046-05-1114:30:45.123', '2046-05-1114:30:45.1235', '2046-05-1114:30:45.12346', '2046-05-1114:30:45.123457', '2046-05-1114:30:45.1234567']列，源：afe0b14b43950d1fc3a965dc903a2fac 备：168ff18928a26a1556b1fd9209d494ac</t>
        </is>
      </c>
      <c r="BJ5"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BK5" t="inlineStr">
        <is>
          <t>['4', '', '', '']行 ['124',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备：74260bee968be4120d5837ca36e4e955</t>
        </is>
      </c>
      <c r="BM5" t="inlineStr">
        <is>
          <t>['4', '', '', '']行 ['3', '', '', '']列，源：7c4c838f7d8ad7ddd7d4f869b807ac77 备：0b6be33b0c5115aa8db935a501447fdb</t>
        </is>
      </c>
      <c r="BN5"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O5" t="inlineStr">
        <is>
          <t>['4', '', '', '']行 ['3', '0', '0', '0']列，源：7c4c838f7d8ad7ddd7d4f869b807ac77 备：33d78c2e485ebefc19151eea3b123459</t>
        </is>
      </c>
      <c r="BP5" t="inlineStr">
        <is>
          <t>['8', '0001-01-02']行 ['8', '0001-01-02 00:00:00']列，源：04b57a1902d15a562e63a20116d02d54 备：6fa67fdbd162c694f276285f59a50544</t>
        </is>
      </c>
      <c r="BQ5"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R5" t="inlineStr">
        <is>
          <t>['8', '1990-05-11']行 ['8', '1990-05-11 00:00:00']列，源：3dc1e5573a7ca1542c0d378010337571 备：9715e30f81bc192476657074823772ca</t>
        </is>
      </c>
      <c r="BS5"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T5" t="inlineStr">
        <is>
          <t>['3', '€', 'TOOLONG英255VAL方&amp;', 'TOOLONG英255VAL方&amp;TOOLONG英255V']行 ['3',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f97e67282ae64c083005ad7d10b394c2 备：88e074fe0ba51644c154d8e1a9d0075c</t>
        </is>
      </c>
      <c r="BU5"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BV5" t="inlineStr">
        <is>
          <t>['4', '', '', '']行 ['104',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备：0472afa252d43a7d1732e1f97fb9bf53</t>
        </is>
      </c>
      <c r="BW5" t="inlineStr">
        <is>
          <t>['4', '0001-01-0100:00:00+00:00', '0001-01-0100:00:00.0+00:00', '0001-01-0100:00:00.00+00:00', '0001-01-0100:00:00.000+00:00', '0001-01-0100:00:00.0000+00:00', '0001-01-0100:00:00.00000+00:00', '0001-01-0100:00:00.000000+00:00', '0001-01-0100:00:00.0000000+00:00']行 ['103', '2026-04-1717:18:32+08:00', '2026-04-1717:18:31.5+08:00', '2026-04-1717:18:31.54+08:00', '2026-04-1717:18:31.537+08:00', '2026-04-1717:18:31.5370+08:00', '2026-04-1717:18:31.53698+08:00', '2026-04-1717:18:31.536981+08:00', '2026-04-1717:18:31.5369809+08:00']列，源：4a48b7d61029c98b539430ef104a9ec1 备：04dec387cec344504a7bab1982651e05</t>
        </is>
      </c>
      <c r="BX5" t="inlineStr">
        <is>
          <t>['5', '*', '!@#%^&amp;+:&lt;&gt;?;\\N', '!@#%^&amp;*+:&lt;&gt;?;\\N!@#%^&amp;*']行 ['5',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80e7b27faae98eb11032735151e43134 备：8ad73fefd6a36e12fa4c2ddc15f62dc9</t>
        </is>
      </c>
      <c r="BY5" t="inlineStr">
        <is>
          <t>['4', '1971-05-1100:00:00+14:00', '', '1971-05-1100:00:00.00+14:00', '', '1971-05-1100:00:00.0000+14:00', '', '1971-05-1100:00:00.000000+14:00', '']行 ['12', '1971-05-1100:00:00+14:00', '', '1971-05-1100:00:00.00+14:00', '', '1971-05-1100:00:00.0000+14:00', '', '1971-05-1100:00:00.000000+14:00', '']列，源：528d75632ebb76ed10551e1e10948f95 备：0de71414bfbcaa580e918bd47653557c</t>
        </is>
      </c>
      <c r="BZ5"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CA5"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CB5" t="inlineStr">
        <is>
          <t>['4', '9999-12-31']行 ['122', '1900-01-01 00:00:00']列，源：e0244b7a7bbdb3b7eafc538da734e23b 备：b3c61ce825f77fa4836952c6516717dd</t>
        </is>
      </c>
      <c r="CC5"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CD5" t="inlineStr">
        <is>
          <t>['4', '9999-12-31']行 ['2', '1900-01-01 00:00:00']列，源：e0244b7a7bbdb3b7eafc538da734e23b 备：7163b5525caf7cc0ddc250784e2537ae</t>
        </is>
      </c>
      <c r="CE5" t="inlineStr">
        <is>
          <t>['4', '09:12:34', '00:00:01.1', '09:12:34.12', '00:00:01.123', '09:12:34.1235', '00:00:01.12346', '09:12:34.123457', '00:00:01.123456']行 ['4', '2026-04-19 09:12:34', '2026-04-19 00:00:01.1', '2026-04-19 09:12:34.12', '2026-04-19 00:00:01.123', '2026-04-19 09:12:34.1235', '2026-04-19 00:00:01.12346', '2026-04-19 09:12:34.123457', '2026-04-19 00:00:01.123456']列，源：33c06fa38ea6367e9264ee8f224c2d37 备：f935bafbf3e4f99fbb4524041a7e21a2</t>
        </is>
      </c>
      <c r="CF5" t="inlineStr">
        <is>
          <t>['3', 'X', 'THISISATESTSTRIN', 'CASECASECASECASECASECASECASECASECASECASECASECASECASECASECASECASECASECASECASECASECASECASECASECASECASECASECASECASECASECASECASECASECASECASECASECASECASECASECASECASECASECASECASECASECASECASECASECASECASECASE']行 ['2',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2e8d3ee69bcc850a4ef1622497f98ae0 备：287c1b8e905ee5fee233566a61cd1c45</t>
        </is>
      </c>
      <c r="CG5" t="inlineStr">
        <is>
          <t>['5', '12:30:45', '12:30:45.1', '12:30:45.1', '12:30:45.1', '12:30:45.1', '12:30:45.1', '12:30:45.1', '12:30:45.1']行 ['3', '2026-04-19 23:59:59', '2026-04-19 23:59:59.9', '2026-04-19 23:59:59.99', '2026-04-19 23:59:59.999', '2026-04-19 23:59:59.9999', '2026-04-19 23:59:59.99999', '2026-04-19 23:59:59.999999', '2026-04-19 23:59:59.999999']列，源：32bf3f90e6d14a212ba94a88c8392de0 备：0662bda6b156cc182a5358aac7780e95</t>
        </is>
      </c>
      <c r="CH5" t="inlineStr">
        <is>
          <t>['4', '9999-12-31']行 ['103', '0001-01-01 00:00:00']列，源：e0244b7a7bbdb3b7eafc538da734e23b 备：820b8444ced6a5e364b30e2ca78d8373</t>
        </is>
      </c>
      <c r="CI5" t="inlineStr">
        <is>
          <t>['3', 'X', 'THISISATESTSTRIN', 'CASECASECASECASECASECASECASECASECASECASECASECASECASECASECASECASECASECASECASECASECASECASECASECASECASECASECASECASECASECASECASECASECASECASECASECASECASECASECASECASECASECASECASECASECASECASECASECASECASECASE']行 ['2',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2e8d3ee69bcc850a4ef1622497f98ae0 备：287c1b8e905ee5fee233566a61cd1c45</t>
        </is>
      </c>
      <c r="CK5" t="inlineStr">
        <is>
          <t>['3', '0', '0', '0', '0', '0', '0', '0', '0', '0', '0', '0', '0', '0', '0', '0', '0', '0', '0', '0']行 ['11', '', '', '', '', '', '', '', '', '', '', '', '', '', '', '0', '0', '', '', '']列，源：94a38fb75b901313880508a383f37401 备：fa94f4a66ce87becee462cc0c66345e5</t>
        </is>
      </c>
      <c r="CL5" t="inlineStr">
        <is>
          <t>['4', '2079-06-06 23:59:00']行 ['12', '1990-11-2600:01:00']列，源：a8fd36861b3c5e2223d79720c578b109 备：c732fe18d9e6b66f1fd51af875bfd787</t>
        </is>
      </c>
      <c r="CM5" t="inlineStr">
        <is>
          <t>['3', '1900-01-02 00:00:00']行 ['3', '1900-01-0200:00:00']列，源：8278e541396b5c0494ddf82a5a0d6c8b 备：b4c22e70e91357b235853739a6af2c94</t>
        </is>
      </c>
      <c r="CN5" t="inlineStr">
        <is>
          <t>['9', '1981-05-11 14:31:00']行 ['12', '1990-11-2600:01:00']列，源：5eb1b398e93ee95d77eb7ceacf21d66d 备：c732fe18d9e6b66f1fd51af875bfd787</t>
        </is>
      </c>
      <c r="CS5" t="inlineStr">
        <is>
          <t>['3', '2026-04-17']行 ['11', '2026-04-17 00:00:00']列，源：993542c7f4a45163ba87356fb79a7489 备：502f48e6d17a4890c4bf11fe2904c366</t>
        </is>
      </c>
      <c r="CT5" t="inlineStr">
        <is>
          <t>['3', '0001-01-01']行 ['11', '1990-12-31 00:00:00']列，源：4601fcc74c9fc089c275a28dc28fa7ef 备：835c2e3a4dc310df88f1668da4cf8ab4</t>
        </is>
      </c>
      <c r="CV5" t="inlineStr">
        <is>
          <t>['4', '9999-12-31 23:59:59.997']行 ['12', '1998-05-0523:59:59.997']列，源：790b685ddba643b3b927b659a0e679ba 备：65394b71d064d22da645116214f7e562</t>
        </is>
      </c>
      <c r="CW5" t="inlineStr">
        <is>
          <t>['5',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 '', '', '', '', '', '', '', '', '', '', '', '0.01', '0.01', '']列，源：ca65e23965cd27b2c92221f252fcbc2c 备：92cf643bd688274a2e7dd8463fbe0c0f</t>
        </is>
      </c>
      <c r="CY5" t="inlineStr">
        <is>
          <t>['6', '6', 'THISISACHARSTRIN', 'THISISACHARSTRINTHISISA']行 ['6', '6', 'THISISACHARSTRIN', '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THISISACHARSTRIN']列，源：fc8c04a74906c68dd3f02c9155248100 备：784cea9e3fd3d1430a26b3849ca1a5f0</t>
        </is>
      </c>
      <c r="CZ5" t="inlineStr">
        <is>
          <t>['3', '2000-05-01 23:59:59.993']行 ['3', '2000-05-0123:59:59.993']列，源：d2b53d33ef7f411afa1f5c2e02d16fc1 备：6d35565555436c3c848ba884a5f3ab09</t>
        </is>
      </c>
      <c r="DA5" t="inlineStr">
        <is>
          <t>['7', '1970-01-01']行 ['7', '1970-01-01 00:00:00']列，源：bb61a186c635829b41be7ca8b286402d 备：a15de1fe9e4c8bc16f66f0c7b8c0635f</t>
        </is>
      </c>
      <c r="DB5" t="inlineStr">
        <is>
          <t>['6', '2020-02-29 19:27:31.123']行 ['13', '1999-06-0623:59:59.997']列，源：b508aa13b2796caa994f13bde922fcb0 备：f65f121e6afd79c01ba62004ffb1ad9b</t>
        </is>
      </c>
      <c r="DC5" t="inlineStr">
        <is>
          <t>['5', '2026-04-17']行 ['3', '2026-04-17 00:00:00']列，源：cdf2a5ad84833f2e7c255f72c3fd4222 备：6c219c1213cb1dbbeafeff4d97a64d35</t>
        </is>
      </c>
      <c r="DE5" t="inlineStr">
        <is>
          <t>['4', '', '', '']行 ['12',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备：6c23997e3627b305d6513ef78349ce30</t>
        </is>
      </c>
      <c r="DF5"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H5"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K5" t="inlineStr">
        <is>
          <t>['4',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e82ae7840035ff9b184933d7a7e914eb 备：263116367a90948e2d0f40b9f0341300</t>
        </is>
      </c>
      <c r="DL5" t="inlineStr">
        <is>
          <t>['4', '0001-01-01 00:00:00', '0001-01-01 00:00:00', '0001-01-01 00:00:00', '0001-01-01 00:00:00', '0001-01-01 00:00:00', '0001-01-01 00:00:00', '0001-01-01 00:00:00', '0001-01-01 00:00:00']行 ['4', '0001-01-0100:00:00', '0001-01-0100:00:00.0', '0001-01-0100:00:00.00', '0001-01-0100:00:00.000', '0001-01-0100:00:00.0000', '0001-01-0100:00:00.00000', '0001-01-0100:00:00.000000', '0001-01-0100:00:00.0000000']列，源：69485a29c62325f3a984dc1a1848ba27 备：f0d99e817229c3587ffa73fc700c18e7</t>
        </is>
      </c>
      <c r="DM5" t="inlineStr">
        <is>
          <t>['4', '', '', '']行 ['3', '', '', '']列，源：7c4c838f7d8ad7ddd7d4f869b807ac77 备：0b6be33b0c5115aa8db935a501447fdb</t>
        </is>
      </c>
      <c r="DN5" t="inlineStr">
        <is>
          <t>['5', 'POLYGON-122.35847.653-122.34847.649-122.34847.658-122.35847.658-122.35847.653']行 ['5', 'POLYGON-122.35800000000000447.6529999999999987-122.34799999999999947.6490000000000009-122.34799999999999947.6580000000000013-122.35800000000000447.6580000000000013-122.35800000000000447.6529999999999987']列，源：95be8b5f52ac81cc957a0f6ef217a3b5 备：efaec24864edf0ba97922e1575b74a52</t>
        </is>
      </c>
      <c r="DO5" t="inlineStr">
        <is>
          <t>['4', '12:30:45', '12:30:45', '12:30:45', '12:30:45', '12:30:45', '12:30:45', '12:30:45', '12:30:45']行 ['12', '2026-04-19 23:59:59', '2026-04-19 23:59:59.1', '2026-04-19 23:59:59.12', '2026-04-19 23:59:59.123', '2026-04-19 23:59:59.1235', '2026-04-19 23:59:59.12346', '2026-04-19 23:59:59.123457', '2026-04-19 23:59:59.123456']列，源：af7bdf7ac883041436da298f53a28e6d 备：41093345a714145306cad8653dc21635</t>
        </is>
      </c>
      <c r="DP5" t="inlineStr">
        <is>
          <t>['4', '', '', '']行 ['124',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备：ad6e6b1ede537b5743ae2ee88fe862b3</t>
        </is>
      </c>
      <c r="DS5" t="inlineStr">
        <is>
          <t>['3', '2025-02-01 00:00:00', '2025-02-01 00:00:00', '2025-02-01 00:00:00', '2025-02-01 00:00:00', '2025-02-01 00:00:00', '2025-02-01 00:00:00', '2025-02-01 00:00:00', '2025-01-31 23:59:59.999999']行 ['3', '2025-02-0100:00:00', '2025-02-0100:00:00.0', '2025-02-0100:00:00.00', '2025-02-0100:00:00.000', '2025-02-0100:00:00.0000', '2025-02-0100:00:00.00000', '2025-02-0100:00:00.000000', '2025-01-3123:59:59.9999999']列，源：756a5e85f92db1a93872f989f4dde1f7 备：d063b204e4b876fd63b88713f8587d9e</t>
        </is>
      </c>
      <c r="DT5" t="inlineStr">
        <is>
          <t>['3', '', '', '', '', '', '', '', '', '', '', '', '', '', '', '', '', '', '', '']行 ['11', '200', '20000', '2000000000', '2000000000000000', '', '', '', '', '', '', '', '', '', '', '', '', '', '', '']列，源：3928921cf5611a846e657b0d459e50be 备：87354c9406ae2d83680d5225fe174d97</t>
        </is>
      </c>
      <c r="DV5" t="inlineStr">
        <is>
          <t>['4', '12:30:45', '12:30:45', '12:30:45', '12:30:45', '12:30:45', '12:30:45', '12:30:45', '12:30:45']行 ['11', '2026-04-19 12:30:45', '2026-04-19 12:30:45.1', '2026-04-19 12:30:45.12', '2026-04-19 12:30:45.123', '2026-04-19 12:30:45.1235', '2026-04-19 12:30:45.12346', '2026-04-19 12:30:45.123457', '2026-04-19 12:30:45.123456']列，源：af7bdf7ac883041436da298f53a28e6d 备：65b748c765c854123d60799f963bdbb5</t>
        </is>
      </c>
      <c r="DW5" t="inlineStr">
        <is>
          <t>['4', '', '', '']行 ['3', '', '', '']列，源：7c4c838f7d8ad7ddd7d4f869b807ac77 备：0b6be33b0c5115aa8db935a501447fdb</t>
        </is>
      </c>
      <c r="DX5" t="inlineStr">
        <is>
          <t>['3', '18:10:06', '18:10:06.1', '18:10:06.12', '18:10:06.123', '18:10:06.1235', '18:10:06.12346', '18:10:06.123457', '18:10:06.123456']行 ['11', '2026-04-19 18:10:06', '2026-04-19 18:10:06.1', '2026-04-19 18:10:06.12', '2026-04-19 18:10:06.123', '2026-04-19 18:10:06.1235', '2026-04-19 18:10:06.12346', '2026-04-19 18:10:06.123457', '2026-04-19 18:10:06.123456']列，源：1edf47c35142ccba7ce9eec6f3e4383f 备：0c012de58d4cef0db568e11bef6d79be</t>
        </is>
      </c>
      <c r="DZ5" t="inlineStr">
        <is>
          <t>['3', '23:59:59', '23:59:59.9', '23:59:59.99', '23:59:59.999', '23:59:59.9999', '23:59:59.99999', '23:59:59.999999', '23:59:59.999999']行 ['11', '2026-04-19 12:30:45', '2026-04-19 12:30:45.1', '2026-04-19 12:30:45.12', '2026-04-19 12:30:45.123', '2026-04-19 12:30:45.1235', '2026-04-19 12:30:45.12346', '2026-04-19 12:30:45.123457', '2026-04-19 12:30:45.123456']列，源：905f390cf0bc4e59c64bf30087398228 备：65b748c765c854123d60799f963bdbb5</t>
        </is>
      </c>
      <c r="EB5" t="inlineStr">
        <is>
          <t>['3', '', '', '', '', '', '', '', '', '', '', '', '', '', '', '', '', '', '', '']行 ['101', '', '', '', '', '-999999999999999999', '-100000000000000000000000000000000000000', '-1', '-10000000000000000000000000000', '-999999999999999.9999', '-999999999999999999', '-100000000000000000000000000000000000000', '-1', '-10000000000000000000000000000', '-9999999999999999.99', '', '', '', '', '']列，源：3928921cf5611a846e657b0d459e50be 备：ac209e72467ea8a50b415f3f384f7d17</t>
        </is>
      </c>
      <c r="EE5" t="inlineStr">
        <is>
          <t>['9', '12:30:45', '12:30:45.1', '12:30:45.12', '12:30:45.123', '12:30:45.1235', '12:30:45.12345', '12:30:45.12345', '12:30:45.12345']行 ['12', '2026-04-19 23:59:59', '2026-04-19 23:59:59.1', '2026-04-19 23:59:59.12', '2026-04-19 23:59:59.123', '2026-04-19 23:59:59.1235', '2026-04-19 23:59:59.12346', '2026-04-19 23:59:59.123457', '2026-04-19 23:59:59.123456']列，源：3eefe787ab488b15ac760bc60a6e6fde 备：41093345a714145306cad8653dc21635</t>
        </is>
      </c>
      <c r="EF5" t="inlineStr">
        <is>
          <t>['9', '12:30:45', '12:30:45.1', '12:30:45.12', '12:30:45.123', '12:30:45.1235', '12:30:45.12345', '12:30:45.12345', '12:30:45.12345']行 ['12', '2026-04-19 23:59:59', '2026-04-19 23:59:59.1', '2026-04-19 23:59:59.12', '2026-04-19 23:59:59.123', '2026-04-19 23:59:59.1235', '2026-04-19 23:59:59.12346', '2026-04-19 23:59:59.123457', '2026-04-19 23:59:59.123456']列，源：3eefe787ab488b15ac760bc60a6e6fde 备：41093345a714145306cad8653dc21635</t>
        </is>
      </c>
      <c r="EG5" t="inlineStr">
        <is>
          <t>['4', '2079-06-06 23:59:00']行 ['12', '1990-11-2600:01:00']列，源：a8fd36861b3c5e2223d79720c578b109 备：c732fe18d9e6b66f1fd51af875bfd787</t>
        </is>
      </c>
      <c r="EH5" t="inlineStr">
        <is>
          <t>['4', '2079-06-06 23:59:00']行 ['12', '1990-11-2600:01:00']列，源：a8fd36861b3c5e2223d79720c578b109 备：c732fe18d9e6b66f1fd51af875bfd787</t>
        </is>
      </c>
      <c r="EI5" t="inlineStr">
        <is>
          <t>['3', '', '', '', '', '', '', '', '', '', '', '', '', '', '', '', '', '', '', '']行 ['101', '', '', '', '', '-999999999999999999', '-100000000000000000000000000000000000000', '-1', '-10000000000000000000000000000', '-999999999999999.9999', '-999999999999999999', '-100000000000000000000000000000000000000', '-1', '-10000000000000000000000000000', '-9999999999999999.99', '', '', '', '', '']列，源：3928921cf5611a846e657b0d459e50be 备：ac209e72467ea8a50b415f3f384f7d17</t>
        </is>
      </c>
      <c r="EJ5" t="inlineStr">
        <is>
          <t>['3', '', '', '', '', '', '', '', '', '', '', '', '', '', '', '', '', '', '', '']行 ['11', '200', '20000', '2000000000', '2000000000000000', '', '', '', '', '', '', '', '', '', '', '', '', '', '', '']列，源：3928921cf5611a846e657b0d459e50be 备：87354c9406ae2d83680d5225fe174d97</t>
        </is>
      </c>
      <c r="EK5" t="inlineStr">
        <is>
          <t>['4', '', '', '']行 ['104',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备：3ebea56693c97ff80f7fb4b507fcb8e6</t>
        </is>
      </c>
      <c r="EL5" t="inlineStr">
        <is>
          <t>['4', '0001-01-0100:00:00+00:00', '0001-01-0100:00:00.0+00:00', '0001-01-0100:00:00.00+00:00', '0001-01-0100:00:00.000+00:00', '0001-01-0100:00:00.0000+00:00', '0001-01-0100:00:00.00000+00:00', '0001-01-0100:00:00.000000+00:00', '0001-01-0100:00:00.0000000+00:00']行 ['12', '2025-05-1200:00:00-14:00', '2025-05-1200:00:00.0-14:00', '2025-05-1200:00:00.00-14:00', '2025-05-1200:00:00.000-14:00', '2025-05-1200:00:00.0000-14:00', '2025-05-1200:00:00.00000-14:00', '2025-05-1200:00:00.000000-14:00', '2025-05-1123:59:59.9999999-14:00']列，源：4a48b7d61029c98b539430ef104a9ec1 备：62ddc8cbf63642db045e45819e8ebb70</t>
        </is>
      </c>
      <c r="EM5" t="inlineStr">
        <is>
          <t>['4', '2079-06-06 23:59:00']行 ['12', '1990-11-2600:01:00']列，源：a8fd36861b3c5e2223d79720c578b109 备：c732fe18d9e6b66f1fd51af875bfd787</t>
        </is>
      </c>
    </row>
    <row r="6">
      <c r="A6" t="inlineStr">
        <is>
          <t>info_datetimeoffset_dml_single_pk_urp</t>
        </is>
      </c>
      <c r="K6" t="inlineStr">
        <is>
          <t>[0;34m info_datetimeoffset_dml_single_pk_urp [0m源备字段数相同，源端字段：9 	备端字段9</t>
        </is>
      </c>
      <c r="W6" t="inlineStr">
        <is>
          <t>YES 源备无差异</t>
        </is>
      </c>
      <c r="X6">
        <f>A6</f>
        <v/>
      </c>
      <c r="Y6" t="inlineStr">
        <is>
          <t>['5', '2026-04-17 17:16:00']行 ['13', '2025-05-1112:00:00']列，源：37f1b2c352c9c06a946fb10b0648a94a 备：7435f692fc0a263fc1078a0b722c4b10</t>
        </is>
      </c>
      <c r="Z6" t="inlineStr">
        <is>
          <t>['4', '2026-04-17 17:16:00']行 ['12', '2026-04-1717:16:00']列，源：b71d5e28ca4f3b23b1a5616c30f362c0 备：180c5e63eae835f72368526d2b067e0c</t>
        </is>
      </c>
      <c r="AA6" t="inlineStr">
        <is>
          <t>['4', '2079-06-06 23:59:00']行 ['12', '1981-05-1114:31:00']列，源：a8fd36861b3c5e2223d79720c578b109 备：bf438de7f37489bcbb77da053236975e</t>
        </is>
      </c>
      <c r="AB6"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AC6"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AD6" t="inlineStr">
        <is>
          <t>['13', '1971-05-1100:00:00+14:00', '1971-05-1100:00:00.0+14:00', '1971-05-1100:00:00.00+14:00', '1971-05-1100:00:00.000+14:00', '1971-05-1100:00:00.0000+14:00', '1971-05-1100:00:00.00000+14:00', '1971-05-1100:00:00.000000+14:00', '1971-05-1100:00:00.0000001+14:00']行 ['5', '9999-12-3123:59:59+00:00', '9999-12-3123:59:59.9+00:00', '9999-12-3123:59:59.99+00:00', '9999-12-3123:59:59.999+00:00', '9999-12-3123:59:59.9999+00:00', '9999-12-3123:59:59.99999+00:00', '9999-12-3123:59:59.999999+00:00', '9999-12-3123:59:59.9999999+00:00']列，源：dc344ffcaa3e3c2a77034f12a4753488 备：e9913af2ede92ca2dee8e158b5f6391f</t>
        </is>
      </c>
      <c r="AF6" t="inlineStr">
        <is>
          <t>['10', '2079-06-05 23:59:00']行 ['6', '2020-03-0100:00:00']列，源：b488192595cccf78b07d6e771e28a6e2 备：41de459b8773593bb76d513eb095eeff</t>
        </is>
      </c>
      <c r="AH6" t="inlineStr">
        <is>
          <t>['5', '100', '0', '123456', '1000000', '', '', '', '', '-888888.22', '', '', '', '', '', '0', '0', '203685477.5808', '', '0']行 ['13', '100', '', '123456', '1000000', '', '-123456780123456781234589012300000', '-0.4567890123479234567890145679', '-123456789012347890345678.9874', '-888888.22', '-321', '-987654321096543210987654321100000000', '-0.1234569012345671234567890123', '-6543210976543287654321.098765', '-9876543210954.32', '0', '0', '203685477.5808', '', '0']列，源：216f8a1afcf2f0353c14b553ff487a27 备：91028af66953dc7fc7007bd8bbebd2a0</t>
        </is>
      </c>
      <c r="AJ6" t="inlineStr">
        <is>
          <t>['5', '2026-04-17 17:16:23.09']行 ['13', '1999-06-0623:59:59.997']列，源：01b081fd796a6e69cb0537cb1915f23f 备：f65f121e6afd79c01ba62004ffb1ad9b</t>
        </is>
      </c>
      <c r="AK6"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AL6" t="inlineStr">
        <is>
          <t>['5', '2026-04-17 17:16:25.287']行 ['121', '2023-05-1100:00:00.123']列，源：e804468f8278f17f01d2e7209d64142e 备：ba8e8b7e46461a1752d5488eb5990a32</t>
        </is>
      </c>
      <c r="AM6" t="inlineStr">
        <is>
          <t>['5', '2026-04-17 17:16:32.183']行 ['13', '1999-06-0623:59:59.997']列，源：b7d6e33fb403363cf482360b25bffa56 备：f65f121e6afd79c01ba62004ffb1ad9b</t>
        </is>
      </c>
      <c r="AN6" t="inlineStr">
        <is>
          <t>['5', '100', '0', '0', '0', '99999', '', '', '', '-11111.34', '', '', '', '', '', '123.456789', '0', '203685477.5808', '', '1']行 ['13', '100', '', '123456', '1000000', '', '-123456780123456781234589012300000', '-0.4567890123479234567890145679', '-123456789012347890345678.9874', '-888888.22', '-321', '-987654321096543210987654321100000000', '-0.1234569012345671234567890123', '-6543210976543287654321.098765', '-9876543210954.32', '0', '0', '203685477.5808', '', '0']列，源：68fffadfc97212a451e47a43a9d5ab43 备：91028af66953dc7fc7007bd8bbebd2a0</t>
        </is>
      </c>
      <c r="AO6" t="inlineStr">
        <is>
          <t>['5', '2026-04-17 17:16:32.183']行 ['107', '2000-05-1114:30:29.000']列，源：b7d6e33fb403363cf482360b25bffa56 备：8c8c81335b69696a1efe7d670435908f</t>
        </is>
      </c>
      <c r="AP6" t="inlineStr">
        <is>
          <t>['4', '9999-12-31 23:59:59.997']行 ['12', '9999-12-3123:59:59.997']列，源：790b685ddba643b3b927b659a0e679ba 备：30317ce391c0583e400842ccccf92006</t>
        </is>
      </c>
      <c r="AQ6" t="inlineStr">
        <is>
          <t>['5',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行 ['4', '', '', '']列，源：c4b5ac15ce607fb040c6a88b184f47bb 备：7c4c838f7d8ad7ddd7d4f869b807ac77</t>
        </is>
      </c>
      <c r="AR6" t="inlineStr">
        <is>
          <t>['4', '1753-01-01 00:00:00']行 ['12', '1998-05-0523:59:59.997']列，源：ab2fca6f80d3e94d8972c9c914d9a22e 备：65394b71d064d22da645116214f7e562</t>
        </is>
      </c>
      <c r="AT6" t="inlineStr">
        <is>
          <t>['16', '2002-06-11 23:59:59.993']行 ['18', '2004-12-2423:59:59.990']列，源：2f663f1de514e71a572978e479f4bcf8 备：f42b752525aabf0bcdf23e82a8a8608c</t>
        </is>
      </c>
      <c r="AU6" t="inlineStr">
        <is>
          <t>['11', '2020-02-29 19:27:31.123']行 ['9', '2020-02-2919:27:31.123']列，源：85840c0f3276b6ae632957e1bb2a6c58 备：6f0f1b76df068283b2a744d599b5f6bf</t>
        </is>
      </c>
      <c r="AV6"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AW6"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AX6" t="inlineStr">
        <is>
          <t>['5', '2026-04-17']行 ['3', '0001-01-01 00:00:00']列，源：cdf2a5ad84833f2e7c255f72c3fd4222 备：fadb3754d1a5a0d09eeb5a8a5472077a</t>
        </is>
      </c>
      <c r="AY6"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AZ6" t="inlineStr">
        <is>
          <t>['5', '9999-12-31 23:59:59', '9999-12-31 23:59:59.9', '9999-12-31 23:59:59.99', '9999-12-31 23:59:59.999', '9999-12-31 23:59:59.9999', '9999-12-31 23:59:59.99999', '9999-12-31 23:59:59.999999', '9999-12-31 23:59:59.999999']行 ['127', '2065-05-1114:30:45', '2065-05-1114:30:45.1', '2065-05-1114:30:45.12', '2065-05-1114:30:45.123', '2065-05-1114:30:45.1235', '2065-05-1114:30:45.12346', '2065-05-1114:30:45.123457', '2065-05-1114:30:45.1234567']列，源：fbf4e7404a9e00eefd86899594981720 备：1c263ec278c2d554d249438ee4eebd8d</t>
        </is>
      </c>
      <c r="BA6" t="inlineStr">
        <is>
          <t>['13', '', '', '', '', '-457', '-123456780123456781234589012300000', '-0.4567890123479234567890145679', '-123456789012347890345678.9874', '-98743298765.4321', '-321', '-987654321096543210987654321100000000', '-0.1234569012345671234567890123', '-6543210976543287654321.098765', '-9876543210954.32', '', '', '', '', '']行 ['14', '', '', '', '', '1000000000000000', '100000000000000000000000000000000', '1', '9999999999999999999999.999999', '999999999999.999', '100000000000000', '999999999999999999999', '0.999999999999999999999999999', '999999999999999999999.999999', '9999999999.99', '', '', '', '', '']列，源：a44b5811c634b93da05bdec7da53ebf7 备：b197c452aea238e9c6c5e0c19446e315</t>
        </is>
      </c>
      <c r="BB6" t="inlineStr">
        <is>
          <t>['5',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备：93a836a020252b5c4541d8e6afd2f7f1</t>
        </is>
      </c>
      <c r="BC6" t="inlineStr">
        <is>
          <t>['5', '9999-12-31 23:59:59', '9999-12-31 23:59:59.9', '9999-12-31 23:59:59.99', '9999-12-31 23:59:59.999', '9999-12-31 23:59:59.9999', '9999-12-31 23:59:59.99999', '9999-12-31 23:59:59.999999', '9999-12-31 23:59:59.999999']行 ['107', '2065-05-1114:30:45', '2065-05-1114:30:45.1', '2065-05-1114:30:45.12', '2065-05-1114:30:45.123', '2065-05-1114:30:45.1235', '2065-05-1114:30:45.12346', '2065-05-1114:30:45.123457', '2065-05-1114:30:45.1234567']列，源：fbf4e7404a9e00eefd86899594981720 备：130b60b1ede7c7ac7a516c3b8ce09da4</t>
        </is>
      </c>
      <c r="BD6" t="inlineStr">
        <is>
          <t>['6', '127', '0', '0', '0', '', '', '', '', '', '', '', '', '', '', '', '', '', '', '']行 ['13', '', '', '', '', '-457', '-123456780123456781234589012300000', '-0.4567890123479234567890145679', '-123456789012347890345678.9874', '-98743298765.4321', '-321', '-987654321096543210987654321100000000', '-0.1234569012345671234567890123', '-6543210976543287654321.098765', '-9876543210954.32', '', '', '', '', '']列，源：f293b4400b160d9dbdc652e472679876 备：a44b5811c634b93da05bdec7da53ebf7</t>
        </is>
      </c>
      <c r="BF6"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G6" t="inlineStr">
        <is>
          <t>['5',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 '', '', '']列，源：3655124e6fc1080cb076d34f1bcad784 备：4d8dcc58473bca7d755328caf6d901a9</t>
        </is>
      </c>
      <c r="BH6" t="inlineStr">
        <is>
          <t>['4', '0001-01-01']行 ['4', '0001-01-01 00:00:00']列，源：58fe0e9c9c6249a2f834c9813ccefb04 备：d845a47fc85e56fe16bd6d588e51d0c4</t>
        </is>
      </c>
      <c r="BI6" t="inlineStr">
        <is>
          <t>['4', '2046-05-11 14:30:45', '2046-05-11 14:30:45.1', '2046-05-11 14:30:45.12', '2046-05-11 14:30:45.123', '2046-05-11 14:30:45.1235', '2046-05-11 14:30:45.12346', '2046-05-11 14:30:45.123457', '2046-05-11 14:30:45.123456']行 ['4', '2046-05-1114:30:45', '2046-05-1114:30:45.1', '2046-05-1114:30:45.12', '2046-05-1114:30:45.123', '2046-05-1114:30:45.1235', '2046-05-1114:30:45.12346', '2046-05-1114:30:45.123457', '2046-05-1114:30:45.1234567']列，源：a4579b1d6e558f945ed6d9e20fed8846 备：d4898db7c28890e9cf9919b008841978</t>
        </is>
      </c>
      <c r="BJ6"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BK6" t="inlineStr">
        <is>
          <t>['5', 'A', 'VARIABLELENGTHBINA', 'TESTTESTTESTTESTTESTTESTTESTTESTTESTTESTTESTTESTTESTTESTTESTTESTTESTTESTTESTTESTTESTTESTTESTTESTTESTTESTTESTTESTTESTTESTTESTTESTTESTTESTTESTTESTTESTTESTTESTTESTTESTTESTTESTTESTTESTTESTTESTTESTTESTTEST']行 ['125',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备：98817648ea508b52bc0dee04970b1f87</t>
        </is>
      </c>
      <c r="BM6" t="inlineStr">
        <is>
          <t>['5',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行 ['4', '', '', '']列，源：c4b5ac15ce607fb040c6a88b184f47bb 备：7c4c838f7d8ad7ddd7d4f869b807ac77</t>
        </is>
      </c>
      <c r="BO6" t="inlineStr">
        <is>
          <t>['5',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备：93a836a020252b5c4541d8e6afd2f7f1</t>
        </is>
      </c>
      <c r="BP6" t="inlineStr">
        <is>
          <t>['9', '9999-12-30']行 ['9', '9999-12-30 00:00:00']列，源：56921de31c060ab6c2381ca1ee0843bc 备：9984c1d9358c3ef40f8e1c3abd41d70e</t>
        </is>
      </c>
      <c r="BQ6"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BS6" t="inlineStr">
        <is>
          <t>['5', '9999-12-3123:59:59+00:00', '9999-12-3123:59:59.9+00:00', '9999-12-3123:59:59.99+00:00', '9999-12-3123:59:59.999+00:00', '9999-12-3123:59:59.9999+00:00', '9999-12-3123:59:59.99999+00:00', '9999-12-3123:59:59.999999+00:00', '9999-12-3123:59:59.9999999+00:00']行 ['122', '1900-01-0100:00:00+00:00', '1900-01-0100:00:00.0+00:00', '1900-01-0100:00:00.00+00:00', '1900-01-0100:00:00.000+00:00', '1900-01-0100:00:00.0000+00:00', '1900-01-0100:00:00.00000+00:00', '1900-01-0100:00:00.000000+00:00', '1900-01-0100:00:00.0000000+00:00']列，源：e9913af2ede92ca2dee8e158b5f6391f 备：c9f3768afc301d10820216efad8240d4</t>
        </is>
      </c>
      <c r="BT6" t="inlineStr">
        <is>
          <t>['4', '€', 'TOOLONG英255VAL方&amp;', 'TOOLONG英255VAL方&amp;TOOLONG英255V']行 ['4',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60ec459c905cb7ac93b8dce2eb257b6b 备：a635a232d91170088c322041defaa626</t>
        </is>
      </c>
      <c r="BU6"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BV6" t="inlineStr">
        <is>
          <t>['5', 'A', 'VARIABLELENGTHBINA', 'TESTTESTTESTTESTTESTTESTTESTTESTTESTTESTTESTTESTTESTTESTTESTTESTTESTTESTTESTTESTTESTTESTTESTTESTTESTTESTTESTTESTTESTTESTTESTTESTTESTTESTTESTTESTTESTTESTTESTTESTTESTTESTTESTTESTTESTTESTTESTTESTTESTTEST']行 ['105',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备：740b6b94d5ac7caf940aba29669db329</t>
        </is>
      </c>
      <c r="BW6" t="inlineStr">
        <is>
          <t>['5', '9999-12-3123:59:59+00:00', '9999-12-3123:59:59.9+00:00', '9999-12-3123:59:59.99+00:00', '9999-12-3123:59:59.999+00:00', '9999-12-3123:59:59.9999+00:00', '9999-12-3123:59:59.99999+00:00', '9999-12-3123:59:59.999999+00:00', '9999-12-3123:59:59.9999999+00:00']行 ['104', '0001-01-0100:00:00+00:00', '0001-01-0100:00:00.0+00:00', '0001-01-0100:00:00.00+00:00', '0001-01-0100:00:00.000+00:00', '0001-01-0100:00:00.0000+00:00', '0001-01-0100:00:00.00000+00:00', '0001-01-0100:00:00.000000+00:00', '0001-01-0100:00:00.0000000+00:00']列，源：e9913af2ede92ca2dee8e158b5f6391f 备：a93678e702bc326acd38debfc912d4fc</t>
        </is>
      </c>
      <c r="BX6" t="inlineStr">
        <is>
          <t>['6', '*', '!@#%^&amp;+:&lt;&gt;?;\\N', '!@#%^&amp;*+:&lt;&gt;?;\\N!@#%^&amp;*']行 ['6',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14dd033897ec43edff9f743f7eee2eef 备：7af010c6c39b030d1253a96e387dbec9</t>
        </is>
      </c>
      <c r="BY6" t="inlineStr">
        <is>
          <t>['5', '1971-05-1100:00:00+14:00', '', '1971-05-1100:00:00.00+14:00', '', '1971-05-1100:00:00.0000+14:00', '', '1971-05-1100:00:00.000000+14:00', '']行 ['13', '1971-05-1100:00:00+14:00', '', '1971-05-1100:00:00.00+14:00', '', '1971-05-1100:00:00.0000+14:00', '', '1971-05-1100:00:00.000000+14:00', '']列，源：b30e7c7003b5e578c1876e16480a04e6 备：f450bdc269af4020368076bbd443785e</t>
        </is>
      </c>
      <c r="BZ6" t="inlineStr">
        <is>
          <t>['5', '12:30:45', '12:30:45.1', '12:30:45.1', '12:30:45.1', '12:30:45.1', '12:30:45.1', '12:30:45.1', '12:30:45.1']行 ['13', '', '2026-04-19 00:00:01.1', '', '2026-04-19 00:00:01.123', '', '2026-04-19 00:00:01.12346', '', '2026-04-19 00:00:01.123456']列，源：32bf3f90e6d14a212ba94a88c8392de0 备：38e0cb193eb10f0bdac4a4f253d8c63d</t>
        </is>
      </c>
      <c r="CA6" t="inlineStr">
        <is>
          <t>['5', '2063-03-1202:00:00-04:25', '2063-03-1202:00:00.0-04:25', '2063-03-1202:00:00.00-04:25', '2063-03-1202:00:00.000-04:25', '2063-03-1202:00:00.0000-04:25', '2063-03-1202:00:00.00000-04:25', '2063-03-1202:00:00.000000-04:25', '2063-03-1202:00:00.0000000-04:25']行 ['13', '2025-05-1200:00:00-14:00', '2025-05-1200:00:00.0-14:00', '2025-05-1200:00:00.00-14:00', '2025-05-1200:00:00.000-14:00', '2025-05-1200:00:00.0000-14:00', '2025-05-1200:00:00.00000-14:00', '2025-05-1200:00:00.000000-14:00', '2025-05-1123:59:59.9999999-14:00']列，源：737aff85650ab66f84f0ee972a826ca1 备：5ad0d1538fb983aeeb4b340685a28f66</t>
        </is>
      </c>
      <c r="CB6" t="inlineStr">
        <is>
          <t>['5', '2026-04-17']行 ['123', '0001-01-01 00:00:00']列，源：cdf2a5ad84833f2e7c255f72c3fd4222 备：3c14c7f4bb2ad1700689c406c613f852</t>
        </is>
      </c>
      <c r="CD6" t="inlineStr">
        <is>
          <t>['5', '2026-04-17']行 ['3', '0001-01-01 00:00:00']列，源：cdf2a5ad84833f2e7c255f72c3fd4222 备：fadb3754d1a5a0d09eeb5a8a5472077a</t>
        </is>
      </c>
      <c r="CE6" t="inlineStr">
        <is>
          <t>['5', '12:00:00', '05:44:11.1', '12:00:00.12', '05:44:11.123', '12:00:00.1235', '05:44:11.12346', '12:00:00.123457', '05:44:11.123456']行 ['5', '2026-04-19 12:00:00', '2026-04-19 05:44:11.1', '2026-04-19 12:00:00.12', '2026-04-19 05:44:11.123', '2026-04-19 12:00:00.1235', '2026-04-19 05:44:11.12346', '2026-04-19 12:00:00.123457', '2026-04-19 05:44:11.123456']列，源：aec1712567ed8caf08183c3ae916894b 备：c79e6c852eaf723065f9e3978ef2b6a9</t>
        </is>
      </c>
      <c r="CF6" t="inlineStr">
        <is>
          <t>['4', 'X', 'THISISATESTSTRIN', 'CASECASECASECASECASECASECASECASECASECASECASECASECASECASECASECASECASECASECASECASECASECASECASECASECASECASECASECASECASECASECASECASECASECASECASECASECASECASECASECASECASECASECASECASECASECASECASECASECASECASE']行 ['3',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678c29bc50d056bfa1f1109107096582 备：34024772421508410b58f3d893893cc8</t>
        </is>
      </c>
      <c r="CG6" t="inlineStr">
        <is>
          <t>['6', '12:30:45', '12:30:45.1', '12:30:45.12', '12:30:45.12', '12:30:45.12', '12:30:45.12', '12:30:45.12', '12:30:45.12']行 ['4', '2026-04-19 12:30:45', '2026-04-19 12:30:45', '2026-04-19 12:30:45', '2026-04-19 12:30:45', '2026-04-19 12:30:45', '2026-04-19 12:30:45', '2026-04-19 12:30:45', '2026-04-19 12:30:45']列，源：55927b5628640a770e2624c07161d177 备：f0e35773e06e59e836bbc9d40fa5feed</t>
        </is>
      </c>
      <c r="CH6" t="inlineStr">
        <is>
          <t>['5', '2026-04-17']行 ['106', '2020-02-29 00:00:00']列，源：cdf2a5ad84833f2e7c255f72c3fd4222 备：67a0fc6e417576546b50b5ef14e92876</t>
        </is>
      </c>
      <c r="CI6" t="inlineStr">
        <is>
          <t>['4', '', '', '']行 ['3',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c838f7d8ad7ddd7d4f869b807ac77 备：34024772421508410b58f3d893893cc8</t>
        </is>
      </c>
      <c r="CK6" t="inlineStr">
        <is>
          <t>['4', '', '', '', '', '', '', '', '', '', '', '', '', '', '', '', '', '', '', '']行 ['12', '', '', '', '', '', '', '', '', '', '', '', '', '', '', '', '', '0.01', '0.01', '']列，源：9884ede22802278acf6587e72be391c2 备：92cf643bd688274a2e7dd8463fbe0c0f</t>
        </is>
      </c>
      <c r="CL6" t="inlineStr">
        <is>
          <t>['5', '2026-04-17 16:52:00']行 ['13', '2025-05-1112:00:00']列，源：357040870f96ec68a83e150aba9bdbbb 备：7435f692fc0a263fc1078a0b722c4b10</t>
        </is>
      </c>
      <c r="CM6" t="inlineStr">
        <is>
          <t>['4', '1981-05-11 14:31:00']行 ['4', '1981-05-1114:31:00']列，源：ca4f6237d1a7be22c52de78e925ccc2b 备：29309a6b291daeebc01be81be6d63aba</t>
        </is>
      </c>
      <c r="CN6" t="inlineStr">
        <is>
          <t>['10', '2079-06-05 23:59:00']行 ['4', '2079-06-0623:59:00']列，源：b488192595cccf78b07d6e771e28a6e2 备：a6d75d1a66b9d20659c081896ddd30ba</t>
        </is>
      </c>
      <c r="CS6" t="inlineStr">
        <is>
          <t>['4', '2026-04-17']行 ['2', '2026-04-17 00:00:00']列，源：903551d8c7a6a8acf4758abdd063e922 备：ab18c6f31084028d596ab27c20fcd17e</t>
        </is>
      </c>
      <c r="CT6" t="inlineStr">
        <is>
          <t>['4', '9999-12-31']行 ['2', '2068-06-01 00:00:00']列，源：e0244b7a7bbdb3b7eafc538da734e23b 备：82e34a0400963c9b6a36b2573a687bce</t>
        </is>
      </c>
      <c r="CV6" t="inlineStr">
        <is>
          <t>['5', '2026-04-17 16:53:49.21']行 ['13', '1999-06-0623:59:59.997']列，源：54c7315e22825288125d456001971caf 备：f65f121e6afd79c01ba62004ffb1ad9b</t>
        </is>
      </c>
      <c r="CW6" t="inlineStr">
        <is>
          <t>['7', '', '', '', '', '', '', '-0.00000000000000000000000000000000000001', '', '', '', '', '', '', '', '', '', '', '', '']行 ['13', '', '', '', '', '', '', '', '', '', '', '', '', '', '', '', '', '1', '5.99', '']列，源：e15db39702c3b7aaab8f43796250abd1 备：42117c21b1ce8edfe0ad637c9ac1548a</t>
        </is>
      </c>
      <c r="CY6" t="inlineStr">
        <is>
          <t>['7', '*', '!@#%^&amp;+:&lt;&gt;?;\\N', '!@#%^&amp;*+:&lt;&gt;?;\\N!@#%^&amp;*']行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9a281f7726689e32809b7a2a34070cf4 备：cabc937cc716fca256f404abe4dc842b</t>
        </is>
      </c>
      <c r="CZ6" t="inlineStr">
        <is>
          <t>['4', '1753-01-02 00:00:00']行 ['4', '1753-01-0200:00:00.000']列，源：9d7ebdfcbd52b765046765b81c4f3151 备：ff9d9d460b952309943a7427a964342f</t>
        </is>
      </c>
      <c r="DB6" t="inlineStr">
        <is>
          <t>['7', '2000-05-11 14:30:29']行 ['15', '2001-04-0923:59:59.993']列，源：2e1088644583c54f021ba6fbbd0145b2 备：72c850940e18c1fefbfcc8955f523a0b</t>
        </is>
      </c>
      <c r="DC6" t="inlineStr">
        <is>
          <t>['7', '2026-04-17']行 ['5', '2026-04-17 00:00:00']列，源：a15e44c54ee75f4b616bb02b812780b6 备：a9d6f923ef723efde238d2495d243d08</t>
        </is>
      </c>
      <c r="DE6" t="inlineStr">
        <is>
          <t>['5',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列，源：7873232ed9f81e08021c82f7d5c5a8b6 备：b4ae627d04aec926d728cda8c94c5c70</t>
        </is>
      </c>
      <c r="DF6" t="inlineStr">
        <is>
          <t>['5', '12:30:45', '12:30:45.1', '12:30:45.1', '12:30:45.1', '12:30:45.1', '12:30:45.1', '12:30:45.1', '12:30:45.1']行 ['13', '', '2026-04-19 00:00:01.1', '', '2026-04-19 00:00:01.123', '', '2026-04-19 00:00:01.12346', '', '2026-04-19 00:00:01.123456']列，源：32bf3f90e6d14a212ba94a88c8392de0 备：38e0cb193eb10f0bdac4a4f253d8c63d</t>
        </is>
      </c>
      <c r="DH6" t="inlineStr">
        <is>
          <t>['5', '12:30:45', '12:30:45.1', '12:30:45.1', '12:30:45.1', '12:30:45.1', '12:30:45.1', '12:30:45.1', '12:30:45.1']行 ['129', '2026-04-19 12:30:45', '2026-04-19 12:30:45.1', '2026-04-19 12:30:45.12', '2026-04-19 12:30:45.123', '2026-04-19 12:30:45.1235', '2026-04-19 12:30:45.12345', '2026-04-19 12:30:45.12345', '2026-04-19 12:30:45.12345']列，源：32bf3f90e6d14a212ba94a88c8392de0 备：35ff3b5c0317a1888c721be96a275dfc</t>
        </is>
      </c>
      <c r="DK6" t="inlineStr">
        <is>
          <t>['5',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 '', '', '']列，源：3655124e6fc1080cb076d34f1bcad784 备：4d8dcc58473bca7d755328caf6d901a9</t>
        </is>
      </c>
      <c r="DL6" t="inlineStr">
        <is>
          <t>['5',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'9999-12-3123:59:59.9999999']列，源：fbf4e7404a9e00eefd86899594981720 备：8473e1310886de44e542ee71af3d2919</t>
        </is>
      </c>
      <c r="DM6"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DN6" t="inlineStr">
        <is>
          <t>['6', 'COMPOUNDCURVECIRCULARSTRING-0.127851.5074-0.124351.5064-0.121851.5079-0.121851.5079-0.119351.5094-0.116851.5109CIRCULARSTRING-0.116851.5109-0.114351.5114-0.111851.5109']行 ['6', 'COMPOUNDCURVECIRCULARSTRING-0.12779999999999999751.507399999999997-0.12429999999999999451.5063999999999993-0.12180000000000000551.5078999999999994-0.12180000000000000551.5078999999999994-0.11930000000000000351.5093999999999994-0.11680000000000000151.5108999999999995CIRCULARSTRING-0.11680000000000000151.5108999999999995-0.11429999999999999951.5114000000000019-0.11179999999999999751.5108999999999995']列，源：41428a5e3d5b48a04f80356370727a93 备：770f03aa8e65e57a703c204d5de232b3</t>
        </is>
      </c>
      <c r="DO6" t="inlineStr">
        <is>
          <t>['5', '12:30:45', '12:30:45.1', '12:30:45.1', '12:30:45.1', '12:30:45.1', '12:30:45.1', '12:30:45.1', '12:30:45.1']行 ['13', '', '2026-04-19 00:00:01.1', '', '2026-04-19 00:00:01.123', '', '2026-04-19 00:00:01.12346', '', '2026-04-19 00:00:01.123456']列，源：32bf3f90e6d14a212ba94a88c8392de0 备：38e0cb193eb10f0bdac4a4f253d8c63d</t>
        </is>
      </c>
      <c r="DP6" t="inlineStr">
        <is>
          <t>['5', 'A', 'VARIABLELENGTHBINA', 'TESTTESTTESTTESTTESTTESTTESTTESTTESTTESTTESTTESTTESTTESTTESTTESTTESTTESTTESTTESTTESTTESTTESTTESTTESTTESTTESTTESTTESTTESTTESTTESTTESTTESTTESTTESTTESTTESTTESTTESTTESTTESTTESTTESTTESTTESTTESTTESTTESTTEST']行 ['125',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备：98817648ea508b52bc0dee04970b1f87</t>
        </is>
      </c>
      <c r="DS6" t="inlineStr">
        <is>
          <t>['4', '0001-01-02 00:00:00', '0001-01-02 00:00:00', '0001-01-02 00:00:00', '0001-01-02 00:00:00', '0001-01-02 00:00:00', '0001-01-02 00:00:00', '0001-01-02 00:00:00', '0001-01-02 00:00:00']行 ['4', '0001-01-0200:00:00', '0001-01-0200:00:00.0', '0001-01-0200:00:00.00', '0001-01-0200:00:00.000', '0001-01-0200:00:00.0000', '0001-01-0200:00:00.00000', '0001-01-0200:00:00.000000', '0001-01-0200:00:00.0000000']列，源：3fd0aa40cfc9e206c8e7b14a1e2a3004 备：f9a21b5170b24a1723aed646fc0997ea</t>
        </is>
      </c>
      <c r="DT6"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'123', '12345678901234567890123789010000000', '0.1234567890123459012345678901', '123456789012367012345678.1246', '123456712345.6789', '988', '987654321098765410987654321100000000', '0.9876543210987432109876543211', '987654321098765432105432.1099', '1234567012456.78', '', '', '', '', '']列，源：f33dd6220d6a33b0f77f242af814bd33 备：b48d758f4e5aa3334c133bdfb1c74b7d</t>
        </is>
      </c>
      <c r="DV6" t="inlineStr">
        <is>
          <t>['5', '12:30:45', '12:30:45.1', '12:30:45.1', '12:30:45.1', '12:30:45.1', '12:30:45.1', '12:30:45.1', '12:30:45.1']行 ['12', '2026-04-19 23:59:59', '2026-04-19 23:59:59.1', '2026-04-19 23:59:59.12', '2026-04-19 23:59:59.123', '2026-04-19 23:59:59.1235', '2026-04-19 23:59:59.12346', '2026-04-19 23:59:59.123457', '2026-04-19 23:59:59.123456']列，源：32bf3f90e6d14a212ba94a88c8392de0 备：41093345a714145306cad8653dc21635</t>
        </is>
      </c>
      <c r="DW6" t="inlineStr">
        <is>
          <t>['5', 'A', 'VARIABLELENGTHBINA', 'TESTTESTTESTTESTTESTTESTTESTTESTTESTTESTTESTTESTTESTTESTTESTTESTTESTTESTTESTTESTTESTTESTTESTTESTTESTTESTTESTTESTTESTTESTTESTTESTTESTTESTTESTTESTTESTTESTTESTTESTTESTTESTTESTTESTTESTTESTTESTTESTTESTTEST']行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备：77636774fd81b7cbc6697623a0a56dec</t>
        </is>
      </c>
      <c r="DX6" t="inlineStr">
        <is>
          <t>['4', '18:10:06', '18:10:06.1', '18:10:06.12', '18:10:06.123', '18:10:06.1235', '18:10:06.12346', '18:10:06.123457', '18:10:06.123456']行 ['12', '2026-04-19 18:10:06', '2026-04-19 18:10:06.1', '2026-04-19 18:10:06.12', '2026-04-19 18:10:06.123', '2026-04-19 18:10:06.1235', '2026-04-19 18:10:06.12346', '2026-04-19 18:10:06.123457', '2026-04-19 18:10:06.123456']列，源：3987ba10f88ce9f4e83764dc078e9c22 备：175f3b2e8f286da6cf1c45bb9602df09</t>
        </is>
      </c>
      <c r="DZ6" t="inlineStr">
        <is>
          <t>['4', '09:12:34', '12:30:45', '09:12:34.12', '12:30:45', '09:12:34.1235', '12:30:45', '09:12:34.123457', '12:30:45']行 ['12', '2026-04-19 23:59:59', '2026-04-19 23:59:59.1', '2026-04-19 23:59:59.12', '2026-04-19 23:59:59.123', '2026-04-19 23:59:59.1235', '2026-04-19 23:59:59.12346', '2026-04-19 23:59:59.123457', '2026-04-19 23:59:59.123456']列，源：d394d9042f78f523258f52063f3bfa67 备：41093345a714145306cad8653dc21635</t>
        </is>
      </c>
      <c r="EB6"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['102', '', '', '', '', '999999999999999999', '100000000000000000000000000000000000000', '1', '10000000000000000000000000000', '999999999999999.9999', '999999999999999999', '100000000000000000000000000000000000000', '1', '10000000000000000000000000000', '9999999999999999.99', '', '', '', '', '']列，源：f33dd6220d6a33b0f77f242af814bd33 备：99ce8b7602db632a01c4f2d5c4d3ecde</t>
        </is>
      </c>
      <c r="EE6" t="inlineStr">
        <is>
          <t>['10', '12:30:45', '12:30:45.1', '12:30:45.12', '12:30:45.123', '12:30:45.1235', '12:30:45.12346', '12:30:45.123456', '12:30:45.123456']行 ['13', '', '2026-04-19 00:00:01.1', '', '2026-04-19 00:00:01.123', '', '2026-04-19 00:00:01.12346', '', '2026-04-19 00:00:01.123456']列，源：073910843c8ca2a090bea32cb421b0e1 备：38e0cb193eb10f0bdac4a4f253d8c63d</t>
        </is>
      </c>
      <c r="EF6" t="inlineStr">
        <is>
          <t>['10', '09:12:34', '12:30:45.1', '09:12:34.12', '12:30:45.123', '09:12:34.1235', '12:30:45.12346', '09:12:34.123457', '12:30:45.123456']行 ['13', '', '2026-04-19 00:00:01.1', '', '2026-04-19 00:00:01.123', '', '2026-04-19 00:00:01.12346', '', '2026-04-19 00:00:01.123456']列，源：514ed6f3fd4afabb3bc728c635725a27 备：38e0cb193eb10f0bdac4a4f253d8c63d</t>
        </is>
      </c>
      <c r="EG6" t="inlineStr">
        <is>
          <t>['5', '2026-04-17 17:15:00']行 ['13', '2025-05-1112:00:00']列，源：87a022ddfdd1a8d21462004123338b31 备：7435f692fc0a263fc1078a0b722c4b10</t>
        </is>
      </c>
      <c r="EH6" t="inlineStr">
        <is>
          <t>['5', '2026-04-17 17:15:00']行 ['124', '2079-06-0623:59:00']列，源：87a022ddfdd1a8d21462004123338b31 备：2d3efa807df074f93050f59ad88fe8aa</t>
        </is>
      </c>
      <c r="EI6"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['102', '', '', '', '', '999999999999999999', '100000000000000000000000000000000000000', '1', '10000000000000000000000000000', '999999999999999.9999', '999999999999999999', '100000000000000000000000000000000000000', '1', '10000000000000000000000000000', '9999999999999999.99', '', '', '', '', '']列，源：f33dd6220d6a33b0f77f242af814bd33 备：99ce8b7602db632a01c4f2d5c4d3ecde</t>
        </is>
      </c>
      <c r="EJ6" t="inlineStr">
        <is>
          <t>['4',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['12', '', '', '', '', '123', '12345678901234567890123789010000000', '0.1234567890123459012345678901', '123456789012367012345678.1246', '123456712345.6789', '988', '987654321098765410987654321100000000', '0.9876543210987432109876543211', '987654321098765432105432.1099', '1234567012456.78', '', '', '', '', '']列，源：f33dd6220d6a33b0f77f242af814bd33 备：b48d758f4e5aa3334c133bdfb1c74b7d</t>
        </is>
      </c>
      <c r="EK6" t="inlineStr">
        <is>
          <t>['5', 'A', 'VARIABLELENGTHBINA', 'TESTTESTTESTTESTTESTTESTTESTTESTTESTTESTTESTTESTTESTTESTTESTTESTTESTTESTTESTTESTTESTTESTTESTTESTTESTTESTTESTTESTTESTTESTTESTTESTTESTTESTTESTTESTTESTTESTTESTTESTTESTTESTTESTTESTTESTTESTTESTTESTTESTTEST']行 ['105',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备：740b6b94d5ac7caf940aba29669db329</t>
        </is>
      </c>
      <c r="EL6" t="inlineStr">
        <is>
          <t>['5', '9999-12-3123:59:59+00:00', '9999-12-3123:59:59.9+00:00', '9999-12-3123:59:59.99+00:00', '9999-12-3123:59:59.999+00:00', '9999-12-3123:59:59.9999+00:00', '9999-12-3123:59:59.99999+00:00', '9999-12-3123:59:59.999999+00:00', '9999-12-3123:59:59.9999999+00:00']行 ['13', '1971-05-1100:00:00+14:00', '1971-05-1100:00:00.0+14:00', '1971-05-1100:00:00.00+14:00', '1971-05-1100:00:00.000+14:00', '1971-05-1100:00:00.0000+14:00', '1971-05-1100:00:00.00000+14:00', '1971-05-1100:00:00.000000+14:00', '1971-05-1100:00:00.0000001+14:00']列，源：e9913af2ede92ca2dee8e158b5f6391f 备：dc344ffcaa3e3c2a77034f12a4753488</t>
        </is>
      </c>
      <c r="EM6" t="inlineStr">
        <is>
          <t>['5', '2026-04-17 17:16:00']行 ['13', '2025-05-1112:00:00']列，源：37f1b2c352c9c06a946fb10b0648a94a 备：7435f692fc0a263fc1078a0b722c4b10</t>
        </is>
      </c>
    </row>
    <row r="7">
      <c r="B7" t="inlineStr">
        <is>
          <t>YES</t>
        </is>
      </c>
      <c r="C7" t="inlineStr">
        <is>
          <t>NULL</t>
        </is>
      </c>
      <c r="D7" t="inlineStr">
        <is>
          <t>NULL</t>
        </is>
      </c>
      <c r="E7" t="inlineStr">
        <is>
          <t>NULL</t>
        </is>
      </c>
      <c r="F7" t="inlineStr">
        <is>
          <t>NULL</t>
        </is>
      </c>
      <c r="G7" t="inlineStr">
        <is>
          <t>NULL</t>
        </is>
      </c>
      <c r="H7" t="inlineStr">
        <is>
          <t>NULL</t>
        </is>
      </c>
      <c r="I7" t="inlineStr">
        <is>
          <t>YES!PK__info_dat__3213E83F0D45F8E0</t>
        </is>
      </c>
      <c r="J7" t="inlineStr">
        <is>
          <t>YES! 主键相关索引</t>
        </is>
      </c>
      <c r="K7" t="inlineStr">
        <is>
          <t xml:space="preserve"> NO!  	 id列源备映射错误，源端为int None位	期望更改为text	实际备端为int None位</t>
        </is>
      </c>
      <c r="Y7" t="inlineStr">
        <is>
          <t>['6', '2020-03-01 00:00:00']行 ['14', '2023-12-2523:59:00']列，源：be7aff488bcd19699d49eb11b0b282aa 备：f6f6eec65810e3b80b4bed5f275f3cfa</t>
        </is>
      </c>
      <c r="Z7" t="inlineStr">
        <is>
          <t>['5', '2026-04-17 17:16:00']行 ['13', '2026-04-1717:16:00']列，源：37f1b2c352c9c06a946fb10b0648a94a 备：4d37eca9e4d4a1f61ba4cbe3cc05e8e0</t>
        </is>
      </c>
      <c r="AA7" t="inlineStr">
        <is>
          <t>['5', '2079-06-05 23:59:00']行 ['13', '1981-05-1114:31:00']列，源：db2b7c98e59b607089b27d9d480b1d42 备：b27ff6188b7ae476a49e034febc0ae8e</t>
        </is>
      </c>
      <c r="AB7"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028f773c93538b8a4e1d46df3eb4f808 备：846658c6426c8aad960fbac5e9014739</t>
        </is>
      </c>
      <c r="AC7"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AF7" t="inlineStr">
        <is>
          <t>['11', '1900-01-02 00:00:00']行 ['8', '2068-05-1114:31:00']列，源：544ac773ef0f0cd5591c9884dd4bae17 备：ce20a4e427faf031e896199a8e3144b5</t>
        </is>
      </c>
      <c r="AH7" t="inlineStr">
        <is>
          <t>['6', '100', '255', '123456', '1000000', '', '', '', '', '-888888.22', '', '', '', '', '', '0', '0', '203685477.5808', '', '0']行 ['14', '100', '', '123456', '1000000', '', '100000000000000000000000000000000', '1', '9999999999999999999999.999999', '-888888.22', '100000000000000', '999999999999999999999', '0.999999999999999999999999999', '999999999999999999999.999999', '9999999999.99', '0', '0', '203685477.5808', '', '0']列，源：f38f995432b8725059966d54f86e0963 备：51152fb4f2bc7ef7dd6959e43cd74f8a</t>
        </is>
      </c>
      <c r="AJ7" t="inlineStr">
        <is>
          <t>['6', '2020-02-29 19:27:31.123']行 ['14', '2000-05-0123:59:59.993']列，源：b508aa13b2796caa994f13bde922fcb0 备：2457f0c00657efcd02ebb7fd48eef12a</t>
        </is>
      </c>
      <c r="AK7" t="inlineStr">
        <is>
          <t>['6', 'J',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028f773c93538b8a4e1d46df3eb4f808 备：846658c6426c8aad960fbac5e9014739</t>
        </is>
      </c>
      <c r="AL7" t="inlineStr">
        <is>
          <t>['6', '2020-02-29 19:27:31.123']行 ['122', '2024-05-1112:00:00.567']列，源：b508aa13b2796caa994f13bde922fcb0 备：2a99798f5efd07d412c84b84933b42c8</t>
        </is>
      </c>
      <c r="AM7" t="inlineStr">
        <is>
          <t>['6', '2020-02-29 19:27:31.123']行 ['14', '2000-05-0123:59:59.993']列，源：b508aa13b2796caa994f13bde922fcb0 备：2457f0c00657efcd02ebb7fd48eef12a</t>
        </is>
      </c>
      <c r="AN7" t="inlineStr">
        <is>
          <t>['6', '100', '0', '0', '0', '', '', '', '', '-888888.22', '', '', '', '', '', '0', '0', '203685477.5808', '', '0']行 ['14', '100', '', '123456', '1000000', '', '100000000000000000000000000000000', '1', '9999999999999999999999.999999', '-888888.22', '100000000000000', '999999999999999999999', '0.999999999999999999999999999', '999999999999999999999.999999', '9999999999.99', '0', '0', '203685477.5808', '', '0']列，源：fa34ef8348a142d43c044712e3dd9bc4 备：51152fb4f2bc7ef7dd6959e43cd74f8a</t>
        </is>
      </c>
      <c r="AO7" t="inlineStr">
        <is>
          <t>['6', '2020-02-29 19:27:31.123']行 ['109', '1981-05-1114:30:59.000']列，源：b508aa13b2796caa994f13bde922fcb0 备：d10b7d9bd830223e7766e1ed0114511c</t>
        </is>
      </c>
      <c r="AP7" t="inlineStr">
        <is>
          <t>['5', '9999-12-31 23:59:59.997']行 ['13', '9999-12-3123:59:59.997']列，源：f4a1b2ff5a6a948f5cc0f06bdc705556 备：f3a9d1e8dc23f950fce8437356a22902</t>
        </is>
      </c>
      <c r="AQ7" t="inlineStr">
        <is>
          <t>['6', 'T',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fe5518cd8de2a3452d8b68d0de79792f 备：c4b5ac15ce607fb040c6a88b184f47bb</t>
        </is>
      </c>
      <c r="AR7" t="inlineStr">
        <is>
          <t>['5', '2020-02-29 19:27:31.123']行 ['13', '1999-06-0623:59:59.997']列，源：75cb24e7941ce8af07761c6909f647d7 备：f65f121e6afd79c01ba62004ffb1ad9b</t>
        </is>
      </c>
      <c r="AT7" t="inlineStr">
        <is>
          <t>['17', '2003-11-04 23:59:59.99']行 ['6', '2020-02-2919:27:31.123']列，源：02341580860e3a57bbc18b673f545bb1 备：f2c01baff4fc04ec34920a33b33fd327</t>
        </is>
      </c>
      <c r="AV7"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AW7"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AX7" t="inlineStr">
        <is>
          <t>['6', '2020-02-29']行 ['4', '9999-12-31 00:00:00']列，源：a2a7a57dda79ef4680a19eb1520320ee 备：b3a1b365b6444b4bc6269967e1c61896</t>
        </is>
      </c>
      <c r="AY7"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AZ7" t="inlineStr">
        <is>
          <t>['6', '1945-05-11 14:30:45', '1945-05-11 14:30:45.1', '1945-05-11 14:30:45.12', '1945-05-11 14:30:45.123', '1945-05-11 14:30:45.1235', '1945-05-11 14:30:45.12346', '1945-05-11 14:30:45.123457', '1945-05-11 14:30:45.123456']行 ['175', '9999-12-3123:59:59', '9999-12-3123:59:59.9', '9999-12-3123:59:59.99', '9999-12-3123:59:59.999', '9999-12-3123:59:59.9999', '9999-12-3123:59:59.99999', '9999-12-3123:59:59.999999', '9999-12-3123:59:59.9999999']列，源：7ea72936cd5a52f74076a3226199d442 备：3bb9bd5ff137bd89edde8908ab8cef66</t>
        </is>
      </c>
      <c r="BA7" t="inlineStr">
        <is>
          <t>['14', '', '', '', '', '1000000000000000', '100000000000000000000000000000000', '1', '9999999999999999999999.999999', '999999999999.999', '100000000000000', '999999999999999999999', '0.999999999999999999999999999', '999999999999999999999.999999', '9999999999.99', '', '', '', '', '']行 ['15', '', '', '', '', '0', '1', '0.000000000000000000000000001', '0.000000001', '0.0001', '0', '1', '0.000000000000000000000000000001', '0.000001', '0.01', '', '', '', '', '']列，源：b197c452aea238e9c6c5e0c19446e315 备：221d65c70706de8fe2f4d798e2ad9782</t>
        </is>
      </c>
      <c r="BB7" t="inlineStr">
        <is>
          <t>['6', '8F', '6DE501B26364D651A83516180C5B41BB1934C3C1', '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a3ffddc211321ac4b8994e7f2a32f61 备：846658c6426c8aad960fbac5e9014739</t>
        </is>
      </c>
      <c r="BC7" t="inlineStr">
        <is>
          <t>['6', '1945-05-11 14:30:45', '1945-05-11 14:30:45.1', '1945-05-11 14:30:45.12', '1945-05-11 14:30:45.123', '1945-05-11 14:30:45.1235', '1945-05-11 14:30:45.12346', '1945-05-11 14:30:45.123457', '1945-05-11 14:30:45.123456']行 ['2', '1900-01-0100:00:00', '1900-01-0100:00:00.0', '1900-01-0100:00:00.00', '1900-01-0100:00:00.000', '1900-01-0100:00:00.0000', '1900-01-0100:00:00.00000', '1900-01-0100:00:00.000000', '1900-01-0100:00:00.0000000']列，源：7ea72936cd5a52f74076a3226199d442 备：b8eac0a39a54c6e1ef17522521d42596</t>
        </is>
      </c>
      <c r="BD7" t="inlineStr">
        <is>
          <t>['7', '255', '0', '0', '0', '99999', '', '', '', '-11111.34', '', '', '', '', '', '123.456789', '', '', '', '1']行 ['14', '', '', '', '', '1000000000000000', '100000000000000000000000000000000', '1', '9999999999999999999999.999999', '999999999999.999', '100000000000000', '999999999999999999999', '0.999999999999999999999999999', '999999999999999999999.999999', '9999999999.99', '', '', '', '', '']列，源：7c98794c33c58b3b2893455f5c35e3e9 备：b197c452aea238e9c6c5e0c19446e315</t>
        </is>
      </c>
      <c r="BF7"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G7" t="inlineStr">
        <is>
          <t>['6', 'Y', '€¶I€¶', '€¶I€¶€¶I€¶€¶I€¶€¶I€¶€¶I€¶€¶I€¶€¶I€¶€¶I€¶€¶I€¶€¶I€¶€¶I€¶€¶I€¶€¶I€¶€¶I€¶€¶I€¶€¶I€¶€¶I€¶€¶I€¶€¶I€¶€¶I€¶€¶I€¶€¶I€¶€¶I€¶€¶I€¶€¶I€¶€¶I€¶€¶I€¶€¶I€¶€¶I€¶€¶I€¶€¶I€¶€¶I€¶€¶I€¶€¶I€¶€¶I€¶€¶I€¶€¶I€¶€¶I€¶€¶I€¶€¶I€¶€¶I€¶€¶I€¶€¶I€¶€¶I€¶€¶I€¶€¶I€¶€¶I€¶€¶I€¶€¶I€¶€¶I€¶€¶I€¶€¶I€¶€¶I€¶€¶I€¶€¶I€¶€¶I€¶€¶I€¶€¶I€¶€¶I€¶€¶I€¶€¶I€¶€¶I€¶€¶I€¶€¶I€¶€¶I€¶€¶I€¶€¶I€¶€¶I€¶€¶I€¶€¶I€¶€¶I€¶€¶I€¶€¶I€¶€¶I€¶€¶I€¶€¶I€¶€¶I€¶€¶I€¶€¶I€¶€¶I€¶€¶I€¶€¶I€¶€¶I€¶€¶I€¶€¶I€¶€¶I€¶€¶I€¶€¶I€¶€¶I€¶€¶I€¶€¶I€¶€¶I€¶€¶I€¶€¶I€¶€¶I€¶€¶I€¶€¶I€¶€¶I€¶€¶I€¶€¶I€¶€¶I€¶€¶I€¶€¶I€¶€¶I€¶€¶I€¶€¶I€¶€¶I€¶€¶I€¶€¶I€¶€¶I€¶€¶I€¶€¶I€¶€¶I€¶€¶I€¶€¶I€¶€¶I€¶€¶I€¶€¶I€¶€¶I€¶€¶I€¶€¶I€¶€¶I€¶€¶I€¶€¶I€¶€¶I€¶€¶I€¶€¶I€¶€¶I€¶€¶I€¶€¶I€¶€¶I€¶€¶I€¶€¶I€¶€¶I€¶€¶I€¶€¶I€¶€¶I€¶€¶I€¶€¶I€¶€¶I€¶€¶I€¶€¶I€¶€¶I€¶€¶I€¶€¶I€¶€¶I€¶€¶I€¶€¶I€¶€¶I€¶€¶I€¶€¶I€¶€¶I€¶€¶I€¶€¶I€¶€¶I€¶€¶I€¶€¶I€¶€¶I€¶€¶I€¶€¶I€¶€¶I€¶€¶I€¶€¶I€¶€¶I€¶€¶I€¶€¶I€¶€¶I€¶€¶I€¶€¶I€¶€¶I€¶€¶I€¶€¶I€¶€¶I€¶€¶I€¶€¶I€¶€¶I€¶€¶I€¶€¶I€¶€¶I€¶€¶I€¶€¶I€¶€¶I€¶€¶I€¶€¶I€¶€¶I€¶€¶I€¶€¶I€¶€¶I€¶€¶I€¶€¶I€¶€¶I€¶€¶I€¶€¶I€¶€¶I€¶€¶I€¶€¶I€¶€¶I€¶€¶I€¶€¶I€¶€¶I€¶']行 ['21', '', '', '']列，源：64255d74302b42c08e97a6d2adada0ae 备：0c7ea425794ca0a5edd58a5c789f290a</t>
        </is>
      </c>
      <c r="BH7" t="inlineStr">
        <is>
          <t>['6', '1970-01-01']行 ['6', '1970-01-01 00:00:00']列，源：067d3bce9c5c1af5e41234571acddcea 备：931ecf349f8ff2342e5014234170279e</t>
        </is>
      </c>
      <c r="BI7" t="inlineStr">
        <is>
          <t>['5', '2046-05-11 14:30:45', '2046-05-11 14:30:45.1', '2046-05-11 14:30:45.12', '2046-05-11 14:30:45.123', '2046-05-11 14:30:45.1235', '2046-05-11 14:30:45.12346', '2046-05-11 14:30:45.123457', '2046-05-11 14:30:45.123456']行 ['5', '2046-05-1114:30:45', '2046-05-1114:30:45.1', '2046-05-1114:30:45.12', '2046-05-1114:30:45.123', '2046-05-1114:30:45.1235', '2046-05-1114:30:45.12346', '2046-05-1114:30:45.123457', '2046-05-1114:30:45.1234567']列，源：45b35ca74136e81bdd8f545bde07ce22 备：87b12a132dbbf3668fdf4a7813bf6ae7</t>
        </is>
      </c>
      <c r="BJ7"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BK7" t="inlineStr">
        <is>
          <t>['6',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['126',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286dded1986cc6ab462edde468237190 备：5eda62e478f83422b2bf066a299b70a3</t>
        </is>
      </c>
      <c r="BM7" t="inlineStr">
        <is>
          <t>['6', 'T', 'THISISANVARCHAR', '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行 ['5', '测', '这是一个中文字符串', '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这是一个长中文字符串']列，源：c4b785fa4239c5c7840bfb28b6ce2e1b 备：c4b5ac15ce607fb040c6a88b184f47bb</t>
        </is>
      </c>
      <c r="BO7" t="inlineStr">
        <is>
          <t>['6',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5002a894769fb99aa1f5dee0f011224 备：846658c6426c8aad960fbac5e9014739</t>
        </is>
      </c>
      <c r="BQ7"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BS7" t="inlineStr">
        <is>
          <t>['6', '2063-05-1110:30:45-04:00', '2063-05-1110:30:45.1-04:00', '2063-05-1110:30:45.12-04:00', '2063-05-1110:30:45.123-04:00', '2063-05-1110:30:45.1235-04:00', '2063-05-1110:30:45.12346-04:00', '2063-05-1110:30:45.123457-04:00', '2063-05-1110:30:45.1234567-04:00']行 ['123', '2026-04-1717:18:23+08:00', '2026-04-1717:18:22.8+08:00', '2026-04-1717:18:22.75+08:00', '2026-04-1717:18:22.755+08:00', '2026-04-1717:18:22.7550+08:00', '2026-04-1717:18:22.75495+08:00', '2026-04-1717:18:22.754952+08:00', '2026-04-1717:18:22.7549521+08:00']列，源：ced5cd81b766fa957614103c3a575085 备：0be2c896b9e4dd5f73812e6bfd531c38</t>
        </is>
      </c>
      <c r="BT7" t="inlineStr">
        <is>
          <t>['5', '€', 'TOOLONG英255VAL方&amp;', 'TOOLONG英255VAL方&amp;TOOLONG英255V']行 ['5',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2a580a247f73f395a291208b024af869 备：03f2bcc3f636a8487e55b2ca47d0c45d</t>
        </is>
      </c>
      <c r="BU7"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BV7" t="inlineStr">
        <is>
          <t>['6',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['106',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e5002a894769fb99aa1f5dee0f011224 备：68acc59d209b7b0cf1b898ddb7c4a998</t>
        </is>
      </c>
      <c r="BW7" t="inlineStr">
        <is>
          <t>['6', '2063-05-1110:30:45-04:00', '2063-05-1110:30:45.1-04:00', '2063-05-1110:30:45.12-04:00', '2063-05-1110:30:45.123-04:00', '2063-05-1110:30:45.1235-04:00', '2063-05-1110:30:45.12346-04:00', '2063-05-1110:30:45.123457-04:00', '2063-05-1110:30:45.1234567-04:00']行 ['107', '1933-05-1115:30:45+01:00', '1933-05-1115:30:45.1+01:00', '1933-05-1115:30:45.12+01:00', '1933-05-1115:30:45.123+01:00', '1933-05-1115:30:45.1235+01:00', '1933-05-1115:30:45.12346+01:00', '1933-05-1115:30:45.123457+01:00', '1933-05-1115:30:45.1234567+01:00']列，源：ced5cd81b766fa957614103c3a575085 备：e3d8d67b759476fb3e3d593d422d338a</t>
        </is>
      </c>
      <c r="BY7" t="inlineStr">
        <is>
          <t>['6', '1971-05-1100:00:00+14:00', '', '1971-05-1100:00:00.00+14:00', '', '1971-05-1100:00:00.0000+14:00', '', '1971-05-1100:00:00.000000+14:00', '']行 ['2', '1971-05-1100:00:00+14:00', '', '1971-05-1100:00:00.00+14:00', '', '1971-05-1100:00:00.0000+14:00', '', '1971-05-1100:00:00.000000+14:00', '']列，源：69dc0092921f2251e9614d8ca6541396 备：f2b549109591b61cc31200a373c3fbb8</t>
        </is>
      </c>
      <c r="BZ7" t="inlineStr">
        <is>
          <t>['6', '12:30:45', '12:30:45.1', '12:30:45.12', '12:30:45.12', '12:30:45.12', '12:30:45.12', '12:30:45.12', '12:30:45.12']行 ['14', '2026-04-19 12:00:00', '', '2026-04-19 12:00:00.12', '', '2026-04-19 12:00:00.1235', '', '2026-04-19 12:00:00.123457', '']列，源：55927b5628640a770e2624c07161d177 备：042ee9731388ce6e1eda9674da4e5747</t>
        </is>
      </c>
      <c r="CA7" t="inlineStr">
        <is>
          <t>['6', '2063-05-1110:30:45-04:00', '2063-05-1110:30:45.1-04:00', '2063-05-1110:30:45.12-04:00', '2063-05-1110:30:45.123-04:00', '2063-05-1110:30:45.1235-04:00', '2063-05-1110:30:45.12346-04:00', '2063-05-1110:30:45.123457-04:00', '2063-05-1110:30:45.1234567-04:00']行 ['2', '2000-05-1100:30:45+09:00', '2000-05-1100:30:45.1+09:00', '2000-05-1100:30:45.12+09:00', '2000-05-1100:30:45.123+09:00', '2000-05-1100:30:45.1235+09:00', '2000-05-1100:30:45.12346+09:00', '2000-05-1100:30:45.123457+09:00', '2000-05-1100:30:45.1234567+09:00']列，源：ced5cd81b766fa957614103c3a575085 备：533f86d075585ffbc356964d53c88389</t>
        </is>
      </c>
      <c r="CB7" t="inlineStr">
        <is>
          <t>['6', '2020-02-29']行 ['126', '2020-02-29 00:00:00']列，源：a2a7a57dda79ef4680a19eb1520320ee 备：8dd49eedc4ae9b901e1fd7f95f14ae23</t>
        </is>
      </c>
      <c r="CD7" t="inlineStr">
        <is>
          <t>['6', '2020-02-29']行 ['4', '9999-12-31 00:00:00']列，源：a2a7a57dda79ef4680a19eb1520320ee 备：b3a1b365b6444b4bc6269967e1c61896</t>
        </is>
      </c>
      <c r="CF7" t="inlineStr">
        <is>
          <t>['5', 'X', 'THISISATESTSTRIN', 'CASECASECASECASECASECASECASECASECASECASECASECASECASECASECASECASECASECASECASECASECASECASECASECASECASECASECASECASECASECASECASECASECASECASECASECASECASECASECASECASECASECASECASECASECASECASECASECASECASECASE']行 ['4',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11a4a054cf73d21aa988b0efda5efa03 备：d448a81ea04c354f36a6165f4b9a94d2</t>
        </is>
      </c>
      <c r="CG7" t="inlineStr">
        <is>
          <t>['7', '12:30:45', '12:30:45.1', '12:30:45.12', '12:30:45.123', '12:30:45.123', '12:30:45.123', '12:30:45.123', '12:30:45.123']行 ['5', '2026-04-19 12:30:45', '2026-04-19 12:30:45.1', '2026-04-19 12:30:45.1', '2026-04-19 12:30:45.1', '2026-04-19 12:30:45.1', '2026-04-19 12:30:45.1', '2026-04-19 12:30:45.1', '2026-04-19 12:30:45.1']列，源：f73fe0ad5499073dcac5c1fb9135350a 备：814c00c2b661c4163822fd3bd55da09a</t>
        </is>
      </c>
      <c r="CH7" t="inlineStr">
        <is>
          <t>['6', '2020-02-29']行 ['107', '1970-01-01 00:00:00']列，源：a2a7a57dda79ef4680a19eb1520320ee 备：84ed2018cf439bbd94154904228754f4</t>
        </is>
      </c>
      <c r="CI7" t="inlineStr">
        <is>
          <t>['5',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afab1b0f698df8dcba695dc2a8c1b8d1 备：93a836a020252b5c4541d8e6afd2f7f1</t>
        </is>
      </c>
      <c r="CK7" t="inlineStr">
        <is>
          <t>['5',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'1']行 ['13', '', '', '', '', '', '', '', '', '', '', '', '', '', '', '', '', '1', '5.99', '']列，源：ca65e23965cd27b2c92221f252fcbc2c 备：42117c21b1ce8edfe0ad637c9ac1548a</t>
        </is>
      </c>
      <c r="CL7" t="inlineStr">
        <is>
          <t>['6', '2020-03-01 00:00:00']行 ['14', '2023-12-2523:59:00']列，源：be7aff488bcd19699d49eb11b0b282aa 备：f6f6eec65810e3b80b4bed5f275f3cfa</t>
        </is>
      </c>
      <c r="CM7" t="inlineStr">
        <is>
          <t>['6', '2000-05-11 14:31:00']行 ['6', '2000-05-1114:31:00']列，源：f39a80f7f2afea41624178aa543e8352 备：702a3018c6fc842d685848243b4df261</t>
        </is>
      </c>
      <c r="CN7" t="inlineStr">
        <is>
          <t>['11', '1900-01-02 00:00:00']行 ['6', '2020-03-0100:00:00']列，源：544ac773ef0f0cd5591c9884dd4bae17 备：41de459b8773593bb76d513eb095eeff</t>
        </is>
      </c>
      <c r="CS7" t="inlineStr">
        <is>
          <t>['5', '2026-04-17']行 ['3', '2026-04-17 00:00:00']列，源：cdf2a5ad84833f2e7c255f72c3fd4222 备：6c219c1213cb1dbbeafeff4d97a64d35</t>
        </is>
      </c>
      <c r="CT7" t="inlineStr">
        <is>
          <t>['5', '2026-04-17']行 ['3', '0001-01-01 00:00:00']列，源：cdf2a5ad84833f2e7c255f72c3fd4222 备：fadb3754d1a5a0d09eeb5a8a5472077a</t>
        </is>
      </c>
      <c r="CV7" t="inlineStr">
        <is>
          <t>['6', '2020-02-29 19:27:31.123']行 ['14', '2000-05-0123:59:59.993']列，源：b508aa13b2796caa994f13bde922fcb0 备：2457f0c00657efcd02ebb7fd48eef12a</t>
        </is>
      </c>
      <c r="CW7" t="inlineStr">
        <is>
          <t>['8', '', '', '', '', '', '', '', '0.0000000001', '', '', '', '', '', '', '', '', '', '', '']行 ['14', '', '', '', '', '', '', '', '', '', '', '', '', '', '', '', '', '100.5', '99.5', '']列，源：ed05300411ee9d84b81e4de3b6032e34 备：3b33070a05564aade000a74713c64b00</t>
        </is>
      </c>
      <c r="CZ7" t="inlineStr">
        <is>
          <t>['6', '2002-06-11 23:59:59.993']行 ['6', '2002-06-1123:59:59.993']列，源：95bcb4e52df80c9e6b877233af64071b 备：70fba5b0b192fdeb7b2da6474e7c8c25</t>
        </is>
      </c>
      <c r="DB7" t="inlineStr">
        <is>
          <t>['8', '2068-05-11 14:30:30']行 ['16', '2002-06-1123:59:59.993']列，源：014e55c2fe2464cc66dfd75b09f74eeb 备：dd95e5ac1573694c264ae980ec79cc8e</t>
        </is>
      </c>
      <c r="DC7" t="inlineStr">
        <is>
          <t>['8', '2026-04-17']行 ['7', '2026-04-17 00:00:00']列，源：3cbc3281e7ca8497879ad1cb94c87293 备：1ec10f133e6f114ae3fba22f5069b10c</t>
        </is>
      </c>
      <c r="DE7" t="inlineStr">
        <is>
          <t>['6',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列，源：95b1fa1139056dfeefcc648f797edec8 备：083c8fdda7e56d9228853d19a7b88f41</t>
        </is>
      </c>
      <c r="DF7" t="inlineStr">
        <is>
          <t>['6', '12:30:45', '12:30:45.1', '12:30:45.12', '12:30:45.12', '12:30:45.12', '12:30:45.12', '12:30:45.12', '12:30:45.12']行 ['14', '', '2026-04-19 12:00:00.1', '', '2026-04-19 12:00:00.123', '', '2026-04-19 12:00:00.12346', '', '2026-04-19 12:00:00.123456']列，源：55927b5628640a770e2624c07161d177 备：8d1070e5102c144780911722f01bee18</t>
        </is>
      </c>
      <c r="DH7" t="inlineStr">
        <is>
          <t>['6', '12:30:45', '12:30:45.1', '12:30:45.12', '12:30:45.12', '12:30:45.12', '12:30:45.12', '12:30:45.12', '12:30:45.12']行 ['13', '', '2026-04-19 00:00:01.1', '', '2026-04-19 00:00:01.123', '', '2026-04-19 00:00:01.12346', '', '2026-04-19 00:00:01.123456']列，源：55927b5628640a770e2624c07161d177 备：38e0cb193eb10f0bdac4a4f253d8c63d</t>
        </is>
      </c>
      <c r="DK7" t="inlineStr">
        <is>
          <t>['6', 'Y', '€¶I€¶', '€¶I€¶€¶I€¶€¶I€¶€¶I€¶€¶I€¶€¶I€¶€¶I€¶€¶I€¶€¶I€¶€¶I€¶€¶I€¶€¶I€¶€¶I€¶€¶I€¶€¶I€¶€¶I€¶€¶I€¶€¶I€¶€¶I€¶€¶I€¶€¶I€¶€¶I€¶€¶I€¶€¶I€¶€¶I€¶€¶I€¶€¶I€¶€¶I€¶€¶I€¶€¶I€¶€¶I€¶€¶I€¶€¶I€¶€¶I€¶€¶I€¶€¶I€¶€¶I€¶€¶I€¶€¶I€¶€¶I€¶€¶I€¶€¶I€¶€¶I€¶€¶I€¶€¶I€¶€¶I€¶€¶I€¶€¶I€¶€¶I€¶€¶I€¶€¶I€¶€¶I€¶€¶I€¶€¶I€¶€¶I€¶€¶I€¶€¶I€¶€¶I€¶€¶I€¶€¶I€¶€¶I€¶€¶I€¶€¶I€¶€¶I€¶€¶I€¶€¶I€¶€¶I€¶€¶I€¶€¶I€¶€¶I€¶€¶I€¶€¶I€¶€¶I€¶€¶I€¶€¶I€¶€¶I€¶€¶I€¶€¶I€¶€¶I€¶€¶I€¶€¶I€¶€¶I€¶€¶I€¶€¶I€¶€¶I€¶€¶I€¶€¶I€¶€¶I€¶€¶I€¶€¶I€¶€¶I€¶€¶I€¶€¶I€¶€¶I€¶€¶I€¶€¶I€¶€¶I€¶€¶I€¶€¶I€¶€¶I€¶€¶I€¶€¶I€¶€¶I€¶€¶I€¶€¶I€¶€¶I€¶€¶I€¶€¶I€¶€¶I€¶€¶I€¶€¶I€¶€¶I€¶€¶I€¶€¶I€¶€¶I€¶€¶I€¶€¶I€¶€¶I€¶€¶I€¶€¶I€¶€¶I€¶€¶I€¶€¶I€¶€¶I€¶€¶I€¶€¶I€¶€¶I€¶€¶I€¶€¶I€¶€¶I€¶€¶I€¶€¶I€¶€¶I€¶€¶I€¶€¶I€¶€¶I€¶€¶I€¶€¶I€¶€¶I€¶€¶I€¶€¶I€¶€¶I€¶€¶I€¶€¶I€¶€¶I€¶€¶I€¶€¶I€¶€¶I€¶€¶I€¶€¶I€¶€¶I€¶€¶I€¶€¶I€¶€¶I€¶€¶I€¶€¶I€¶€¶I€¶€¶I€¶€¶I€¶€¶I€¶€¶I€¶€¶I€¶€¶I€¶€¶I€¶€¶I€¶€¶I€¶€¶I€¶€¶I€¶€¶I€¶€¶I€¶€¶I€¶€¶I€¶€¶I€¶€¶I€¶€¶I€¶€¶I€¶€¶I€¶€¶I€¶€¶I€¶€¶I€¶€¶I€¶€¶I€¶€¶I€¶€¶I€¶€¶I€¶€¶I€¶€¶I€¶€¶I€¶€¶I€¶€¶I€¶€¶I€¶€¶I€¶€¶I€¶€¶I€¶€¶I€¶€¶I€¶€¶I€¶€¶I€¶€¶I€¶€¶I€¶']行 ['21', '', '', '']列，源：64255d74302b42c08e97a6d2adada0ae 备：0c7ea425794ca0a5edd58a5c789f290a</t>
        </is>
      </c>
      <c r="DL7" t="inlineStr">
        <is>
          <t>['6', '1945-05-11 14:30:45', '1945-05-11 14:30:45.1', '1945-05-11 14:30:45.12', '1945-05-11 14:30:45.123', '1945-05-11 14:30:45.1235', '1945-05-11 14:30:45.12346', '1945-05-11 14:30:45.123457', '1945-05-11 14:30:45.123456']行 ['6', '1945-05-1114:30:45', '1945-05-1114:30:45.1', '1945-05-1114:30:45.12', '1945-05-1114:30:45.123', '1945-05-1114:30:45.1235', '1945-05-1114:30:45.12346', '1945-05-1114:30:45.123457', '1945-05-1114:30:45.1234567']列，源：7ea72936cd5a52f74076a3226199d442 备：0dde5b67e4b178c074601c932dfdb18e</t>
        </is>
      </c>
      <c r="DM7" t="inlineStr">
        <is>
          <t>['6', 'EB', '4EDC2125C4D9B53775D40F74945E0779A3ED0D6FA62D29A7472F6301AF9255783A7C290510BA7C7BF518E0DD05CA446B369D2E3B5CD11922278E9F411FCDCFF5729890CD92AEA745AC36DBD095B9F03A1041AF7A7AD18614A4A32B3EA71D8D34C7FF9B1A', '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71f64a6d7cb927c203a4d40fe3add53 备：846658c6426c8aad960fbac5e9014739</t>
        </is>
      </c>
      <c r="DO7" t="inlineStr">
        <is>
          <t>['6', '12:30:45', '12:30:45.1', '12:30:45.12', '12:30:45.12', '12:30:45.12', '12:30:45.12', '12:30:45.12', '12:30:45.12']行 ['14', '', '2026-04-19 12:00:00.1', '', '2026-04-19 12:00:00.123', '', '2026-04-19 12:00:00.12346', '', '2026-04-19 12:00:00.123456']列，源：55927b5628640a770e2624c07161d177 备：8d1070e5102c144780911722f01bee18</t>
        </is>
      </c>
      <c r="DP7" t="inlineStr">
        <is>
          <t>['6',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['126',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fa83515158c4c8824377e897432d3433 备：89bcc8a5bc0819489a7f00841ace1345</t>
        </is>
      </c>
      <c r="DS7" t="inlineStr">
        <is>
          <t>['5', '9999-12-31 00:00:00', '9999-12-31 00:00:00', '9999-12-31 00:00:00', '9999-12-31 00:00:00', '9999-12-31 00:00:00', '9999-12-31 00:00:00', '1900-01-01 00:00:00', '9999-12-30 23:59:59.999999']行 ['5', '9999-12-3100:00:00', '9999-12-3100:00:00.0', '9999-12-3100:00:00.00', '9999-12-3100:00:00.000', '9999-12-3100:00:00.0000', '9999-12-3100:00:00.00000', '1900-01-0100:00:00.000000', '9999-12-3023:59:59.9999999']列，源：2b631cad1331984fd4cc92412e0ec9f9 备：78db44926917cfa87ec9b05ca7ef0004</t>
        </is>
      </c>
      <c r="DT7" t="inlineStr">
        <is>
          <t>['5', '0', '0', '0', '0', '', '', '', '', '', '', '', '', '', '', '', '', '', '', '']行 ['13', '', '', '', '', '-457', '-123456780123456781234589012300000', '-0.4567890123479234567890145679', '-123456789012347890345678.9874', '-98743298765.4321', '-321', '-987654321096543210987654321100000000', '-0.1234569012345671234567890123', '-6543210976543287654321.098765', '-9876543210954.32', '', '', '', '', '']列，源：61f2d024da6dc2a41105ba753fc689fe 备：a44b5811c634b93da05bdec7da53ebf7</t>
        </is>
      </c>
      <c r="DV7" t="inlineStr">
        <is>
          <t>['6', '12:30:45', '12:30:45.1', '12:30:45.12', '12:30:45.12', '12:30:45.12', '12:30:45.12', '12:30:45.12', '12:30:45.12']行 ['13', '', '2026-04-19 00:00:01.1', '', '2026-04-19 00:00:01.123', '', '2026-04-19 00:00:01.12346', '', '2026-04-19 00:00:01.123456']列，源：55927b5628640a770e2624c07161d177 备：38e0cb193eb10f0bdac4a4f253d8c63d</t>
        </is>
      </c>
      <c r="DW7"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12bb8bdc563706abb35c48919ff2f7 备：846658c6426c8aad960fbac5e9014739</t>
        </is>
      </c>
      <c r="DX7" t="inlineStr">
        <is>
          <t>['5', '18:10:06', '18:10:06.1', '18:10:06.12', '18:10:06.123', '18:10:06.1235', '18:10:06.12346', '18:10:06.123457', '18:10:06.123456']行 ['13', '2026-04-19 18:10:06', '2026-04-19 18:10:06.1', '2026-04-19 18:10:06.12', '2026-04-19 18:10:06.123', '2026-04-19 18:10:06.1235', '2026-04-19 18:10:06.12346', '2026-04-19 18:10:06.123457', '2026-04-19 18:10:06.123456']列，源：cae60e4fcf5feeea9691da0866df5372 备：cf67958c99bfc338dd4609d42b100952</t>
        </is>
      </c>
      <c r="DZ7" t="inlineStr">
        <is>
          <t>['5', '12:30:45', '12:30:45.1', '12:30:45.1', '12:30:45.1', '12:30:45.1', '12:30:45.1', '12:30:45.1', '12:30:45.1']行 ['13', '', '2026-04-19 00:00:01.1', '', '2026-04-19 00:00:01.123', '', '2026-04-19 00:00:01.12346', '', '2026-04-19 00:00:01.123456']列，源：32bf3f90e6d14a212ba94a88c8392de0 备：38e0cb193eb10f0bdac4a4f253d8c63d</t>
        </is>
      </c>
      <c r="EB7" t="inlineStr">
        <is>
          <t>['5', '0', '0', '0', '0', '', '', '', '', '', '', '', '', '', '', '', '', '', '', '']行 ['103', '', '', '', '', '', '', '', '', '', '', '', '', '', '', '', '', '', '', '']列，源：61f2d024da6dc2a41105ba753fc689fe 备：3c404a4c1e388c97bf548f7dc10d630f</t>
        </is>
      </c>
      <c r="EE7" t="inlineStr">
        <is>
          <t>['11', '12:30:45', '12:30:45.1', '12:30:45.12', '12:30:45.123', '12:30:45.1235', '12:30:45.12346', '12:30:45.123457', '12:30:45.123456']行 ['14', '', '2026-04-19 12:00:00.1', '', '2026-04-19 12:00:00.123', '', '2026-04-19 12:00:00.12346', '', '2026-04-19 12:00:00.123456']列，源：0dc8b1c75700bab8dc4a619d314a9501 备：8d1070e5102c144780911722f01bee18</t>
        </is>
      </c>
      <c r="EF7" t="inlineStr">
        <is>
          <t>['11', '12:30:45', '12:30:45.1', '12:30:45.12', '12:30:45.123', '12:30:45.1235', '12:30:45.12346', '12:30:45.123457', '12:30:45.123456']行 ['14', '', '2026-04-19 12:00:00.1', '', '2026-04-19 12:00:00.123', '', '2026-04-19 12:00:00.12346', '', '2026-04-19 12:00:00.123456']列，源：0dc8b1c75700bab8dc4a619d314a9501 备：8d1070e5102c144780911722f01bee18</t>
        </is>
      </c>
      <c r="EG7" t="inlineStr">
        <is>
          <t>['6', '2020-03-01 00:00:00']行 ['14', '2023-12-2523:59:00']列，源：be7aff488bcd19699d49eb11b0b282aa 备：f6f6eec65810e3b80b4bed5f275f3cfa</t>
        </is>
      </c>
      <c r="EH7" t="inlineStr">
        <is>
          <t>['6', '2020-03-01 00:00:00']行 ['125', '2026-04-1717:15:00']列，源：be7aff488bcd19699d49eb11b0b282aa 备：5d0dcb82497eff0ff24d96c0edd55ea7</t>
        </is>
      </c>
      <c r="EI7" t="inlineStr">
        <is>
          <t>['5', '0', '0', '0', '0', '', '', '', '', '', '', '', '', '', '', '', '', '', '', '']行 ['103', '', '', '', '', '', '', '', '', '', '', '', '', '', '', '', '', '', '', '']列，源：61f2d024da6dc2a41105ba753fc689fe 备：3c404a4c1e388c97bf548f7dc10d630f</t>
        </is>
      </c>
      <c r="EJ7" t="inlineStr">
        <is>
          <t>['5', '0', '0', '0', '0', '', '', '', '', '', '', '', '', '', '', '', '', '', '', '']行 ['13', '', '', '', '', '-457', '-123456780123456781234589012300000', '-0.4567890123479234567890145679', '-123456789012347890345678.9874', '-98743298765.4321', '-321', '-987654321096543210987654321100000000', '-0.1234569012345671234567890123', '-6543210976543287654321.098765', '-9876543210954.32', '', '', '', '', '']列，源：61f2d024da6dc2a41105ba753fc689fe 备：a44b5811c634b93da05bdec7da53ebf7</t>
        </is>
      </c>
      <c r="EK7" t="inlineStr">
        <is>
          <t>['6',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['106',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8c12bb8bdc563706abb35c48919ff2f7 备：cb444043f5ef4ada91cf27a559468e86</t>
        </is>
      </c>
      <c r="EL7" t="inlineStr">
        <is>
          <t>['6', '2063-05-1110:30:45-04:00', '2063-05-1110:30:45.1-04:00', '2063-05-1110:30:45.12-04:00', '2063-05-1110:30:45.123-04:00', '2063-05-1110:30:45.1235-04:00', '2063-05-1110:30:45.12346-04:00', '2063-05-1110:30:45.123457-04:00', '2063-05-1110:30:45.1234567-04:00']行 ['2', '1900-01-0100:00:00+00:00', '1900-01-0100:00:00.0+00:00', '1900-01-0100:00:00.00+00:00', '1900-01-0100:00:00.000+00:00', '1900-01-0100:00:00.0000+00:00', '1900-01-0100:00:00.00000+00:00', '1900-01-0100:00:00.000000+00:00', '1900-01-0100:00:00.0000000+00:00']列，源：ced5cd81b766fa957614103c3a575085 备：a90945644d7e627bd23eb4243cc8ac03</t>
        </is>
      </c>
      <c r="EM7" t="inlineStr">
        <is>
          <t>['6', '2020-03-01 00:00:00']行 ['14', '2023-12-2523:59:00']列，源：be7aff488bcd19699d49eb11b0b282aa 备：f6f6eec65810e3b80b4bed5f275f3cfa</t>
        </is>
      </c>
    </row>
    <row r="8">
      <c r="B8" t="inlineStr">
        <is>
          <t>NULL</t>
        </is>
      </c>
      <c r="C8" t="inlineStr">
        <is>
          <t>NULL</t>
        </is>
      </c>
      <c r="D8" t="inlineStr">
        <is>
          <t>NULL</t>
        </is>
      </c>
      <c r="E8" t="inlineStr">
        <is>
          <t>NULL</t>
        </is>
      </c>
      <c r="F8" t="inlineStr">
        <is>
          <t>NULL</t>
        </is>
      </c>
      <c r="G8" t="inlineStr">
        <is>
          <t>NULL</t>
        </is>
      </c>
      <c r="H8" t="inlineStr">
        <is>
          <t>NULL</t>
        </is>
      </c>
      <c r="I8" t="inlineStr">
        <is>
          <t>NULL</t>
        </is>
      </c>
      <c r="J8" t="inlineStr">
        <is>
          <t>NULL</t>
        </is>
      </c>
      <c r="K8" t="inlineStr">
        <is>
          <t xml:space="preserve"> NO!  	 c_dtoffset_0列源备映射错误，源端为datetimeoffset None位	期望更改为text	实际备端为datetimeoffset None位</t>
        </is>
      </c>
      <c r="Y8" t="inlineStr">
        <is>
          <t>['7', '2000-05-11 14:30:00']行 ['2', '1900-01-0100:00:00']列，源：261351d85e795292a44e2943602f4567 备：8a27d30f89932093302399e7f8998c9c</t>
        </is>
      </c>
      <c r="Z8" t="inlineStr">
        <is>
          <t>['6', '2026-04-17 17:16:00']行 ['14', '2026-04-1717:16:00']列，源：419246d311baaccd0c931803f0525e98 备：623404495cc759ea88a91cb0a4838a6b</t>
        </is>
      </c>
      <c r="AA8" t="inlineStr">
        <is>
          <t>['6', '2020-03-01 00:00:00']行 ['14', '1981-05-1114:31:00']列，源：be7aff488bcd19699d49eb11b0b282aa 备：02b0a889fab5f580a50e303dd37cbe31</t>
        </is>
      </c>
      <c r="AB8" t="inlineStr">
        <is>
          <t>['7', 'T', 'HELLOWORLD', 'HELLOWORLDTESTDATA']行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00f98436d15b41c303900256c87df655 备：90fc1b96bdd98be0ebddf18e2e4b44e8</t>
        </is>
      </c>
      <c r="AC8"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AH8" t="inlineStr">
        <is>
          <t>['7', '100', '32767', '123456', '1000000', '', '', '', '', '-888888.22', '', '', '', '', '', '0', '0', '203685477.5808', '', '0']行 ['15', '100', '', '123456', '1000000', '', '1', '0.000000000000000000000000001', '0.000000001', '-888888.22', '0', '1', '0.000000000000000000000000000001', '0.000001', '0.01', '0', '0', '203685477.5808', '', '0']列，源：ea3f520280a1280741e9d255690df641 备：7f75307069eb95d2501445e26ba81699</t>
        </is>
      </c>
      <c r="AJ8" t="inlineStr">
        <is>
          <t>['7', '2000-05-11 14:30:29']行 ['15', '2001-04-0923:59:59.993']列，源：2e1088644583c54f021ba6fbbd0145b2 备：72c850940e18c1fefbfcc8955f523a0b</t>
        </is>
      </c>
      <c r="AK8" t="inlineStr">
        <is>
          <t>['7', 'T', 'HELLOWORLD', 'HELLOWORLDTESTDATA']行 ['6', '4A', '6CCFAF36FE45174CC60A2BB53F0C5A4002550A32C3E68425463EC007B03A1ABC5EBD9F393DCE551484CB3E21DB1386EE48236EC167B46033C592DC8483A88C02ABDAC024ABEEAAD882FC854C66C7F448678D088AAECE2D4956A88A0457808C1124F67769', 'B2A71EF409698E3D3F97FFFE1F252420123D5DCCCF65A838D89D9B260985DB9BC9F69E80267B0F1CE2677BCD1FA5F6D39EAFC86A5A7CDD2F98B51949B316179F0A98C27980D33E9704F8C1823F48B46AFD318DF500DFCF9DBF4150E954E9F046C1202A188DD110EC0A268679E2AC42A6A6FDC86A6C017987E1A99593D17146C5C90CCFC575C3B93374BA84ACDC2D6004ED5856079C55E75631DEBCFA1D55A8F6D09491BDD9050054CBFE74FD174D1AF02172D4E941761FC432532BBE818390038A24A365FB51CFC9']列，源：00f98436d15b41c303900256c87df655 备：90fc1b96bdd98be0ebddf18e2e4b44e8</t>
        </is>
      </c>
      <c r="AL8" t="inlineStr">
        <is>
          <t>['7', '2000-05-11 14:30:29']行 ['123', '2025-01-0100:00:00.233']列，源：2e1088644583c54f021ba6fbbd0145b2 备：83dd1133f2760f7a73bd7a4a9fd2bb0f</t>
        </is>
      </c>
      <c r="AM8" t="inlineStr">
        <is>
          <t>['7', '2000-05-11 14:30:29']行 ['15', '2001-04-0923:59:59.993']列，源：2e1088644583c54f021ba6fbbd0145b2 备：72c850940e18c1fefbfcc8955f523a0b</t>
        </is>
      </c>
      <c r="AN8" t="inlineStr">
        <is>
          <t>['7', '100', '0', '0', '0', '', '', '', '', '-888888.22', '', '', '', '', '', '0', '0', '203685477.5808', '', '0']行 ['15', '100', '', '123456', '1000000', '', '1', '0.000000000000000000000000001', '0.000000001', '-888888.22', '0', '1', '0.000000000000000000000000000001', '0.000001', '0.01', '0', '0', '203685477.5808', '', '0']列，源：ede9146a71413c91f87c3f532ef82c36 备：7f75307069eb95d2501445e26ba81699</t>
        </is>
      </c>
      <c r="AO8" t="inlineStr">
        <is>
          <t>['7', '2000-05-11 14:30:29']行 ['11', '1997-04-0423:59:59.997']列，源：2e1088644583c54f021ba6fbbd0145b2 备：bb435b12de45d9ed5e562f989cbfc4c3</t>
        </is>
      </c>
      <c r="AP8" t="inlineStr">
        <is>
          <t>['6', '9999-12-31 23:59:59.997']行 ['14', '9999-12-3123:59:59.997']列，源：6ddba01fcacbb3fc08ff04669434d952 备：9e1ddd03d67d6b8e2b5357b8be2b0016</t>
        </is>
      </c>
      <c r="AQ8" t="inlineStr">
        <is>
          <t>['7',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行 ['6', 'T',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cabc937cc716fca256f404abe4dc842b 备：fe5518cd8de2a3452d8b68d0de79792f</t>
        </is>
      </c>
      <c r="AR8" t="inlineStr">
        <is>
          <t>['6', '2020-02-29 19:27:31.123']行 ['14', '2000-05-0123:59:59.993']列，源：b508aa13b2796caa994f13bde922fcb0 备：2457f0c00657efcd02ebb7fd48eef12a</t>
        </is>
      </c>
      <c r="AT8" t="inlineStr">
        <is>
          <t>['18', '2004-12-24 23:59:59.99']行 ['7', '2000-05-1114:30:29.000']列，源：f3e582e7ca3490aebd76ed5e1f232325 备：1f1873d69c431d509f1d59937dc1a8e7</t>
        </is>
      </c>
      <c r="AV8"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AW8"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AX8" t="inlineStr">
        <is>
          <t>['7', '1970-01-01']行 ['5', '2026-04-17 00:00:00']列，源：bb61a186c635829b41be7ca8b286402d 备：a9d6f923ef723efde238d2495d243d08</t>
        </is>
      </c>
      <c r="AY8"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AZ8" t="inlineStr">
        <is>
          <t>['7', '2065-05-11 14:30:45', '2065-05-11 14:30:45.1', '2065-05-11 14:30:45.12', '2065-05-11 14:30:45.123', '2065-05-11 14:30:45.1235', '2065-05-11 14:30:45.12346', '2065-05-11 14:30:45.123457', '2065-05-11 14:30:45.123456']行 ['176', '1945-05-1114:30:45', '1945-05-1114:30:45.1', '1945-05-1114:30:45.12', '1945-05-1114:30:45.123', '1945-05-1114:30:45.1235', '1945-05-1114:30:45.12346', '1945-05-1114:30:45.123457', '1945-05-1114:30:45.1234567']列，源：8a25892ed859f08628774f516c62c5ab 备：3c5a963117364e450691001f7f283103</t>
        </is>
      </c>
      <c r="BA8" t="inlineStr">
        <is>
          <t>['15', '', '', '', '', '0', '1', '0.000000000000000000000000001', '0.000000001', '0.0001', '0', '1', '0.000000000000000000000000000001', '0.000001', '0.01', '', '', '', '', '']行 ['16', '', '', '', '', '', '', '', '', '', '', '', '', '', '', '123456789000000002003480098300000000000', '340282306073709652508363335600000000000', '123456.789', '1234.5678', '1']列，源：221d65c70706de8fe2f4d798e2ad9782 备：bd2a48339d77dbd935f5a501c060bab3</t>
        </is>
      </c>
      <c r="BB8"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'8F', '6DE501B26364D651A83516180C5B41BB1934C3C1', 'DC2E401057DED1A06F2B3750FFBE65AE5961CEB646CA80ED21E5EA766C5F72D4F0CAEF5EF8527AADDD2AECB60BBFA9AD19D821D5E67C1B288E81325900B4D19290AD8C94FA02ED0C02B5B8B518F7B5E2175CD9FF912E7257156562CD370D07B06AA148074C6C5C844B28A46E6A6856E700482B6CEA17D4C28F2967C5A5C5B37046B1DF44702889A49BD23652E649F363CE7353A671FD61090D3CE147AB5FB0F13D2843AC7D62DF8FBF5896160DE4C9AE7CFD879ED8CEE104DAC846F4ED27B63AA0B9B19C5A59BFE9']列，源：f85aae296604832f712b828f549d4f5b 备：1a3ffddc211321ac4b8994e7f2a32f61</t>
        </is>
      </c>
      <c r="BC8" t="inlineStr">
        <is>
          <t>['7', '2065-05-11 14:30:45', '2065-05-11 14:30:45.1', '2065-05-11 14:30:45.12', '2065-05-11 14:30:45.123', '2065-05-11 14:30:45.1235', '2065-05-11 14:30:45.12346', '2065-05-11 14:30:45.123457', '2065-05-11 14:30:45.123456']行 ['203', '2026-04-1717:17:33', '2026-04-1717:17:33.4', '2026-04-1717:17:33.41', '2026-04-1717:17:33.413', '2026-04-1717:17:33.4133', '2026-04-1717:17:33.41330', '2026-04-1717:17:33.413301', '2026-04-1717:17:33.4133005']列，源：8a25892ed859f08628774f516c62c5ab 备：73c7536242d760a6e02b9705f76860ea</t>
        </is>
      </c>
      <c r="BD8" t="inlineStr">
        <is>
          <t>['8', '0', '0', '0', '0', '99999', '', '', '', '-11111.34', '', '', '', '', '', '123.456789', '', '', '', '1']行 ['15', '', '', '', '', '0', '1', '0.000000000000000000000000001', '0.000000001', '0.0001', '0', '1', '0.000000000000000000000000000001', '0.000001', '0.01', '', '', '', '', '']列，源：30443a3716874c1bf389761b9a5c5740 备：221d65c70706de8fe2f4d798e2ad9782</t>
        </is>
      </c>
      <c r="BF8" t="inlineStr">
        <is>
          <t>['6', '2046-05-11 14:30:45', '2046-05-11 14:30:45.1', '2046-05-11 14:30:45.12', '2046-05-11 14:30:45.123', '2046-05-11 14:30:45.1235', '2046-05-11 14:30:45.12346', '2046-05-11 14:30:45.123457', '2046-05-11 14:30:45.123456']行 ['6', '2046-05-1114:30:45', '2046-05-1114:30:45.1', '2046-05-1114:30:45.12', '2046-05-1114:30:45.123', '2046-05-1114:30:45.1235', '2046-05-1114:30:45.12346', '2046-05-1114:30:45.123457', '2046-05-1114:30:45.1234567']列，源：b5ee1f4306511a07ab84abac78d5e346 备：0a7fd8347f54da2ef41dd0347a5bff1c</t>
        </is>
      </c>
      <c r="BG8" t="inlineStr">
        <is>
          <t>['7',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['22', '', '', '']列，源：7c1ca543e674eb963620327e44d2a28a 备：ef3d3ae2cc3100294981fe356141dafb</t>
        </is>
      </c>
      <c r="BH8" t="inlineStr">
        <is>
          <t>['7', '1900-01-01']行 ['7', '1900-01-01 00:00:00']列，源：e389f027ba80b01f87e13a05f9c5388d 备：998378e5b148cd3ae8e5b7759d61eda2</t>
        </is>
      </c>
      <c r="BI8" t="inlineStr">
        <is>
          <t>['6', '2025-02-01 00:00:00', '2025-02-01 00:00:00', '2025-02-01 00:00:00', '2025-02-01 00:00:00', '2025-02-01 00:00:00', '2025-02-01 00:00:00', '2025-02-01 00:00:00', '2025-01-31 23:59:59.999999']行 ['6', '2025-02-0100:00:00', '2025-02-0100:00:00.0', '2025-02-0100:00:00.00', '2025-02-0100:00:00.000', '2025-02-0100:00:00.0000', '2025-02-0100:00:00.00000', '2025-02-0100:00:00.000000', '2025-01-3123:59:59.9999999']列，源：f98e4e019f49d7962916067e86c4b2d3 备：2881008b1903224ea6edc8e631493fed</t>
        </is>
      </c>
      <c r="BJ8"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BK8"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备：68002f8ad24c33efcab7cc850d8b69f3</t>
        </is>
      </c>
      <c r="BM8" t="inlineStr">
        <is>
          <t>['7',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行 ['6', 'T', 'THISISANVARCHAR', '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THISISANVARCHAR']列，源：cabc937cc716fca256f404abe4dc842b 备：c4b785fa4239c5c7840bfb28b6ce2e1b</t>
        </is>
      </c>
      <c r="BO8"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f85aae296604832f712b828f549d4f5b 备：e5002a894769fb99aa1f5dee0f011224</t>
        </is>
      </c>
      <c r="BQ8" t="inlineStr">
        <is>
          <t>['7', '1933-05-1115:30:45+01:00', '1933-05-1115:30:45.1+01:00', '1933-05-1115:30:45.12+01:00', '1933-05-1115:30:45.123+01:00', '1933-05-1115:30:45.1235+01:00', '1933-05-1115:30:45.12346+01:00', '1933-05-1115:30:45.123457+01:00', '1933-05-1115:30:45.1234567+01:00']行 ['3', '2026-04-1717:18:21+08:00', '2026-04-1717:18:20.6+08:00', '2026-04-1717:18:20.57+08:00', '2026-04-1717:18:20.568+08:00', '2026-04-1717:18:20.5678+08:00', '2026-04-1717:18:20.56779+08:00', '2026-04-1717:18:20.567790+08:00', '2026-04-1717:18:20.5677897+08:00']列，源：8ae1a4b73489bcb460fbf33b4757ae7a 备：5cb5d1498903a390c67a7e8c68e3ffe3</t>
        </is>
      </c>
      <c r="BS8" t="inlineStr">
        <is>
          <t>['7', '1933-05-1115:30:45+01:00', '1933-05-1115:30:45.1+01:00', '1933-05-1115:30:45.12+01:00', '1933-05-1115:30:45.123+01:00', '1933-05-1115:30:45.1235+01:00', '1933-05-1115:30:45.12346+01:00', '1933-05-1115:30:45.123457+01:00', '1933-05-1115:30:45.1234567+01:00']行 ['124', '0001-01-0100:00:00+00:00', '0001-01-0100:00:00.0+00:00', '0001-01-0100:00:00.00+00:00', '0001-01-0100:00:00.000+00:00', '0001-01-0100:00:00.0000+00:00', '0001-01-0100:00:00.00000+00:00', '0001-01-0100:00:00.000000+00:00', '0001-01-0100:00:00.0000000+00:00']列，源：8ae1a4b73489bcb460fbf33b4757ae7a 备：9aea27c49b437d0f59a09a1f0ab877f8</t>
        </is>
      </c>
      <c r="BT8" t="inlineStr">
        <is>
          <t>['6', '€', 'TOOLONG英255VAL方&amp;', 'TOOLONG英255VAL方&amp;TOOLONG英255V']行 ['6', '€', 'TOOLONG英255VAL方&amp;', '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列，源：dfcea91c323c70fb2e3af0d30546a3ad 备：ba8694115e30ece8a575644dbb2335cf</t>
        </is>
      </c>
      <c r="BU8" t="inlineStr">
        <is>
          <t>['7', '1933-05-1115:30:45+01:00', '1933-05-1115:30:45.1+01:00', '1933-05-1115:30:45.12+01:00', '1933-05-1115:30:45.123+01:00', '1933-05-1115:30:45.1235+01:00', '1933-05-1115:30:45.12346+01:00', '1933-05-1115:30:45.123457+01:00', '1933-05-1115:30:45.1234567+01:00']行 ['3', '2026-04-1717:18:32+08:00', '2026-04-1717:18:31.5+08:00', '2026-04-1717:18:31.54+08:00', '2026-04-1717:18:31.537+08:00', '2026-04-1717:18:31.5370+08:00', '2026-04-1717:18:31.53698+08:00', '2026-04-1717:18:31.536981+08:00', '2026-04-1717:18:31.5369809+08:00']列，源：8ae1a4b73489bcb460fbf33b4757ae7a 备：0efec4c4a33512935b692ea911746a9a</t>
        </is>
      </c>
      <c r="BV8"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['107',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85aae296604832f712b828f549d4f5b 备：7a9a51c7643de0bb08bef0ea7de6a17e</t>
        </is>
      </c>
      <c r="BW8" t="inlineStr">
        <is>
          <t>['7', '1933-05-1115:30:45+01:00', '1933-05-1115:30:45.1+01:00', '1933-05-1115:30:45.12+01:00', '1933-05-1115:30:45.123+01:00', '1933-05-1115:30:45.1235+01:00', '1933-05-1115:30:45.12346+01:00', '1933-05-1115:30:45.123457+01:00', '1933-05-1115:30:45.1234567+01:00']行 ['108', '2000-05-1100:30:45+09:00', '2000-05-1100:30:45.1+09:00', '2000-05-1100:30:45.12+09:00', '2000-05-1100:30:45.123+09:00', '2000-05-1100:30:45.1235+09:00', '2000-05-1100:30:45.12346+09:00', '2000-05-1100:30:45.123457+09:00', '2000-05-1100:30:45.1234567+09:00']列，源：8ae1a4b73489bcb460fbf33b4757ae7a 备：0923b81be6e22f2b58fb644a4f0ddba6</t>
        </is>
      </c>
      <c r="BY8" t="inlineStr">
        <is>
          <t>['7', '1971-05-1100:00:00+14:00', '', '1971-05-1100:00:00.00+14:00', '', '1971-05-1100:00:00.0000+14:00', '', '1971-05-1100:00:00.000000+14:00', '']行 ['3', '1971-05-1100:00:00+14:00', '', '1971-05-1100:00:00.00+14:00', '', '1971-05-1100:00:00.0000+14:00', '', '1971-05-1100:00:00.000000+14:00', '']列，源：33f41903c090cddf52a3bc303d9c472c 备：27f6a1ff4a0ed3fe4339736c6d13a8a5</t>
        </is>
      </c>
      <c r="BZ8" t="inlineStr">
        <is>
          <t>['7', '12:30:45', '12:30:45.1', '12:30:45.12', '12:30:45.123', '12:30:45.123', '12:30:45.123', '12:30:45.123', '12:30:45.123']行 ['2', '2026-04-19 00:00:00', '2026-04-19 00:00:00', '2026-04-19 00:00:00', '2026-04-19 00:00:00', '2026-04-19 00:00:00', '2026-04-19 00:00:00', '2026-04-19 00:00:00', '2026-04-19 00:00:00']列，源：f73fe0ad5499073dcac5c1fb9135350a 备：173b808bd14c96f9330babbd1a42793e</t>
        </is>
      </c>
      <c r="CA8" t="inlineStr">
        <is>
          <t>['7', '2063-03-1202:00:00-04:25', '2063-03-1202:00:00.0-04:25', '2063-03-1202:00:00.00-04:25', '2063-03-1202:00:00.000-04:25', '2063-03-1202:00:00.0000-04:25', '2063-03-1202:00:00.00000-04:25', '2063-03-1202:00:00.000000-04:25', '2063-03-1202:00:00.0000000-04:25']行 ['3', '2000-05-1100:30:45+09:00', '2000-05-1100:30:45.1+09:00', '2000-05-1100:30:45.12+09:00', '2000-05-1100:30:45.123+09:00', '2000-05-1100:30:45.1235+09:00', '2000-05-1100:30:45.12346+09:00', '2000-05-1100:30:45.123457+09:00', '2000-05-1100:30:45.1234567+09:00']列，源：274c40c0dd4772b5873078865b7b8223 备：c178879dbf722af501cf35bec54a0db8</t>
        </is>
      </c>
      <c r="CB8" t="inlineStr">
        <is>
          <t>['7', '1970-01-01']行 ['127', '1970-01-01 00:00:00']列，源：bb61a186c635829b41be7ca8b286402d 备：6bce158d2aad753031b9745fd729acdb</t>
        </is>
      </c>
      <c r="CD8" t="inlineStr">
        <is>
          <t>['7', '1970-01-01']行 ['5', '2026-04-17 00:00:00']列，源：bb61a186c635829b41be7ca8b286402d 备：a9d6f923ef723efde238d2495d243d08</t>
        </is>
      </c>
      <c r="CF8" t="inlineStr">
        <is>
          <t>['6', 'X', 'THISISATESTSTRIN', 'CASECASECASECASECASECASECASECASECASECASECASECASECASECASECASECASECASECASECASECASECASECASECASECASECASECASECASECASECASECASECASECASECASECASECASECASECASECASECASECASECASECASECASECASECASECASECASECASECASECASE']行 ['5',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325ec0b45a24c57f394988fa51d9e391 备：d96d43c20dc989467a9f0eddfddfff8e</t>
        </is>
      </c>
      <c r="CG8" t="inlineStr">
        <is>
          <t>['9', '12:30:45', '12:30:45.1', '12:30:45.12', '12:30:45.123', '12:30:45.1235', '12:30:45.12345', '12:30:45.12345', '12:30:45.12345']行 ['6', '2026-04-19 12:30:45', '2026-04-19 12:30:45.1', '2026-04-19 12:30:45.12', '2026-04-19 12:30:45.12', '2026-04-19 12:30:45.12', '2026-04-19 12:30:45.12', '2026-04-19 12:30:45.12', '2026-04-19 12:30:45.12']列，源：3eefe787ab488b15ac760bc60a6e6fde 备：0d78d5ad9e9aabb44dad5dadf55fdd23</t>
        </is>
      </c>
      <c r="CH8" t="inlineStr">
        <is>
          <t>['7', '1970-01-01']行 ['108', '0001-01-02 00:00:00']列，源：bb61a186c635829b41be7ca8b286402d 备：9edf1cde4121bc0461b3da319a012b69</t>
        </is>
      </c>
      <c r="CI8" t="inlineStr">
        <is>
          <t>['6', 'T',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50fc874ab132cad7e5a8f5b98a2c26de 备：846658c6426c8aad960fbac5e9014739</t>
        </is>
      </c>
      <c r="CK8" t="inlineStr">
        <is>
          <t>['6', '', '', '', '', '123456789012345678', '', '0.00000000000000000000000000000000000001', '', '', '', '', '', '', '', '', '', '', '', '']行 ['14', '', '', '', '', '', '', '', '', '', '', '', '', '', '', '', '', '100.5', '99.5', '']列，源：74f03c74dc89bcca96116f0c863c73cf 备：3b33070a05564aade000a74713c64b00</t>
        </is>
      </c>
      <c r="CL8" t="inlineStr">
        <is>
          <t>['7', '2000-05-11 14:30:00']行 ['2', '1900-01-0100:00:00']列，源：261351d85e795292a44e2943602f4567 备：8a27d30f89932093302399e7f8998c9c</t>
        </is>
      </c>
      <c r="CN8" t="inlineStr">
        <is>
          <t>['12', '1990-11-26 00:01:00']行 ['9', '1981-05-1114:31:00']列，源：5137c2d9126ec1582cdbe23e9499cf51 备：935b5b35ef9c0a6a8a85fa748df68946</t>
        </is>
      </c>
      <c r="CS8" t="inlineStr">
        <is>
          <t>['6', '2026-04-17']行 ['4', '2026-04-17 00:00:00']列，源：fe97ee87169dc042ac40b08bc7b011aa 备：c6f75811e38406a94365cac43eb28b1a</t>
        </is>
      </c>
      <c r="CT8" t="inlineStr">
        <is>
          <t>['6', '2020-02-29']行 ['4', '9999-12-31 00:00:00']列，源：a2a7a57dda79ef4680a19eb1520320ee 备：b3a1b365b6444b4bc6269967e1c61896</t>
        </is>
      </c>
      <c r="CV8" t="inlineStr">
        <is>
          <t>['7', '2000-05-11 14:30:29']行 ['15', '2001-04-0923:59:59.993']列，源：2e1088644583c54f021ba6fbbd0145b2 备：72c850940e18c1fefbfcc8955f523a0b</t>
        </is>
      </c>
      <c r="CW8" t="inlineStr">
        <is>
          <t>['9', '', '', '', '', '', '', '', '-0.0000000001', '', '', '', '', '', '', '', '', '', '', '']行 ['15', '', '', '', '', '', '', '', '', '', '', '', '', '', '', '', '', '9999.99', '1000', '']列，源：a3fad7ea8e5ea60f0a4b941f41897462 备：a5a49824077b54039714fe3dac32e7fc</t>
        </is>
      </c>
      <c r="CZ8" t="inlineStr">
        <is>
          <t>['7', '2026-04-17 16:54:41.84']行 ['7', '2026-04-1716:54:41.840']列，源：f11b92efc0f76265a53139bb1b803874 备：7402b21eb67a8293b3218817d5db5123</t>
        </is>
      </c>
      <c r="DB8" t="inlineStr">
        <is>
          <t>['9', '1981-05-11 14:30:59']行 ['18', '2004-12-2423:59:59.990']列，源：dba06633e5fc9f87b83fde6e278eb097 备：f42b752525aabf0bcdf23e82a8a8608c</t>
        </is>
      </c>
      <c r="DC8" t="inlineStr">
        <is>
          <t>['11', '1990-12-31']行 ['8', '2026-04-17 00:00:00']列，源：116b040c22aebdb2bd05f6ba65f1bfae 备：b008658bb7de5e18700d149446b84035</t>
        </is>
      </c>
      <c r="DE8" t="inlineStr">
        <is>
          <t>['7',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列，源：b789a4c7386a64a58ee336e12e0ca4b7 备：8af8f94b3f1fa92c47509553848aed8c</t>
        </is>
      </c>
      <c r="DF8" t="inlineStr">
        <is>
          <t>['7', '12:30:45', '12:30:45.1', '12:30:45.12', '12:30:45.123', '12:30:45.123', '12:30:45.123', '12:30:45.123', '12:30:45.123']行 ['15', '2026-04-19 00:00:01', '', '2026-04-19 00:00:01.12', '', '2026-04-19 00:00:01.1235', '', '2026-04-19 00:00:01.123457', '']列，源：f73fe0ad5499073dcac5c1fb9135350a 备：cac3b43afc32a33504113a5751b0aba1</t>
        </is>
      </c>
      <c r="DH8" t="inlineStr">
        <is>
          <t>['7', '12:30:45', '12:30:45.1', '12:30:45.12', '12:30:45.123', '12:30:45.123', '12:30:45.123', '12:30:45.123', '12:30:45.123']行 ['14', '', '2026-04-19 12:00:00.1', '', '2026-04-19 12:00:00.123', '', '2026-04-19 12:00:00.12346', '', '2026-04-19 12:00:00.123456']列，源：f73fe0ad5499073dcac5c1fb9135350a 备：8d1070e5102c144780911722f01bee18</t>
        </is>
      </c>
      <c r="DK8" t="inlineStr">
        <is>
          <t>['7',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['22', '', '', '']列，源：7c1ca543e674eb963620327e44d2a28a 备：ef3d3ae2cc3100294981fe356141dafb</t>
        </is>
      </c>
      <c r="DL8" t="inlineStr">
        <is>
          <t>['7',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'2065-05-1114:30:45.1234567']列，源：8a25892ed859f08628774f516c62c5ab 备：f6b1120e7d9c8b20be933fee4ab4d63b</t>
        </is>
      </c>
      <c r="DM8" t="inlineStr">
        <is>
          <t>['7', 'T', 'HELLOWORLD', 'HELLOWORLDTESTDATA']行 ['6', 'EB', '4EDC2125C4D9B53775D40F74945E0779A3ED0D6FA62D29A7472F6301AF9255783A7C290510BA7C7BF518E0DD05CA446B369D2E3B5CD11922278E9F411FCDCFF5729890CD92AEA745AC36DBD095B9F03A1041AF7A7AD18614A4A32B3EA71D8D34C7FF9B1A', '030E6F75E3036433A51E635EB2D21BC38CB4E3E5466154E23BBE11F2239B7DAB2A270ED02E98B51984631D0D45BCFE2F5CD687AE9FBE6C693A577E3B65D2006AD29FC58F6F4A58656B587B4F69C76B78FBB1A83161BA738FF3AD2035484FA9ACD2F4867FA668B0851C9F3D81E2579275A82DB4B1B315FDDAE0D6D1FAFE557F60358841A69E88B391C10745A5AF656C15F9E0AB1DD8FBA363E64C8500554E4E4556949BF3D2D4198B29C17F30E7274B603253C58F39E4AC857BD4408D47E885CF687A9BDFA724F8EC']列，源：00f98436d15b41c303900256c87df655 备：e71f64a6d7cb927c203a4d40fe3add53</t>
        </is>
      </c>
      <c r="DO8" t="inlineStr">
        <is>
          <t>['7', '12:30:45', '12:30:45.1', '12:30:45.12', '12:30:45.123', '12:30:45.123', '12:30:45.123', '12:30:45.123', '12:30:45.123']行 ['15', '2026-04-19 00:00:01', '', '2026-04-19 00:00:01.12', '', '2026-04-19 00:00:01.1235', '', '2026-04-19 00:00:01.123457', '']列，源：f73fe0ad5499073dcac5c1fb9135350a 备：cac3b43afc32a33504113a5751b0aba1</t>
        </is>
      </c>
      <c r="DP8" t="inlineStr">
        <is>
          <t>['7', 'T', 'HELLOWORLD', 'HELLOWORLDTESTDATA']行 ['127', '54', '48656C6C6F576F726C64', '48656C6C6F576F726C645465737444617461']列，源：00f98436d15b41c303900256c87df655 备：93d2be01942f471211944d4936ce9631</t>
        </is>
      </c>
      <c r="DS8" t="inlineStr">
        <is>
          <t>['7', '1900-01-01 00:00:00', '1900-01-01 00:00:00', '1900-01-01 00:00:00', '1900-01-01 00:00:00', '1900-01-01 00:00:00', '1900-01-01 00:00:00', '1900-01-01 00:00:00', '1900-01-01 00:00:00']行 ['7', '1900-01-0100:00:00', '1900-01-0100:00:00.0', '1900-01-0100:00:00.00', '1900-01-0100:00:00.000', '1900-01-0100:00:00.0000', '1900-01-0100:00:00.00000', '1900-01-0100:00:00.000000', '1900-01-0100:00:00.0000000']列，源：c3f030819e21ece6880a9180b6dbcbc1 备：2128b4990ea399aed74db520993bbfb1</t>
        </is>
      </c>
      <c r="DT8" t="inlineStr">
        <is>
          <t>['6', '127', '255', '65535', '4294967295', '', '', '', '', '', '', '', '', '', '', '', '', '', '', '']行 ['14', '', '', '', '', '1000000000000000', '100000000000000000000000000000000', '1', '9999999999999999999999.999999', '999999999999.999', '100000000000000', '999999999999999999999', '0.999999999999999999999999999', '999999999999999999999.999999', '9999999999.99', '', '', '', '', '']列，源：d68f5721ae5db53f05856a030e641aba 备：b197c452aea238e9c6c5e0c19446e315</t>
        </is>
      </c>
      <c r="DV8" t="inlineStr">
        <is>
          <t>['7', '12:30:45', '12:30:45.1', '12:30:45.12', '12:30:45.123', '12:30:45.123', '12:30:45.123', '12:30:45.123', '12:30:45.123']行 ['14', '', '2026-04-19 12:00:00.1', '', '2026-04-19 12:00:00.123', '', '2026-04-19 12:00:00.12346', '', '2026-04-19 12:00:00.123456']列，源：f73fe0ad5499073dcac5c1fb9135350a 备：8d1070e5102c144780911722f01bee18</t>
        </is>
      </c>
      <c r="DW8" t="inlineStr">
        <is>
          <t>['7', 'T', 'HELLOWORLD', 'HELLOWORLDTESTDATA']行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00f98436d15b41c303900256c87df655 备：7c6bda8ac607acd38287cfdc6198af48</t>
        </is>
      </c>
      <c r="DX8" t="inlineStr">
        <is>
          <t>['6', '18:10:06', '18:10:06.1', '18:10:06.12', '18:10:06.123', '18:10:06.1235', '18:10:06.12346', '18:10:06.123457', '18:10:06.123456']行 ['14', '2026-04-19 18:10:06', '2026-04-19 18:10:06.1', '2026-04-19 18:10:06.12', '2026-04-19 18:10:06.123', '2026-04-19 18:10:06.1235', '2026-04-19 18:10:06.12346', '2026-04-19 18:10:06.123457', '2026-04-19 18:10:06.123456']列，源：23f45a86a090766aef896f5493aa60ff 备：cfe04e9c83dea7561fcd1dc87dc616d2</t>
        </is>
      </c>
      <c r="DZ8" t="inlineStr">
        <is>
          <t>['6', '09:12:34', '12:30:45.1', '09:12:34.12', '12:30:45.12', '09:12:34.1235', '12:30:45.12', '09:12:34.123457', '12:30:45.12']行 ['14', '', '2026-04-19 12:00:00.1', '', '2026-04-19 12:00:00.123', '', '2026-04-19 12:00:00.12346', '', '2026-04-19 12:00:00.123456']列，源：31ec5d24a09127883f504e6cbcd26385 备：8d1070e5102c144780911722f01bee18</t>
        </is>
      </c>
      <c r="EB8" t="inlineStr">
        <is>
          <t>['6', '127', '255', '65535', '4294967295', '', '', '', '', '', '', '', '', '', '', '', '', '', '', '']行 ['104', '', '', '', '', '123456789123456789', '-1234567890123456789012345', '0.0000000000000000000000008', '1234567890123456789012345678', '-123456789012.1234', '123456789123456789', '-1234567890123456789012345', '0.0000000000000000000000008', '1234567890123456789012345678', '-123456789012.12', '', '', '', '', '']列，源：d68f5721ae5db53f05856a030e641aba 备：feb5d04bbe7420cb48d9ca1aada6f32d</t>
        </is>
      </c>
      <c r="EE8" t="inlineStr">
        <is>
          <t>['12', '23:59:59', '23:59:59.1', '23:59:59.12', '23:59:59.123', '23:59:59.1235', '23:59:59.12346', '23:59:59.123457', '23:59:59.123456']行 ['15', '2026-04-19 00:00:01', '', '2026-04-19 00:00:01.12', '', '2026-04-19 00:00:01.1235', '', '2026-04-19 00:00:01.123457', '']列，源：41065a7e603d957b5e640f1d1f1d810b 备：cac3b43afc32a33504113a5751b0aba1</t>
        </is>
      </c>
      <c r="EF8" t="inlineStr">
        <is>
          <t>['12', '23:59:59', '23:59:59.1', '23:59:59.12', '23:59:59.123', '23:59:59.1235', '23:59:59.12346', '23:59:59.123457', '23:59:59.123456']行 ['2', '2026-04-19 18:10:06', '2026-04-19 18:10:06.1', '2026-04-19 18:10:06.12', '2026-04-19 18:10:06.123', '2026-04-19 18:10:06.1235', '2026-04-19 18:10:06.12346', '2026-04-19 18:10:06.123457', '2026-04-19 18:10:06.123456']列，源：41065a7e603d957b5e640f1d1f1d810b 备：050e589e1b01519724e38ade6f6ab21d</t>
        </is>
      </c>
      <c r="EG8" t="inlineStr">
        <is>
          <t>['7', '2000-05-11 14:30:00']行 ['2', '1900-01-0100:00:00']列，源：261351d85e795292a44e2943602f4567 备：8a27d30f89932093302399e7f8998c9c</t>
        </is>
      </c>
      <c r="EH8" t="inlineStr">
        <is>
          <t>['7', '2000-05-11 14:30:00']行 ['126', '2020-03-0100:00:00']列，源：261351d85e795292a44e2943602f4567 备：e8aa324388572f42c591da923d732c44</t>
        </is>
      </c>
      <c r="EI8" t="inlineStr">
        <is>
          <t>['6', '127', '255', '65535', '4294967295', '', '', '', '', '', '', '', '', '', '', '', '', '', '', '']行 ['104', '', '', '', '', '123456789123456789', '-1234567890123456789012345', '0.0000000000000000000000008', '1234567890123456789012345678', '-123456789012.1234', '123456789123456789', '-1234567890123456789012345', '0.0000000000000000000000008', '1234567890123456789012345678', '-123456789012.12', '', '', '', '', '']列，源：d68f5721ae5db53f05856a030e641aba 备：feb5d04bbe7420cb48d9ca1aada6f32d</t>
        </is>
      </c>
      <c r="EJ8" t="inlineStr">
        <is>
          <t>['6', '127', '255', '65535', '4294967295', '', '', '', '', '', '', '', '', '', '', '', '', '', '', '']行 ['14', '', '', '', '', '1000000000000000', '100000000000000000000000000000000', '1', '9999999999999999999999.999999', '999999999999.999', '100000000000000', '999999999999999999999', '0.999999999999999999999999999', '999999999999999999999.999999', '9999999999.99', '', '', '', '', '']列，源：d68f5721ae5db53f05856a030e641aba 备：b197c452aea238e9c6c5e0c19446e315</t>
        </is>
      </c>
      <c r="EK8" t="inlineStr">
        <is>
          <t>['7', 'T', 'HELLOWORLD', 'HELLOWORLDTESTDATA']行 ['107', '54', '48656C6C6F576F726C64', '48656C6C6F576F726C645465737444617461']列，源：00f98436d15b41c303900256c87df655 备：8973bee83d9b4d18b1dd02c2c85ca768</t>
        </is>
      </c>
      <c r="EL8" t="inlineStr">
        <is>
          <t>['7', '1933-05-1115:30:45+01:00', '1933-05-1115:30:45.1+01:00', '1933-05-1115:30:45.12+01:00', '1933-05-1115:30:45.123+01:00', '1933-05-1115:30:45.1235+01:00', '1933-05-1115:30:45.12346+01:00', '1933-05-1115:30:45.123457+01:00', '1933-05-1115:30:45.1234567+01:00']行 ['3', '2026-04-1716:56:53+08:00', '2026-04-1716:56:52.8+08:00', '2026-04-1716:56:52.83+08:00', '2026-04-1716:56:52.828+08:00', '2026-04-1716:56:52.8279+08:00', '2026-04-1716:56:52.82789+08:00', '2026-04-1716:56:52.827894+08:00', '2026-04-1716:56:52.8278938+08:00']列，源：8ae1a4b73489bcb460fbf33b4757ae7a 备：d3d2137dd8becc272579a695d1210c18</t>
        </is>
      </c>
      <c r="EM8" t="inlineStr">
        <is>
          <t>['7', '2000-05-11 14:30:00']行 ['2', '1900-01-0100:00:00']列，源：261351d85e795292a44e2943602f4567 备：8a27d30f89932093302399e7f8998c9c</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 xml:space="preserve"> NO!  	 c_dtoffset_1列源备映射错误，源端为datetimeoffset None位	期望更改为text	实际备端为datetimeoffset None位</t>
        </is>
      </c>
      <c r="Y9" t="inlineStr">
        <is>
          <t>['8', '2068-05-11 14:31:00']行 ['27', '2000-05-1114:30:00']列，源：c20db0d090d4853ac182e54f16efc93e 备：d784892a5dca36b05db5f39c4330fc8e</t>
        </is>
      </c>
      <c r="Z9" t="inlineStr">
        <is>
          <t>['7', '2026-04-17 17:16:00']行 ['2', '2026-04-1717:16:00']列，源：5ace51312769c8697705df1d11ebb8f4 备：2f9d581d83f955928c521476dc06037a</t>
        </is>
      </c>
      <c r="AA9" t="inlineStr">
        <is>
          <t>['7', '2079-06-05 23:59:00']行 ['2', '2026-04-1717:16:00']列，源：38550786c90078124438c9197e8f2726 备：2f9d581d83f955928c521476dc06037a</t>
        </is>
      </c>
      <c r="AB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AC9" t="inlineStr">
        <is>
          <t>['8',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175562610862ed737a71203d49ac035a 备：c17ed741840e8494bb2af6e42e13afaf</t>
        </is>
      </c>
      <c r="AH9" t="inlineStr">
        <is>
          <t>['8', '100', '-32768', '123456', '1000000', '', '', '', '', '-888888.22', '', '', '', '', '', '0', '0', '203685477.5808', '', '0']行 ['16', '100', '', '123456', '1000000', '', '', '', '', '-888888.22', '', '', '', '', '', '0', '0', '203685477.5808', '1234.5678', '0']列，源：701d239451c617250db375a08a417287 备：a515e5d3b3a6a5dcb444e796b21aff31</t>
        </is>
      </c>
      <c r="AJ9" t="inlineStr">
        <is>
          <t>['8', '2068-05-11 14:30:30']行 ['16', '2002-06-1123:59:59.993']列，源：014e55c2fe2464cc66dfd75b09f74eeb 备：dd95e5ac1573694c264ae980ec79cc8e</t>
        </is>
      </c>
      <c r="AK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AL9" t="inlineStr">
        <is>
          <t>['8', '2068-05-11 14:30:30']行 ['13', '1999-06-0623:59:59.997']列，源：014e55c2fe2464cc66dfd75b09f74eeb 备：f65f121e6afd79c01ba62004ffb1ad9b</t>
        </is>
      </c>
      <c r="AM9" t="inlineStr">
        <is>
          <t>['8', '2068-05-11 14:30:30']行 ['16', '2002-06-1123:59:59.993']列，源：014e55c2fe2464cc66dfd75b09f74eeb 备：dd95e5ac1573694c264ae980ec79cc8e</t>
        </is>
      </c>
      <c r="AN9" t="inlineStr">
        <is>
          <t>['8', '100', '0', '0', '0', '99999', '', '', '', '-11111.34', '', '', '', '', '', '123.456789', '0', '203685477.5808', '', '1']行 ['16', '100', '0', '0', '0', '', '', '', '', '-888888.22', '', '', '', '', '', '0', '0', '203685477.5808', '1234.5678', '0']列，源：9b241547c3caabd069604d7eede0bbfe 备：356c5029ff09b49281cc963009db2aed</t>
        </is>
      </c>
      <c r="AO9" t="inlineStr">
        <is>
          <t>['8', '2068-05-11 14:30:30']行 ['110', '1996-03-0323:59:59.997']列，源：014e55c2fe2464cc66dfd75b09f74eeb 备：5713e2e191f30fa16bacf7379f984f6e</t>
        </is>
      </c>
      <c r="AP9" t="inlineStr">
        <is>
          <t>['7', '9999-12-31 23:59:59.997']行 ['15', '9999-12-3123:59:59.997']列，源：971c45c1b0e3eb1b105ad13d75862dc1 备：b095e9db1662bc957a031a8bfdf14866</t>
        </is>
      </c>
      <c r="AQ9" t="inlineStr">
        <is>
          <t>['8',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d64972a46975144d2ede0a9de1426418 备：cabc937cc716fca256f404abe4dc842b</t>
        </is>
      </c>
      <c r="AR9" t="inlineStr">
        <is>
          <t>['7', '2020-02-29 19:27:31.123']行 ['15', '2001-04-0923:59:59.993']列，源：b31ce19c559a898ffd9b81b1a351d86c 备：72c850940e18c1fefbfcc8955f523a0b</t>
        </is>
      </c>
      <c r="AV9" t="inlineStr">
        <is>
          <t>['8',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175562610862ed737a71203d49ac035a 备：c17ed741840e8494bb2af6e42e13afaf</t>
        </is>
      </c>
      <c r="AX9" t="inlineStr">
        <is>
          <t>['8', '0001-01-02']行 ['6', '2020-02-29 00:00:00']列，源：04b57a1902d15a562e63a20116d02d54 备：f324cab36a986b21a06d8f275a7e31a9</t>
        </is>
      </c>
      <c r="AZ9" t="inlineStr">
        <is>
          <t>['21', '', '', '', '', '', '', '', '']行 ['177', '2065-05-1114:30:45', '2065-05-1114:30:45.1', '2065-05-1114:30:45.12', '2065-05-1114:30:45.123', '2065-05-1114:30:45.1235', '2065-05-1114:30:45.12346', '2065-05-1114:30:45.123457', '2065-05-1114:30:45.1234567']列，源：cc069b0555b1f248fd524f9713174ec2 备：a50c0097c7b05f093959ba3918252f23</t>
        </is>
      </c>
      <c r="BA9" t="inlineStr">
        <is>
          <t>['16', '', '', '', '', '', '', '', '', '', '', '', '', '', '', '123456789000000002003480098325095514112', '340282306073709652508363335590014353408', '123456.789', '1234.5678', '1']行 ['17', '', '', '', '', '', '', '', '', '', '', '', '', '', '', '-123456789000000002003480098300000000000', '-340282306073709652508363335600000000000', '-123456.789', '-1234.5678', '0']列，源：3438157f09e0f03dd18a5ed7d3b2efa2 备：7147e084238ecd6123743b4b9a65290e</t>
        </is>
      </c>
      <c r="BB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62199f3035785105df77c6d0310f4977 备：86fc697c4f402aefe34e23269138d429</t>
        </is>
      </c>
      <c r="BC9" t="inlineStr">
        <is>
          <t>['53', '2026-04-17 17:17:33', '2026-04-17 17:17:33.4', '2026-04-17 17:17:33.41', '2026-04-17 17:17:33.413', '2026-04-17 17:17:33.4133', '2026-04-17 17:17:33.4133', '2026-04-17 17:17:33.413301', '2026-04-17 17:17:33.4133']行 ['205', '9999-12-3123:59:59', '9999-12-3123:59:59.9', '9999-12-3123:59:59.99', '9999-12-3123:59:59.999', '9999-12-3123:59:59.9999', '9999-12-3123:59:59.99999', '9999-12-3123:59:59.999999', '9999-12-3123:59:59.9999999']列，源：4d743877c7f9568acc00a9f5cb08364d 备：1367bdb31fd1f780023fb0ea930fbcb4</t>
        </is>
      </c>
      <c r="BD9" t="inlineStr">
        <is>
          <t>['9', '42', '0', '0', '0', '99999', '', '', '', '-11111.34', '', '', '', '', '', '123.456789', '', '', '', '1']行 ['16', '', '', '', '', '', '', '', '', '', '', '', '', '', '', '123456789000000002003480098300000000000', '340282306073709652508363335600000000000', '123456.789', '1234.5678', '1']列，源：d06bc89a5507e56b246dc210172e752b 备：bd2a48339d77dbd935f5a501c060bab3</t>
        </is>
      </c>
      <c r="BF9" t="inlineStr">
        <is>
          <t>['7', '2046-05-11 14:30:45', '2046-05-11 14:30:45.1', '2046-05-11 14:30:45.12', '2046-05-11 14:30:45.123', '2046-05-11 14:30:45.1235', '2046-05-11 14:30:45.12346', '2046-05-11 14:30:45.123457', '2046-05-11 14:30:45.123456']行 ['7', '2046-05-1114:30:45', '2046-05-1114:30:45.1', '2046-05-1114:30:45.12', '2046-05-1114:30:45.123', '2046-05-1114:30:45.1235', '2046-05-1114:30:45.12346', '2046-05-1114:30:45.123457', '2046-05-1114:30:45.1234567']列，源：61bb28cbf151b459e1e806d9782b3d73 备：5e0d0856060107543176891d2c2a363e</t>
        </is>
      </c>
      <c r="BG9" t="inlineStr">
        <is>
          <t>['8',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65d227311e1c455ebd46b97f13e46ae9 备：961f274c219ecc2acde7624312e9f84a</t>
        </is>
      </c>
      <c r="BH9" t="inlineStr">
        <is>
          <t>['8', '1990-05-11']行 ['8', '1990-05-11 00:00:00']列，源：3dc1e5573a7ca1542c0d378010337571 备：9715e30f81bc192476657074823772ca</t>
        </is>
      </c>
      <c r="BI9" t="inlineStr">
        <is>
          <t>['7', '2025-02-01 00:00:00', '2025-02-01 00:00:00', '2025-02-01 00:00:00', '2025-02-01 00:00:00', '2025-02-01 00:00:00', '2025-02-01 00:00:00', '2025-02-01 00:00:00', '2025-01-31 23:59:59.999999']行 ['7', '2025-02-0100:00:00', '2025-02-0100:00:00.0', '2025-02-0100:00:00.00', '2025-02-0100:00:00.000', '2025-02-0100:00:00.0000', '2025-02-0100:00:00.00000', '2025-02-0100:00:00.000000', '2025-01-3123:59:59.9999999']列，源：efbfe76801e6d244ee625de3ab432c0a 备：394956511b3c82608b5f90d63b71fe47</t>
        </is>
      </c>
      <c r="BJ9" t="inlineStr">
        <is>
          <t>['8', 'A', 'THISISATEST',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5304811eb0f5b8af1cdf427615baccc5 备：c17ed741840e8494bb2af6e42e13afaf</t>
        </is>
      </c>
      <c r="BK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备：c955b52c8a453c9b76a7f88c6e22a8d3</t>
        </is>
      </c>
      <c r="BM9" t="inlineStr">
        <is>
          <t>['8',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 '*', '!@#%^&amp;+:&lt;&gt;?;\\N', '!@#%^&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amp;*+:&lt;&gt;?;\\N']列，源：d64972a46975144d2ede0a9de1426418 备：cabc937cc716fca256f404abe4dc842b</t>
        </is>
      </c>
      <c r="BO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62199f3035785105df77c6d0310f4977 备：86fc697c4f402aefe34e23269138d429</t>
        </is>
      </c>
      <c r="BQ9"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BS9" t="inlineStr">
        <is>
          <t>['8', '2000-05-1100:30:45+09:00', '2000-05-1100:30:45.1+09:00', '2000-05-1100:30:45.12+09:00', '2000-05-1100:30:45.123+09:00', '2000-05-1100:30:45.1235+09:00', '2000-05-1100:30:45.12346+09:00', '2000-05-1100:30:45.123457+09:00', '2000-05-1100:30:45.1234567+09:00']行 ['127', '1933-05-1115:30:45+01:00', '1933-05-1115:30:45.1+01:00', '1933-05-1115:30:45.12+01:00', '1933-05-1115:30:45.123+01:00', '1933-05-1115:30:45.1235+01:00', '1933-05-1115:30:45.12346+01:00', '1933-05-1115:30:45.123457+01:00', '1933-05-1115:30:45.1234567+01:00']列，源：aae4411e317f3751d1ca65a99d40e78b 备：9eee55c840de5a4a3de5c4f8d08f2567</t>
        </is>
      </c>
      <c r="BU9"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BV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备：2a96c6437dc3553236ef66a25763f980</t>
        </is>
      </c>
      <c r="BW9" t="inlineStr">
        <is>
          <t>['8', '2000-05-1100:30:45+09:00', '2000-05-1100:30:45.1+09:00', '2000-05-1100:30:45.12+09:00', '2000-05-1100:30:45.123+09:00', '2000-05-1100:30:45.1235+09:00', '2000-05-1100:30:45.12346+09:00', '2000-05-1100:30:45.123457+09:00', '2000-05-1100:30:45.1234567+09:00']行 ['109', '1999-05-1601:30:45+10:15', '1999-05-1601:30:45.1+10:15', '1999-05-1601:30:45.12+10:15', '1999-05-1601:30:45.123+10:15', '1999-05-1601:30:45.1235+10:15', '1999-05-1601:30:45.12346+10:15', '1999-05-1601:30:45.123457+10:15', '1999-05-1601:30:45.1234567+10:15']列，源：aae4411e317f3751d1ca65a99d40e78b 备：dc074aa37e0ac8a6d0d6bcfb65781428</t>
        </is>
      </c>
      <c r="BY9" t="inlineStr">
        <is>
          <t>['8', '1971-05-1100:00:00+14:00', '', '1971-05-1100:00:00.00+14:00', '', '1971-05-1100:00:00.0000+14:00', '', '1971-05-1100:00:00.000000+14:00', '']行 ['4', '1971-05-1100:00:00+14:00', '', '1971-05-1100:00:00.00+14:00', '', '1971-05-1100:00:00.0000+14:00', '', '1971-05-1100:00:00.000000+14:00', '']列，源：07aeba5c9751a751d99c9dad50b272a7 备：528d75632ebb76ed10551e1e10948f95</t>
        </is>
      </c>
      <c r="BZ9" t="inlineStr">
        <is>
          <t>['8', '12:30:45', '12:30:45.1', '12:30:45.12', '12:30:45.123', '12:30:45.1234', '12:30:45.1234', '12:30:45.1234', '12:30:45.1234']行 ['3', '2026-04-19 23:59:59', '2026-04-19 23:59:59.9', '2026-04-19 23:59:59.99', '2026-04-19 23:59:59.999', '2026-04-19 23:59:59.9999', '2026-04-19 23:59:59.99999', '2026-04-19 23:59:59.999999', '2026-04-19 23:59:59.999999']列，源：a9eaa1de6f37d71b40a1221261992dfd 备：0662bda6b156cc182a5358aac7780e95</t>
        </is>
      </c>
      <c r="CA9"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CB9" t="inlineStr">
        <is>
          <t>['8', '0001-01-02']行 ['128', '0001-01-02 00:00:00']列，源：04b57a1902d15a562e63a20116d02d54 备：73d2d9e76101f1ba165586eb85ca552b</t>
        </is>
      </c>
      <c r="CD9" t="inlineStr">
        <is>
          <t>['8', '0001-01-02']行 ['6', '2020-02-29 00:00:00']列，源：04b57a1902d15a562e63a20116d02d54 备：f324cab36a986b21a06d8f275a7e31a9</t>
        </is>
      </c>
      <c r="CF9" t="inlineStr">
        <is>
          <t>['7', 'X', 'THISISATESTSTRIN', 'CASECASECASECASECASECASECASECASECASECASECASECASECASECASECASECASECASECASECASECASECASECASECASECASECASECASECASECASECASECASECASECASECASECASECASECASECASECASECASECASECASECASECASECASECASECASECASECASECASECASE']行 ['6',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813174a07ee5b570bcfcdb1c240390d 备：3360424d0f30c3f697f7a0b4874917b4</t>
        </is>
      </c>
      <c r="CG9" t="inlineStr">
        <is>
          <t>['11', '12:30:45', '12:30:45.1', '12:30:45.12', '12:30:45.123', '12:30:45.1235', '12:30:45.12346', '12:30:45.123457', '12:30:45.123456']行 ['7', '2026-04-19 12:30:45', '2026-04-19 12:30:45.1', '2026-04-19 12:30:45.12', '2026-04-19 12:30:45.123', '2026-04-19 12:30:45.123', '2026-04-19 12:30:45.123', '2026-04-19 12:30:45.123', '2026-04-19 12:30:45.123']列，源：0dc8b1c75700bab8dc4a619d314a9501 备：b217520f2cf410799933541ced01d776</t>
        </is>
      </c>
      <c r="CH9" t="inlineStr">
        <is>
          <t>['8', '0001-01-02']行 ['11', '2068-06-01 00:00:00']列，源：04b57a1902d15a562e63a20116d02d54 备：b41974313dd099351d624a254ecaf06d</t>
        </is>
      </c>
      <c r="CI9" t="inlineStr">
        <is>
          <t>['7',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 '54', 'E2636D379A474F70FA42DB804C884A3E60E377D0', 'F4F743EADEFD0166DA13EE5AFC7822E3847492B238F2992B3C47AFE3C9FAA230902804FD5A77B9F6993722AFD08564E56F555BA9E7D94D141EA2D4E761DFDCE700CC235181F312A05EC8FBE38700151DCA26ECF3541F7A07E7124A61F35D2053F0DD32BAEFA0DB182B96F0201CD3D315AA460B5895F8C3BAF138C667BA0FA78E8052434EDF2BF5699FDCDDD6EA6DFCDF9BCD7735ED7EF995C47D3DB5D4FF810D5AE639021F47A410487A34BA28818823773AEDC47DF6A2CF415B78F4B324D35E739B9E00FE63C067']列，源：f85aae296604832f712b828f549d4f5b 备：9ccf79077f0148a1a7ff32e4161dd30b</t>
        </is>
      </c>
      <c r="CK9" t="inlineStr">
        <is>
          <t>['7', '', '', '', '', '', '', '-0.00000000000000000000000000000000000001', '', '', '', '', '', '', '', '', '', '', '', '']行 ['15', '', '', '', '', '', '', '', '', '', '', '', '', '', '', '', '', '9999.99', '1000', '']列，源：e15db39702c3b7aaab8f43796250abd1 备：a5a49824077b54039714fe3dac32e7fc</t>
        </is>
      </c>
      <c r="CL9" t="inlineStr">
        <is>
          <t>['8', '2068-05-11 14:31:00']行 ['3', '1900-01-0100:00:00']列，源：c20db0d090d4853ac182e54f16efc93e 备：449b2e7b6f6994ef232bacd1e349deb5</t>
        </is>
      </c>
      <c r="CS9" t="inlineStr">
        <is>
          <t>['7', '2026-04-17']行 ['5', '2026-04-17 00:00:00']列，源：a15e44c54ee75f4b616bb02b812780b6 备：a9d6f923ef723efde238d2495d243d08</t>
        </is>
      </c>
      <c r="CT9" t="inlineStr">
        <is>
          <t>['7', '1970-01-01']行 ['5', '2026-04-17 00:00:00']列，源：bb61a186c635829b41be7ca8b286402d 备：a9d6f923ef723efde238d2495d243d08</t>
        </is>
      </c>
      <c r="CV9" t="inlineStr">
        <is>
          <t>['8', '2068-05-11 14:30:30']行 ['16', '2002-06-1123:59:59.993']列，源：014e55c2fe2464cc66dfd75b09f74eeb 备：dd95e5ac1573694c264ae980ec79cc8e</t>
        </is>
      </c>
      <c r="CW9" t="inlineStr">
        <is>
          <t>['10', '', '', '', '', '', '', '', '', '0.0001', '', '', '', '', '', '', '', '', '', '']行 ['16', '', '', '', '', '', '', '', '', '', '', '', '', '', '', '', '', '1000000', '20000', '']列，源：3b84c2f4b0d14bd57e87463de2ddf0ce 备：53bb6b251d0784fd651f203ce1d1ea98</t>
        </is>
      </c>
      <c r="DB9" t="inlineStr">
        <is>
          <t>['11', '1997-04-04 23:59:59.997']行 ['21', '2023-05-1100:00:00.123']列，源：fdda3ffa78b23283e092c26319b38ea0 备：bda623b4f4de1edcfde47a9b3befc9de</t>
        </is>
      </c>
      <c r="DE9" t="inlineStr">
        <is>
          <t>['8',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列，源：175562610862ed737a71203d49ac035a 备：c17ed741840e8494bb2af6e42e13afaf</t>
        </is>
      </c>
      <c r="DF9" t="inlineStr">
        <is>
          <t>['8', '12:30:45', '12:30:45.1', '12:30:45.12', '12:30:45.123', '12:30:45.1234', '12:30:45.1234', '12:30:45.1234', '12:30:45.1234']行 ['16', '2026-04-19 12:00:00', '', '2026-04-19 12:00:00.12', '', '2026-04-19 12:00:00.1235', '', '2026-04-19 12:00:00.123457', '']列，源：a9eaa1de6f37d71b40a1221261992dfd 备：96e3846a9cb5f1ea42484bb7e96e7e54</t>
        </is>
      </c>
      <c r="DH9" t="inlineStr">
        <is>
          <t>['8', '12:30:45', '12:30:45.1', '12:30:45.12', '12:30:45.123', '12:30:45.1234', '12:30:45.1234', '12:30:45.1234', '12:30:45.1234']行 ['15', '2026-04-19 00:00:01', '', '2026-04-19 00:00:01.12', '', '2026-04-19 00:00:01.1235', '', '2026-04-19 00:00:01.123457', '']列，源：a9eaa1de6f37d71b40a1221261992dfd 备：cac3b43afc32a33504113a5751b0aba1</t>
        </is>
      </c>
      <c r="DK9" t="inlineStr">
        <is>
          <t>['8',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65d227311e1c455ebd46b97f13e46ae9 备：961f274c219ecc2acde7624312e9f84a</t>
        </is>
      </c>
      <c r="DM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DO9" t="inlineStr">
        <is>
          <t>['8', '12:30:45', '12:30:45.1', '12:30:45.12', '12:30:45.123', '12:30:45.1234', '12:30:45.1234', '12:30:45.1234', '12:30:45.1234']行 ['16', '2026-04-19 12:00:00', '', '2026-04-19 12:00:00.12', '', '2026-04-19 12:00:00.1235', '', '2026-04-19 12:00:00.123457', '']列，源：a9eaa1de6f37d71b40a1221261992dfd 备：96e3846a9cb5f1ea42484bb7e96e7e54</t>
        </is>
      </c>
      <c r="DP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备：c955b52c8a453c9b76a7f88c6e22a8d3</t>
        </is>
      </c>
      <c r="DT9" t="inlineStr">
        <is>
          <t>['7', '255', '32767', '2147483647', '9223372036854775808', '', '', '', '', '', '', '', '', '', '', '', '', '', '', '']行 ['15', '', '', '', '', '0', '1', '0.000000000000000000000000001', '0.000000001', '0.0001', '0', '1', '0.000000000000000000000000000001', '0.000001', '0.01', '', '', '', '', '']列，源：20f2834ef0775cc8e2a6f6d9df406343 备：221d65c70706de8fe2f4d798e2ad9782</t>
        </is>
      </c>
      <c r="DV9" t="inlineStr">
        <is>
          <t>['8', '12:30:45', '12:30:45.1', '12:30:45.12', '12:30:45.123', '12:30:45.1234', '12:30:45.1234', '12:30:45.1234', '12:30:45.1234']行 ['15', '2026-04-19 00:00:01', '', '2026-04-19 00:00:01.12', '', '2026-04-19 00:00:01.1235', '', '2026-04-19 00:00:01.123457', '']列，源：a9eaa1de6f37d71b40a1221261992dfd 备：cac3b43afc32a33504113a5751b0aba1</t>
        </is>
      </c>
      <c r="DW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 '48656C6C6F576F726C645465737444617461']列，源：62199f3035785105df77c6d0310f4977 备：b1e35a32cb0d92e9c785414822a0a3a6</t>
        </is>
      </c>
      <c r="DX9" t="inlineStr">
        <is>
          <t>['7', '18:10:06', '18:10:06.1', '18:10:06.12', '18:10:06.123', '18:10:06.1235', '18:10:06.12346', '18:10:06.123457', '18:10:06.123456']行 ['15', '2026-04-19 18:10:06', '2026-04-19 18:10:06.1', '2026-04-19 18:10:06.12', '2026-04-19 18:10:06.123', '2026-04-19 18:10:06.1235', '2026-04-19 18:10:06.12346', '2026-04-19 18:10:06.123457', '2026-04-19 18:10:06.123456']列，源：826c9eac6cba43f7295d07d9ff9534bd 备：31c5d08a2681016f282c36769386798f</t>
        </is>
      </c>
      <c r="DZ9" t="inlineStr">
        <is>
          <t>['7', '12:30:45', '12:30:45.1', '12:30:45.12', '12:30:45.123', '12:30:45.123', '12:30:45.123', '12:30:45.123', '12:30:45.123']行 ['15', '2026-04-19 00:00:01', '2026-04-19 05:44:11.1', '2026-04-19 00:00:01.12', '2026-04-19 05:44:11.123', '2026-04-19 00:00:01.1235', '2026-04-19 05:44:11.12346', '2026-04-19 00:00:01.123457', '2026-04-19 05:44:11.123456']列，源：f73fe0ad5499073dcac5c1fb9135350a 备：adf23a1402aa7e60cc5e4e3e56ff2629</t>
        </is>
      </c>
      <c r="EB9" t="inlineStr">
        <is>
          <t>['7', '255', '32767', '2147483647', '9223372036854775808', '', '', '', '', '', '', '', '', '', '', '', '', '', '', '']行 ['105', '', '', '', '', '', '', '', '', '', '', '', '', '', '', '', '', '', '', '']列，源：20f2834ef0775cc8e2a6f6d9df406343 备：415b377c5f789e05e42bc8eca9214a6a</t>
        </is>
      </c>
      <c r="EE9" t="inlineStr">
        <is>
          <t>['13', '', '00:00:01.1', '', '00:00:01.123', '', '00:00:01.12346', '', '00:00:01.123456']行 ['2', '2026-04-19 00:00:00', '2026-04-19 00:00:00', '2026-04-19 00:00:00', '2026-04-19 00:00:00', '2026-04-19 00:00:00', '2026-04-19 00:00:00', '2026-04-19 00:00:00', '2026-04-19 00:00:00']列，源：66113464cabc0d65d551c23282dee2c7 备：173b808bd14c96f9330babbd1a42793e</t>
        </is>
      </c>
      <c r="EF9" t="inlineStr">
        <is>
          <t>['13', '', '00:00:01.1', '', '00:00:01.123', '', '00:00:01.12346', '', '00:00:01.123456']行 ['4', '2026-04-19 09:12:34', '2026-04-19 12:30:45', '2026-04-19 09:12:34.12', '2026-04-19 12:30:45', '2026-04-19 09:12:34.1235', '2026-04-19 12:30:45', '2026-04-19 09:12:34.123457', '2026-04-19 12:30:45']列，源：66113464cabc0d65d551c23282dee2c7 备：d6b0e4d44e9e08041e962b02ebee8988</t>
        </is>
      </c>
      <c r="EG9" t="inlineStr">
        <is>
          <t>['8', '2068-05-11 14:31:00']行 ['3', '1900-01-0100:00:00']列，源：c20db0d090d4853ac182e54f16efc93e 备：449b2e7b6f6994ef232bacd1e349deb5</t>
        </is>
      </c>
      <c r="EH9" t="inlineStr">
        <is>
          <t>['8', '2068-05-11 14:31:00']行 ['127', '2000-05-1114:30:00']列，源：c20db0d090d4853ac182e54f16efc93e 备：af6fc7b1393f1f221e95746c13bb3ad1</t>
        </is>
      </c>
      <c r="EI9" t="inlineStr">
        <is>
          <t>['7', '255', '32767', '2147483647', '9223372036854775808', '', '', '', '', '', '', '', '', '', '', '', '', '', '', '']行 ['105', '', '', '', '', '', '', '', '', '', '', '', '', '', '', '', '', '', '', '']列，源：20f2834ef0775cc8e2a6f6d9df406343 备：415b377c5f789e05e42bc8eca9214a6a</t>
        </is>
      </c>
      <c r="EJ9" t="inlineStr">
        <is>
          <t>['7', '255', '32767', '2147483647', '9223372036854775808', '', '', '', '', '', '', '', '', '', '', '', '', '', '', '']行 ['15', '', '', '', '', '0', '1', '0.000000000000000000000000001', '0.000000001', '0.0001', '0', '1', '0.000000000000000000000000000001', '0.000001', '0.01', '', '', '', '', '']列，源：20f2834ef0775cc8e2a6f6d9df406343 备：221d65c70706de8fe2f4d798e2ad9782</t>
        </is>
      </c>
      <c r="EK9" t="inlineStr">
        <is>
          <t>['8',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['108',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62199f3035785105df77c6d0310f4977 备：2a96c6437dc3553236ef66a25763f980</t>
        </is>
      </c>
      <c r="EL9" t="inlineStr">
        <is>
          <t>['8', '2000-05-1100:30:45+09:00', '2000-05-1100:30:45.1+09:00', '2000-05-1100:30:45.12+09:00', '2000-05-1100:30:45.123+09:00', '2000-05-1100:30:45.1235+09:00', '2000-05-1100:30:45.12346+09:00', '2000-05-1100:30:45.123457+09:00', '2000-05-1100:30:45.1234567+09:00']行 ['4', '0001-01-0100:00:00+00:00', '0001-01-0100:00:00.0+00:00', '0001-01-0100:00:00.00+00:00', '0001-01-0100:00:00.000+00:00', '0001-01-0100:00:00.0000+00:00', '0001-01-0100:00:00.00000+00:00', '0001-01-0100:00:00.000000+00:00', '0001-01-0100:00:00.0000000+00:00']列，源：aae4411e317f3751d1ca65a99d40e78b 备：4a48b7d61029c98b539430ef104a9ec1</t>
        </is>
      </c>
      <c r="EM9" t="inlineStr">
        <is>
          <t>['8', '2068-05-11 14:31:00']行 ['3', '1900-01-0100:00:00']列，源：c20db0d090d4853ac182e54f16efc93e 备：449b2e7b6f6994ef232bacd1e349deb5</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c_dtoffset_2列源备映射错误，源端为datetimeoffset None位	期望更改为text	实际备端为datetimeoffset None位</t>
        </is>
      </c>
      <c r="Y10" t="inlineStr">
        <is>
          <t>['9', '1981-05-11 14:31:00']行 ['28', '2068-05-1114:31:00']列，源：5eb1b398e93ee95d77eb7ceacf21d66d 备：a5c60b0259f93c64a0dc9525fcc845d7</t>
        </is>
      </c>
      <c r="Z10" t="inlineStr">
        <is>
          <t>['8', '2026-04-17 17:16:00']行 ['3', '2026-04-1717:16:00']列，源：4b3be1df1ba8b0e65f25bf7da68d5a1d 备：c5ce894be82c4e20ca6c3a98a8f2d9b7</t>
        </is>
      </c>
      <c r="AA10" t="inlineStr">
        <is>
          <t>['8', '2068-05-11 14:31:00']行 ['3', '2079-06-0523:59:00']列，源：c20db0d090d4853ac182e54f16efc93e 备：b98d926c466c0654f475be13aa14babd</t>
        </is>
      </c>
      <c r="AB1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AC1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AH10" t="inlineStr">
        <is>
          <t>['9', '100', '12345', '123456', '1000000', '', '', '', '', '-888888.22', '', '', '', '', '', '0', '0', '203685477.5808', '', '0']行 ['17', '100', '', '123456', '1000000', '', '', '', '', '-888888.22', '', '', '', '', '', '0', '0', '203685477.5808', '-1234.5678', '0']列，源：a4c1a6fe4e0842d1de33eacac45c75c4 备：08c768aa084f17fe2cc5225368a6a53c</t>
        </is>
      </c>
      <c r="AJ10" t="inlineStr">
        <is>
          <t>['9', '1981-05-11 14:30:59']行 ['17', '2003-11-0423:59:59.990']列，源：dba06633e5fc9f87b83fde6e278eb097 备：f6a0bc59d839acb488f1957d839f4f02</t>
        </is>
      </c>
      <c r="AK1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AL10" t="inlineStr">
        <is>
          <t>['9', '1981-05-11 14:30:59']行 ['14', '2000-05-0123:59:59.993']列，源：dba06633e5fc9f87b83fde6e278eb097 备：2457f0c00657efcd02ebb7fd48eef12a</t>
        </is>
      </c>
      <c r="AM10" t="inlineStr">
        <is>
          <t>['9', '1981-05-11 14:30:59']行 ['17', '2003-11-0423:59:59.990']列，源：dba06633e5fc9f87b83fde6e278eb097 备：f6a0bc59d839acb488f1957d839f4f02</t>
        </is>
      </c>
      <c r="AN10" t="inlineStr">
        <is>
          <t>['9', '100', '0', '0', '0', '', '', '', '', '-888888.22', '', '', '', '', '', '0', '0', '203685477.5808', '', '0']行 ['17', '100', '0', '0', '0', '', '', '', '', '-888888.22', '', '', '', '', '', '0', '0', '203685477.5808', '-1234.5678', '0']列，源：5587e6cbcaef8f1d48eab25bf9df7991 备：ab6caec455a1d06ab279a1a0b031d31c</t>
        </is>
      </c>
      <c r="AO10" t="inlineStr">
        <is>
          <t>['9', '1981-05-11 14:30:59']行 ['111', '1997-04-0423:59:59.997']列，源：dba06633e5fc9f87b83fde6e278eb097 备：e1f78ed19ebfa300f468ae88ae09c9b9</t>
        </is>
      </c>
      <c r="AP10" t="inlineStr">
        <is>
          <t>['8', '9999-12-31 23:59:59.997']行 ['16', '9999-12-3123:59:59.997']列，源：22eea0e53ff84ddbecfd187976c13b99 备：d3716e415e68938dd27747706c2a7385</t>
        </is>
      </c>
      <c r="AQ10" t="inlineStr">
        <is>
          <t>['9', '英', '€¶I€¶', '€¶I€¶€¶I€¶€¶I€¶€¶I€¶€¶I€¶€¶I€¶€¶I€¶€¶I€¶€¶I€¶€¶I€¶€¶I€¶€¶I€¶€¶I€¶€¶I€¶€¶I€¶€¶I€¶€¶I€¶€¶I€¶€¶I€¶€¶I€¶€¶I€¶€¶I€¶€¶I€¶€¶I€¶€¶I€¶€¶I€¶€¶I€¶€¶I€¶€¶I€¶€¶I€¶€¶I€¶€¶I€¶€¶I€¶€¶I€¶€¶I€¶€¶I€¶€¶I€¶€¶I€¶€¶I€¶€¶I€¶€¶I€¶€¶I€¶€¶I€¶€¶I€¶€¶I€¶€¶I€¶€¶I€¶€¶I€¶€¶I€¶€¶I€¶€¶I€¶€¶I€¶€¶I€¶€¶I€¶€¶I€¶€¶I€¶€¶I€¶€¶I€¶€¶I€¶€¶I€¶€¶I€¶€¶I€¶€¶I€¶€¶I€¶€¶I€¶€¶I€¶€¶I€¶€¶I€¶€¶I€¶€¶I€¶€¶I€¶€¶I€¶€¶I€¶€¶I€¶€¶I€¶€¶I€¶€¶I€¶€¶I€¶€¶I€¶€¶I€¶']行 ['8',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9cad478d327e26078becb592d9158af2 备：d64972a46975144d2ede0a9de1426418</t>
        </is>
      </c>
      <c r="AR10" t="inlineStr">
        <is>
          <t>['8', '2020-02-29 19:27:31.123']行 ['16', '2002-06-1123:59:59.993']列，源：d83cbffe0ec786b7fec2db0dc78372f9 备：dd95e5ac1573694c264ae980ec79cc8e</t>
        </is>
      </c>
      <c r="AV1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AX10" t="inlineStr">
        <is>
          <t>['9', '9999-12-30']行 ['7', '1970-01-01 00:00:00']列，源：56921de31c060ab6c2381ca1ee0843bc 备：a15de1fe9e4c8bc16f66f0c7b8c0635f</t>
        </is>
      </c>
      <c r="AZ10" t="inlineStr">
        <is>
          <t>['22', '1900-01-01 00:00:00', '1900-01-01 00:00:00', '1900-01-01 00:00:00', '1900-01-01 00:00:00', '1900-01-01 00:00:00', '1900-01-01 00:00:00', '1900-01-01 00:00:00', '1900-01-01 00:00:00']行 ['2', '1900-01-0100:00:00', '1900-01-0100:00:00.0', '1900-01-0100:00:00.00', '1900-01-0100:00:00.000', '1900-01-0100:00:00.0000', '1900-01-0100:00:00.00000', '1900-01-0100:00:00.000000', '1900-01-0100:00:00.0000000']列，源：64211f4f131bbb299a135da3b88a1dd5 备：b8eac0a39a54c6e1ef17522521d42596</t>
        </is>
      </c>
      <c r="BA10" t="inlineStr">
        <is>
          <t>['17', '', '', '', '', '', '', '', '', '', '', '', '', '', '', '-123456789000000002003480098325095514112', '-340282306073709652508363335590014353408', '-123456.789', '-1234.5678', '0']行 ['18', '', '', '', '', '', '', '', '', '', '', '', '', '', '', '0', '0', '0.0001', '0.0001', '1']列，源：9b47f6be506be3570e101da80534e058 备：26edf2ac14a9b6c0b5c5fe4f69312474</t>
        </is>
      </c>
      <c r="BB10" t="inlineStr">
        <is>
          <t>['9',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894197b7d427935c9d3fb291655c85b8 备：0a104d284ac01e1025345effbe0db7c2</t>
        </is>
      </c>
      <c r="BC10" t="inlineStr">
        <is>
          <t>['54', '0001-01-01 00:00:00', '0001-01-01 00:00:00', '0001-01-01 00:00:00', '0001-01-01 00:00:00', '0001-01-01 00:00:00', '0001-01-01 00:00:00', '0001-01-01 00:00:00', '0001-01-01 00:00:00']行 ['207', '2065-05-1114:30:45', '2065-05-1114:30:45.1', '2065-05-1114:30:45.12', '2065-05-1114:30:45.123', '2065-05-1114:30:45.1235', '2065-05-1114:30:45.12346', '2065-05-1114:30:45.123457', '2065-05-1114:30:45.1234567']列，源：a09d7c3fb1a275e303b57669b52f673a 备：99255d036bf1afb7d87e38456cc32e3a</t>
        </is>
      </c>
      <c r="BD10" t="inlineStr">
        <is>
          <t>['10', '99', '0', '0', '0', '99999', '', '', '', '-11111.34', '', '', '', '', '', '123.456789', '', '', '', '1']行 ['17', '', '', '', '', '', '', '', '', '', '', '', '', '', '', '-123456789000000002003480098300000000000', '-340282306073709652508363335600000000000', '-123456.789', '-1234.5678', '0']列，源：8dc0d7f0e4e0b32e58ba446f86507394 备：7147e084238ecd6123743b4b9a65290e</t>
        </is>
      </c>
      <c r="BG10" t="inlineStr">
        <is>
          <t>['21', '', '', '']行 ['24',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c7ea425794ca0a5edd58a5c789f290a 备：abab7ce3d06fa8080a0d9219371e9a2a</t>
        </is>
      </c>
      <c r="BH10" t="inlineStr">
        <is>
          <t>['9', '0001-01-02']行 ['9', '0001-01-02 00:00:00']列，源：207c0d7ebdbd5c7b230c31a68c95d9b4 备：bbd6aeb53462cdc770a16e841991ec40</t>
        </is>
      </c>
      <c r="BJ1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BK10" t="inlineStr">
        <is>
          <t>['9', '*', '~!@#%^&amp;*\x00\x00\x00\x00\x00\x00\x00\x00\x00\x00', '~!@#%^&amp;*~!@#%^&amp;*~!@#%^&amp;*~!@#%^&amp;*~!@#%^&amp;*~!@#%^&amp;*~!@#%^&amp;*~!@#%^&amp;*~!@#%^&amp;*~!@#%^&amp;*~!@#%^&amp;*~!@#%^&amp;*~!@#%^&amp;*~!@#%^&amp;*~!@#%^&amp;*~!@#%^&amp;*~!@#%^&amp;*~!@#%^&amp;*~!@#%^&amp;*~!@#%^&amp;*']行 ['2', '0', '0', '0']列，源：894197b7d427935c9d3fb291655c85b8 备：b424556eb7bea118d7c22c47aff64ab2</t>
        </is>
      </c>
      <c r="BM10" t="inlineStr">
        <is>
          <t>['9', '英', '€¶I€¶', '€¶I€¶€¶I€¶€¶I€¶€¶I€¶€¶I€¶€¶I€¶€¶I€¶€¶I€¶€¶I€¶€¶I€¶€¶I€¶€¶I€¶€¶I€¶€¶I€¶€¶I€¶€¶I€¶€¶I€¶€¶I€¶€¶I€¶€¶I€¶€¶I€¶€¶I€¶€¶I€¶€¶I€¶€¶I€¶€¶I€¶€¶I€¶€¶I€¶€¶I€¶€¶I€¶€¶I€¶€¶I€¶€¶I€¶€¶I€¶€¶I€¶€¶I€¶€¶I€¶€¶I€¶€¶I€¶€¶I€¶€¶I€¶€¶I€¶€¶I€¶€¶I€¶€¶I€¶€¶I€¶€¶I€¶€¶I€¶€¶I€¶€¶I€¶€¶I€¶€¶I€¶€¶I€¶€¶I€¶€¶I€¶€¶I€¶€¶I€¶€¶I€¶€¶I€¶€¶I€¶€¶I€¶€¶I€¶€¶I€¶€¶I€¶€¶I€¶€¶I€¶€¶I€¶€¶I€¶€¶I€¶€¶I€¶€¶I€¶€¶I€¶€¶I€¶€¶I€¶€¶I€¶€¶I€¶€¶I€¶€¶I€¶€¶I€¶€¶I€¶']行 ['8', '0', '12345678901234567890', '282562825728256282572825628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9cad478d327e26078becb592d9158af2 备：d64972a46975144d2ede0a9de1426418</t>
        </is>
      </c>
      <c r="BO10" t="inlineStr">
        <is>
          <t>['9',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894197b7d427935c9d3fb291655c85b8 备：0a104d284ac01e1025345effbe0db7c2</t>
        </is>
      </c>
      <c r="BQ1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BS10" t="inlineStr">
        <is>
          <t>['9', '1999-05-1601:30:45+10:15', '1999-05-1601:30:45.1+10:15', '1999-05-1601:30:45.12+10:15', '1999-05-1601:30:45.123+10:15', '1999-05-1601:30:45.1235+10:15', '1999-05-1601:30:45.12346+10:15', '1999-05-1601:30:45.123457+10:15', '1999-05-1601:30:45.1234567+10:15']行 ['128', '2000-05-1100:30:45+09:00', '2000-05-1100:30:45.1+09:00', '2000-05-1100:30:45.12+09:00', '2000-05-1100:30:45.123+09:00', '2000-05-1100:30:45.1235+09:00', '2000-05-1100:30:45.12346+09:00', '2000-05-1100:30:45.123457+09:00', '2000-05-1100:30:45.1234567+09:00']列，源：5ce542de96b32aca4db9fb684ca33bbb 备：c50878836e335acab9d949f353dc647c</t>
        </is>
      </c>
      <c r="BU1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BV10" t="inlineStr">
        <is>
          <t>['9', '*', '~!@#%^&amp;*\x00\x00\x00\x00\x00\x00\x00\x00\x00\x00', '~!@#%^&amp;*~!@#%^&amp;*~!@#%^&amp;*~!@#%^&amp;*~!@#%^&amp;*~!@#%^&amp;*~!@#%^&amp;*~!@#%^&amp;*~!@#%^&amp;*~!@#%^&amp;*~!@#%^&amp;*~!@#%^&amp;*~!@#%^&amp;*~!@#%^&amp;*~!@#%^&amp;*~!@#%^&amp;*~!@#%^&amp;*~!@#%^&amp;*~!@#%^&amp;*~!@#%^&amp;*']行 ['109',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894197b7d427935c9d3fb291655c85b8 备：edf5868c649d5d04537afc63a3b5ad5d</t>
        </is>
      </c>
      <c r="BW10" t="inlineStr">
        <is>
          <t>['9', '1999-05-1601:30:45+10:15', '1999-05-1601:30:45.1+10:15', '1999-05-1601:30:45.12+10:15', '1999-05-1601:30:45.123+10:15', '1999-05-1601:30:45.1235+10:15', '1999-05-1601:30:45.12346+10:15', '1999-05-1601:30:45.123457+10:15', '1999-05-1601:30:45.1234567+10:15']行 ['11', '2003-11-0502:00:00-05:10', '2003-11-0502:00:00.0-05:10', '2003-11-0502:00:00.00-05:10', '2003-11-0502:00:00.000-05:10', '2003-11-0502:00:00.0000-05:10', '2003-11-0502:00:00.00000-05:10', '2003-11-0502:00:00.000000-05:10', '2003-11-0502:00:00.0000000-05:10']列，源：5ce542de96b32aca4db9fb684ca33bbb 备：5763c1eeb92d430c4d8f32e6dce6129c</t>
        </is>
      </c>
      <c r="BY10" t="inlineStr">
        <is>
          <t>['9', '1971-05-1100:00:00+14:00', '', '1971-05-1100:00:00.00+14:00', '', '1971-05-1100:00:00.0000+14:00', '', '1971-05-1100:00:00.000000+14:00', '']行 ['5', '1971-05-1100:00:00+14:00', '', '1971-05-1100:00:00.00+14:00', '', '1971-05-1100:00:00.0000+14:00', '', '1971-05-1100:00:00.000000+14:00', '']列，源：2ba9927dfe3961bcfe4c616403d2e792 备：b30e7c7003b5e578c1876e16480a04e6</t>
        </is>
      </c>
      <c r="BZ10" t="inlineStr">
        <is>
          <t>['9', '12:30:45', '12:30:45.1', '12:30:45.12', '12:30:45.123', '12:30:45.1235', '12:30:45.12345', '12:30:45.12345', '12:30:45.12345']行 ['4', '2026-04-19 12:30:45', '2026-04-19 12:30:45', '2026-04-19 12:30:45', '2026-04-19 12:30:45', '2026-04-19 12:30:45', '2026-04-19 12:30:45', '2026-04-19 12:30:45', '2026-04-19 12:30:45']列，源：3eefe787ab488b15ac760bc60a6e6fde 备：f0e35773e06e59e836bbc9d40fa5feed</t>
        </is>
      </c>
      <c r="CA10" t="inlineStr">
        <is>
          <t>['9', '2063-03-1202:00:00-04:25', '2063-03-1202:00:00.0-04:25', '2063-03-1202:00:00.00-04:25', '2063-03-1202:00:00.000-04:25', '2063-03-1202:00:00.0000-04:25', '2063-03-1202:00:00.00000-04:25', '2063-03-1202:00:00.000000-04:25', '2063-03-1202:00:00.0000000-04:25']行 ['5', '2063-03-1202:00:00-04:25', '2063-03-1202:00:00.0-04:25', '2063-03-1202:00:00.00-04:25', '2063-03-1202:00:00.000-04:25', '2063-03-1202:00:00.0000-04:25', '2063-03-1202:00:00.00000-04:25', '2063-03-1202:00:00.000000-04:25', '2063-03-1202:00:00.0000000-04:25']列，源：87038196a9d71c3ed24b93244efa924d 备：737aff85650ab66f84f0ee972a826ca1</t>
        </is>
      </c>
      <c r="CB10" t="inlineStr">
        <is>
          <t>['9', '9999-12-30']行 ['130', '1990-05-11 00:00:00']列，源：56921de31c060ab6c2381ca1ee0843bc 备：498936177ca02c70f52f5ab51a92afa5</t>
        </is>
      </c>
      <c r="CD10" t="inlineStr">
        <is>
          <t>['9', '9999-12-30']行 ['7', '1970-01-01 00:00:00']列，源：56921de31c060ab6c2381ca1ee0843bc 备：a15de1fe9e4c8bc16f66f0c7b8c0635f</t>
        </is>
      </c>
      <c r="CF10" t="inlineStr">
        <is>
          <t>['8', 'X', 'THISISATESTSTRIN', 'CASECASECASECASECASECASECASECASECASECASECASECASECASECASECASECASECASECASECASECASECASECASECASECASECASECASECASECASECASECASECASECASECASECASECASECASECASECASECASECASECASECASECASECASECASECASECASECASECASECASE']行 ['7',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e27b6758644adaeb6ef47ea4c1929f5 备：08cf95174d17354497f09f4312f91378</t>
        </is>
      </c>
      <c r="CG10" t="inlineStr">
        <is>
          <t>['13', '', '00:00:01.1', '', '00:00:01.123', '', '00:00:01.12346', '', '00:00:01.123456']行 ['9', '2026-04-19 12:30:45', '2026-04-19 12:30:45.1', '2026-04-19 12:30:45.12', '2026-04-19 12:30:45.123', '2026-04-19 12:30:45.1235', '2026-04-19 12:30:45.12345', '2026-04-19 12:30:45.12345', '2026-04-19 12:30:45.12345']列，源：66113464cabc0d65d551c23282dee2c7 备：cc85285a2c5fce7382f015e65be5b09e</t>
        </is>
      </c>
      <c r="CH10" t="inlineStr">
        <is>
          <t>['9', '9999-12-30']行 ['110', '1990-05-11 00:00:00']列，源：56921de31c060ab6c2381ca1ee0843bc 备：68ba82bba04c89a668676924dcf1efc0</t>
        </is>
      </c>
      <c r="CI10" t="inlineStr">
        <is>
          <t>['8',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02b7c91ea85805835c880370990e25a6 备：86fc697c4f402aefe34e23269138d429</t>
        </is>
      </c>
      <c r="CK10" t="inlineStr">
        <is>
          <t>['8', '', '', '', '', '', '', '', '0.0000000001', '', '', '', '', '', '', '', '', '', '', '']行 ['16', '', '', '', '', '', '', '', '', '', '', '', '', '', '', '', '', '1000000', '20000', '']列，源：ed05300411ee9d84b81e4de3b6032e34 备：53bb6b251d0784fd651f203ce1d1ea98</t>
        </is>
      </c>
      <c r="CL10" t="inlineStr">
        <is>
          <t>['9', '1981-05-11 14:31:00']行 ['4', '2079-06-0623:59:00']列，源：5eb1b398e93ee95d77eb7ceacf21d66d 备：a6d75d1a66b9d20659c081896ddd30ba</t>
        </is>
      </c>
      <c r="CS10" t="inlineStr">
        <is>
          <t>['8', '2026-04-17']行 ['6', '2026-04-17 00:00:00']列，源：3cbc3281e7ca8497879ad1cb94c87293 备：facf6cfaf35820111b83479151e1d98c</t>
        </is>
      </c>
      <c r="CT10" t="inlineStr">
        <is>
          <t>['8', '0001-01-02']行 ['6', '2020-02-29 00:00:00']列，源：04b57a1902d15a562e63a20116d02d54 备：f324cab36a986b21a06d8f275a7e31a9</t>
        </is>
      </c>
      <c r="CV10" t="inlineStr">
        <is>
          <t>['9', '1981-05-11 14:30:59']行 ['17', '2003-11-0423:59:59.990']列，源：dba06633e5fc9f87b83fde6e278eb097 备：f6a0bc59d839acb488f1957d839f4f02</t>
        </is>
      </c>
      <c r="CW10" t="inlineStr">
        <is>
          <t>['12', '', '', '', '', '', '', '', '', '', '', '', '', '', '', '', '', '0.01', '0.01', '']行 ['17', '', '', '', '', '', '', '', '', '', '', '', '', '', '', '', '', '-0.01', '-0.01', '']列，源：92cf643bd688274a2e7dd8463fbe0c0f 备：068cff75df7ed5a1f3895ed7aeb6f63f</t>
        </is>
      </c>
      <c r="DB10" t="inlineStr">
        <is>
          <t>['12', '1998-05-05 23:59:59.997']行 ['22', '2024-05-1112:00:00.567']列，源：14af42589a18234e8976883e74f7ed21 备：38b53bf6ba17f21f17d47877caf44f6e</t>
        </is>
      </c>
      <c r="DE10" t="inlineStr">
        <is>
          <t>['9',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['2', '', '', '']列，源：7ccffbd5a396f4b5cd29d9cbd7039161 备：4d8dcc58473bca7d755328caf6d901a9</t>
        </is>
      </c>
      <c r="DF10" t="inlineStr">
        <is>
          <t>['9', '12:30:45', '12:30:45.1', '12:30:45.12', '12:30:45.123', '12:30:45.1235', '12:30:45.12345', '12:30:45.12345', '12:30:45.12345']行 ['2', '2026-04-19 00:00:00', '2026-04-19 00:00:00', '2026-04-19 00:00:00', '2026-04-19 00:00:00', '2026-04-19 00:00:00', '2026-04-19 00:00:00', '2026-04-19 00:00:00', '2026-04-19 00:00:00']列，源：3eefe787ab488b15ac760bc60a6e6fde 备：173b808bd14c96f9330babbd1a42793e</t>
        </is>
      </c>
      <c r="DH10" t="inlineStr">
        <is>
          <t>['9', '12:30:45', '12:30:45.1', '12:30:45.12', '12:30:45.123', '12:30:45.1235', '12:30:45.12345', '12:30:45.12345', '12:30:45.12345']行 ['16', '2026-04-19 12:00:00', '', '2026-04-19 12:00:00.12', '', '2026-04-19 12:00:00.1235', '', '2026-04-19 12:00:00.123457', '']列，源：3eefe787ab488b15ac760bc60a6e6fde 备：96e3846a9cb5f1ea42484bb7e96e7e54</t>
        </is>
      </c>
      <c r="DK10" t="inlineStr">
        <is>
          <t>['21', '', '', '']行 ['24',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0c7ea425794ca0a5edd58a5c789f290a 备：abab7ce3d06fa8080a0d9219371e9a2a</t>
        </is>
      </c>
      <c r="DM1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DO10" t="inlineStr">
        <is>
          <t>['9', '12:30:45', '12:30:45.1', '12:30:45.12', '12:30:45.123', '12:30:45.1235', '12:30:45.12345', '12:30:45.12345', '12:30:45.12345']行 ['2', '2026-04-19 00:00:00', '2026-04-19 00:00:00', '2026-04-19 00:00:00', '2026-04-19 00:00:00', '2026-04-19 00:00:00', '2026-04-19 00:00:00', '2026-04-19 00:00:00', '2026-04-19 00:00:00']列，源：3eefe787ab488b15ac760bc60a6e6fde 备：173b808bd14c96f9330babbd1a42793e</t>
        </is>
      </c>
      <c r="DP10" t="inlineStr">
        <is>
          <t>['9', '*', '~!@#%^&amp;*', '~!@#%^&amp;*~!@#%^&amp;*~!@#%^&amp;*~!@#%^&amp;*~!@#%^&amp;*~!@#%^&amp;*~!@#%^&amp;*~!@#%^&amp;*~!@#%^&amp;*~!@#%^&amp;*~!@#%^&amp;*~!@#%^&amp;*~!@#%^&amp;*~!@#%^&amp;*~!@#%^&amp;*~!@#%^&amp;*~!@#%^&amp;*~!@#%^&amp;*~!@#%^&amp;*~!@#%^&amp;*']行 ['2', '', '', '']列，源：3ec7781f66cbf4cf4e67216d80459547 备：4d8dcc58473bca7d755328caf6d901a9</t>
        </is>
      </c>
      <c r="DT10" t="inlineStr">
        <is>
          <t>['8', '0', '-32768', '-2147483648', '-9223372036854775808', '', '', '', '', '', '', '', '', '', '', '', '', '', '', '']行 ['16', '', '', '', '', '', '', '', '', '', '', '', '', '', '', '123456789000000002003480098300000000000', '340282306073709652508363335600000000000', '123456.789', '1234.5678', '1']列，源：1edc4e058b537207b894fced26cb6684 备：bd2a48339d77dbd935f5a501c060bab3</t>
        </is>
      </c>
      <c r="DV10" t="inlineStr">
        <is>
          <t>['9', '12:30:45', '12:30:45.1', '12:30:45.12', '12:30:45.123', '12:30:45.1235', '12:30:45.12345', '12:30:45.12345', '12:30:45.12345']行 ['16', '2026-04-19 12:00:00', '', '2026-04-19 12:00:00.12', '', '2026-04-19 12:00:00.1235', '', '2026-04-19 12:00:00.123457', '']列，源：3eefe787ab488b15ac760bc60a6e6fde 备：96e3846a9cb5f1ea42484bb7e96e7e54</t>
        </is>
      </c>
      <c r="DW10" t="inlineStr">
        <is>
          <t>['9', '*', '~!@#%^&amp;*',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ec7781f66cbf4cf4e67216d80459547 备：0a104d284ac01e1025345effbe0db7c2</t>
        </is>
      </c>
      <c r="DX10" t="inlineStr">
        <is>
          <t>['8', '18:10:06', '18:10:06.1', '18:10:06.12', '18:10:06.123', '18:10:06.1235', '18:10:06.12346', '18:10:06.123457', '18:10:06.123456']行 ['16', '2026-04-19 18:10:06', '2026-04-19 18:10:06.1', '2026-04-19 18:10:06.12', '2026-04-19 18:10:06.123', '2026-04-19 18:10:06.1235', '2026-04-19 18:10:06.12346', '2026-04-19 18:10:06.123457', '2026-04-19 18:10:06.123456']列，源：c4b01f6b33fdcd550234ea4e27174b44 备：00ba31bb3a20dc146404b43e23abd91d</t>
        </is>
      </c>
      <c r="DZ10" t="inlineStr">
        <is>
          <t>['8', '09:12:34', '12:30:45.1', '09:12:34.12', '12:30:45.123', '09:12:34.1235', '12:30:45.1234', '09:12:34.123457', '12:30:45.1234']行 ['16', '2026-04-19 12:00:00', '2026-04-19 05:44:11.1', '2026-04-19 12:00:00.12', '2026-04-19 05:44:11.123', '2026-04-19 12:00:00.1235', '2026-04-19 05:44:11.12346', '2026-04-19 12:00:00.123457', '2026-04-19 05:44:11.123456']列，源：0fd2f619d621b1821f465168a350e07b 备：b490f76778064c1f23b7ed8bc5c4a958</t>
        </is>
      </c>
      <c r="EB10" t="inlineStr">
        <is>
          <t>['8', '0', '-32768', '-2147483648', '-9223372036854775808', '', '', '', '', '', '', '', '', '', '', '', '', '', '', '']行 ['106', '', '', '', '', '', '', '', '', '', '', '', '', '', '', '', '', '', '', '']列，源：1edc4e058b537207b894fced26cb6684 备：35c6bc34d24a069d816e7c1e07eed4c7</t>
        </is>
      </c>
      <c r="EE10" t="inlineStr">
        <is>
          <t>['14', '', '12:00:00.1', '', '12:00:00.123', '', '12:00:00.12346', '', '12:00:00.123456']行 ['4', '2026-04-19 12:30:45', '2026-04-19 12:30:45', '2026-04-19 12:30:45', '2026-04-19 12:30:45', '2026-04-19 12:30:45', '2026-04-19 12:30:45', '2026-04-19 12:30:45', '2026-04-19 12:30:45']列，源：cd30bcf6b45d03f9b1e66e65760d9405 备：f0e35773e06e59e836bbc9d40fa5feed</t>
        </is>
      </c>
      <c r="EF10" t="inlineStr">
        <is>
          <t>['14', '', '12:00:00.1', '', '12:00:00.123', '', '12:00:00.12346', '', '12:00:00.123456']行 ['9', '2026-04-19 12:30:45', '2026-04-19 12:30:45.1', '2026-04-19 12:30:45.12', '2026-04-19 12:30:45.123', '2026-04-19 12:30:45.1235', '2026-04-19 12:30:45.12345', '2026-04-19 12:30:45.12345', '2026-04-19 12:30:45.12345']列，源：cd30bcf6b45d03f9b1e66e65760d9405 备：cc85285a2c5fce7382f015e65be5b09e</t>
        </is>
      </c>
      <c r="EG10" t="inlineStr">
        <is>
          <t>['9', '1981-05-11 14:31:00']行 ['4', '2079-06-0623:59:00']列，源：5eb1b398e93ee95d77eb7ceacf21d66d 备：a6d75d1a66b9d20659c081896ddd30ba</t>
        </is>
      </c>
      <c r="EH10" t="inlineStr">
        <is>
          <t>['9', '1981-05-11 14:31:00']行 ['128', '2068-05-1114:31:00']列，源：5eb1b398e93ee95d77eb7ceacf21d66d 备：13686d96a5dd985422e6f0afc6d37d1a</t>
        </is>
      </c>
      <c r="EI10" t="inlineStr">
        <is>
          <t>['8', '0', '-32768', '-2147483648', '-9223372036854775808', '', '', '', '', '', '', '', '', '', '', '', '', '', '', '']行 ['106', '', '', '', '', '', '', '', '', '', '', '', '', '', '', '', '', '', '', '']列，源：1edc4e058b537207b894fced26cb6684 备：35c6bc34d24a069d816e7c1e07eed4c7</t>
        </is>
      </c>
      <c r="EJ10" t="inlineStr">
        <is>
          <t>['8', '0', '-32768', '-2147483648', '-9223372036854775808', '', '', '', '', '', '', '', '', '', '', '', '', '', '', '']行 ['16', '', '', '', '', '', '', '', '', '', '', '', '', '', '', '123456789000000002003480098300000000000', '340282306073709652508363335600000000000', '123456.789', '1234.5678', '1']列，源：1edc4e058b537207b894fced26cb6684 备：bd2a48339d77dbd935f5a501c060bab3</t>
        </is>
      </c>
      <c r="EK10" t="inlineStr">
        <is>
          <t>['9', '*', '~!@#%^&amp;*', '~!@#%^&amp;*~!@#%^&amp;*~!@#%^&amp;*~!@#%^&amp;*~!@#%^&amp;*~!@#%^&amp;*~!@#%^&amp;*~!@#%^&amp;*~!@#%^&amp;*~!@#%^&amp;*~!@#%^&amp;*~!@#%^&amp;*~!@#%^&amp;*~!@#%^&amp;*~!@#%^&amp;*~!@#%^&amp;*~!@#%^&amp;*~!@#%^&amp;*~!@#%^&amp;*~!@#%^&amp;*']行 ['2', '', '', '']列，源：3ec7781f66cbf4cf4e67216d80459547 备：4d8dcc58473bca7d755328caf6d901a9</t>
        </is>
      </c>
      <c r="EL10" t="inlineStr">
        <is>
          <t>['9', '1999-05-1601:30:45+10:15', '1999-05-1601:30:45.1+10:15', '1999-05-1601:30:45.12+10:15', '1999-05-1601:30:45.123+10:15', '1999-05-1601:30:45.1235+10:15', '1999-05-1601:30:45.12346+10:15', '1999-05-1601:30:45.123457+10:15', '1999-05-1601:30:45.1234567+10:15']行 ['5', '9999-12-3123:59:59+00:00', '9999-12-3123:59:59.9+00:00', '9999-12-3123:59:59.99+00:00', '9999-12-3123:59:59.999+00:00', '9999-12-3123:59:59.9999+00:00', '9999-12-3123:59:59.99999+00:00', '9999-12-3123:59:59.999999+00:00', '9999-12-3123:59:59.9999999+00:00']列，源：5ce542de96b32aca4db9fb684ca33bbb 备：e9913af2ede92ca2dee8e158b5f6391f</t>
        </is>
      </c>
      <c r="EM10" t="inlineStr">
        <is>
          <t>['9', '1981-05-11 14:31:00']行 ['4', '2079-06-0623:59:00']列，源：5eb1b398e93ee95d77eb7ceacf21d66d 备：a6d75d1a66b9d20659c081896ddd30ba</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c_dtoffset_3列源备映射错误，源端为datetimeoffset None位	期望更改为text	实际备端为datetimeoffset None位</t>
        </is>
      </c>
      <c r="Y11" t="inlineStr">
        <is>
          <t>['10', '2079-06-05 23:59:00']行 ['29', '1981-05-1114:31:00']列，源：b488192595cccf78b07d6e771e28a6e2 备：197d830636a6b75fe1f1eb02a5ba4ffa</t>
        </is>
      </c>
      <c r="Z11" t="inlineStr">
        <is>
          <t>['9', '2026-04-17 17:16:00']行 ['4', '2026-04-1717:16:00']列，源：ffaa728f84300a894df5d541cd8bf6ed 备：ece834b42f3f957cab12363572dec94b</t>
        </is>
      </c>
      <c r="AA11" t="inlineStr">
        <is>
          <t>['9', '2079-06-05 23:59:00']行 ['4', '2079-06-0623:59:00']列，源：551180ff46d14b637e3580cea60a61e2 备：a6d75d1a66b9d20659c081896ddd30ba</t>
        </is>
      </c>
      <c r="AB11"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AC11"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AH11" t="inlineStr">
        <is>
          <t>['10', '100', '-12345', '123456', '1000000', '', '', '', '', '-888888.22', '', '', '', '', '', '0', '0', '203685477.5808', '', '0']行 ['18', '100', '', '123456', '1000000', '', '', '', '', '-888888.22', '', '', '', '', '', '0', '0', '203685477.5808', '0.0001', '0']列，源：684fff0193dd89d8fd7cb2ab46f8ea99 备：9acb512b23c7372422ea0e24e5de5074</t>
        </is>
      </c>
      <c r="AJ11" t="inlineStr">
        <is>
          <t>['10', '1996-03-03 23:59:59.997']行 ['18', '2004-12-2423:59:59.990']列，源：0682b22c09fe2e69eee3d1acc35f0138 备：f42b752525aabf0bcdf23e82a8a8608c</t>
        </is>
      </c>
      <c r="AK11"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AL11" t="inlineStr">
        <is>
          <t>['10', '1996-03-03 23:59:59.997']行 ['15', '2001-04-0923:59:59.993']列，源：0682b22c09fe2e69eee3d1acc35f0138 备：72c850940e18c1fefbfcc8955f523a0b</t>
        </is>
      </c>
      <c r="AM11" t="inlineStr">
        <is>
          <t>['10', '1996-03-03 23:59:59.997']行 ['18', '2004-12-2423:59:59.990']列，源：0682b22c09fe2e69eee3d1acc35f0138 备：f42b752525aabf0bcdf23e82a8a8608c</t>
        </is>
      </c>
      <c r="AN11" t="inlineStr">
        <is>
          <t>['10', '100', '0', '0', '0', '99999', '', '', '', '-11111.34', '', '', '', '', '', '123.456789', '0', '203685477.5808', '', '1']行 ['18', '100', '0', '0', '0', '', '', '', '', '-888888.22', '', '', '', '', '', '0', '0', '203685477.5808', '0.0001', '0']列，源：a6643c928015791cdff8d723252803db 备：83298c732a6161b1801afa8e903c4ad4</t>
        </is>
      </c>
      <c r="AO11" t="inlineStr">
        <is>
          <t>['10', '1996-03-03 23:59:59.997']行 ['112', '1998-05-0523:59:59.997']列，源：0682b22c09fe2e69eee3d1acc35f0138 备：23448bcc04163278a5401427bb29a3e7</t>
        </is>
      </c>
      <c r="AP11" t="inlineStr">
        <is>
          <t>['9', '9999-12-31 23:59:59.997']行 ['17', '9999-12-3123:59:59.997']列，源：647b9ae95295fc25b052e6ef83753376 备：b013157f994928d5a4f36befe7503196</t>
        </is>
      </c>
      <c r="AQ11" t="inlineStr">
        <is>
          <t>['10',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'英', '€¶I€¶', '€¶I€¶€¶I€¶€¶I€¶€¶I€¶€¶I€¶€¶I€¶€¶I€¶€¶I€¶€¶I€¶€¶I€¶€¶I€¶€¶I€¶€¶I€¶€¶I€¶€¶I€¶€¶I€¶€¶I€¶€¶I€¶€¶I€¶€¶I€¶€¶I€¶€¶I€¶€¶I€¶€¶I€¶€¶I€¶€¶I€¶€¶I€¶€¶I€¶€¶I€¶€¶I€¶€¶I€¶€¶I€¶€¶I€¶€¶I€¶€¶I€¶€¶I€¶€¶I€¶€¶I€¶€¶I€¶€¶I€¶€¶I€¶€¶I€¶€¶I€¶€¶I€¶€¶I€¶€¶I€¶€¶I€¶€¶I€¶€¶I€¶€¶I€¶€¶I€¶€¶I€¶€¶I€¶€¶I€¶€¶I€¶€¶I€¶€¶I€¶€¶I€¶€¶I€¶€¶I€¶€¶I€¶€¶I€¶€¶I€¶€¶I€¶€¶I€¶€¶I€¶€¶I€¶€¶I€¶€¶I€¶€¶I€¶€¶I€¶€¶I€¶€¶I€¶€¶I€¶€¶I€¶€¶I€¶€¶I€¶€¶I€¶€¶I€¶€¶I€¶']列，源：3922c31d35ad494bb0f8643bbfdba304 备：9cad478d327e26078becb592d9158af2</t>
        </is>
      </c>
      <c r="AR11" t="inlineStr">
        <is>
          <t>['9', '2020-02-29 19:27:31.123']行 ['17', '2003-11-0423:59:59.990']列，源：49d43b6d70cfce6026d762874900d4ed 备：f6a0bc59d839acb488f1957d839f4f02</t>
        </is>
      </c>
      <c r="AV11"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AX11" t="inlineStr">
        <is>
          <t>['10', '1990-05-11']行 ['8', '0001-01-02 00:00:00']列，源：f36d27bcab29129586d05fd73d0ea108 备：6fa67fdbd162c694f276285f59a50544</t>
        </is>
      </c>
      <c r="AZ11" t="inlineStr">
        <is>
          <t>['23', '2026-04-17 17:17:25', '2026-04-17 17:17:24.6', '2026-04-17 17:17:24.63', '2026-04-17 17:17:24.631', '2026-04-17 17:17:24.6306', '2026-04-17 17:17:24.63065', '2026-04-17 17:17:24.630647', '2026-04-17 17:17:24.630646']行 ['21', '', '', '', '', '', '', '', '']列，源：44e2c84c4213cd2135a5f8e86c7bf4f4 备：cc069b0555b1f248fd524f9713174ec2</t>
        </is>
      </c>
      <c r="BA11" t="inlineStr">
        <is>
          <t>['18', '', '', '', '', '', '', '', '', '', '', '', '', '', '', '0', '0', '0.0001', '0.0001', '1']行 ['19', '', '', '', '', '', '', '', '', '', '', '', '', '', '', '340282346600000016151267322100000000000', '340282306073709652508363335600000000000', '922337203685477.5807', '214748.3647', '1']列，源：26edf2ac14a9b6c0b5c5fe4f69312474 备：2c5e5b5396d191aadfe06ab3699e64e4</t>
        </is>
      </c>
      <c r="BB11" t="inlineStr">
        <is>
          <t>['10', '*', '12345678901234567890', '12345678901234567890123456790000000000000000000000000000000000000000000000000000000000000000000000000000000000000000000000000000000000000000000000000000000000000000000000000000000000000000000000000000']行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备：34b7ed63247f47087617490d69f49e9c</t>
        </is>
      </c>
      <c r="BC11" t="inlineStr">
        <is>
          <t>['55', '9999-12-31 23:59:59', '9999-12-31 23:59:59.9', '9999-12-31 23:59:59.99', '9999-12-31 23:59:59.999', '9999-12-31 23:59:59.9999', '9999-12-31 23:59:59.99999', '9999-12-31 23:59:59.999999', '9999-12-31 23:59:59.999999']行 ['3', '2026-04-1717:17:33', '2026-04-1717:17:33.4', '2026-04-1717:17:33.41', '2026-04-1717:17:33.413', '2026-04-1717:17:33.4133', '2026-04-1717:17:33.41330', '2026-04-1717:17:33.413301', '2026-04-1717:17:33.4133005']列，源：9db669c5da592203413c603848f3f2d6 备：770cb865e2cbae97c20dee327fdc9259</t>
        </is>
      </c>
      <c r="BD11" t="inlineStr">
        <is>
          <t>['11', '200', '0', '0', '0', '99999', '', '', '', '-11111.34', '', '', '', '', '', '123.456789', '', '', '', '1']行 ['18', '', '', '', '', '', '', '', '', '', '', '', '', '', '', '0', '0', '0.0001', '0.0001', '1']列，源：aae4ef4b07c93d0873444fadbebfe0a0 备：26edf2ac14a9b6c0b5c5fe4f69312474</t>
        </is>
      </c>
      <c r="BG11" t="inlineStr">
        <is>
          <t>['22', '', '', '']行 ['25',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ef3d3ae2cc3100294981fe356141dafb 备：f4ed7d7fa1b425bbc070818da7641e17</t>
        </is>
      </c>
      <c r="BJ11"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BK11" t="inlineStr">
        <is>
          <t>['10', '*', '12345678901234567890', '12345678901234567890123456790000000000000000000000000000000000000000000000000000000000000000000000000000000000000000000000000000000000000000000000000000000000000000000000000000000000000000000000000000']行 ['21', '', '', '']列，源：895566832b85f94d0172bdf9f978772f 备：0c7ea425794ca0a5edd58a5c789f290a</t>
        </is>
      </c>
      <c r="BM11" t="inlineStr">
        <is>
          <t>['10', '',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'英', '€¶I€¶', '€¶I€¶€¶I€¶€¶I€¶€¶I€¶€¶I€¶€¶I€¶€¶I€¶€¶I€¶€¶I€¶€¶I€¶€¶I€¶€¶I€¶€¶I€¶€¶I€¶€¶I€¶€¶I€¶€¶I€¶€¶I€¶€¶I€¶€¶I€¶€¶I€¶€¶I€¶€¶I€¶€¶I€¶€¶I€¶€¶I€¶€¶I€¶€¶I€¶€¶I€¶€¶I€¶€¶I€¶€¶I€¶€¶I€¶€¶I€¶€¶I€¶€¶I€¶€¶I€¶€¶I€¶€¶I€¶€¶I€¶€¶I€¶€¶I€¶€¶I€¶€¶I€¶€¶I€¶€¶I€¶€¶I€¶€¶I€¶€¶I€¶€¶I€¶€¶I€¶€¶I€¶€¶I€¶€¶I€¶€¶I€¶€¶I€¶€¶I€¶€¶I€¶€¶I€¶€¶I€¶€¶I€¶€¶I€¶€¶I€¶€¶I€¶€¶I€¶€¶I€¶€¶I€¶€¶I€¶€¶I€¶€¶I€¶€¶I€¶€¶I€¶€¶I€¶€¶I€¶€¶I€¶€¶I€¶€¶I€¶€¶I€¶€¶I€¶€¶I€¶']列，源：3922c31d35ad494bb0f8643bbfdba304 备：9cad478d327e26078becb592d9158af2</t>
        </is>
      </c>
      <c r="BO11" t="inlineStr">
        <is>
          <t>['10', '*', '12345678901234567890', '12345678901234567890123456790000000000000000000000000000000000000000000000000000000000000000000000000000000000000000000000000000000000000000000000000000000000000000000000000000000000000000000000000000']行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备：34b7ed63247f47087617490d69f49e9c</t>
        </is>
      </c>
      <c r="BQ11"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BS11" t="inlineStr">
        <is>
          <t>['10', '2013-03-1202:00:00-04:25', '2013-03-1202:00:00.0-04:25', '2013-03-1202:00:00.00-04:25', '2013-03-1202:00:00.000-04:25', '2013-03-1202:00:00.0000-04:25', '2013-03-1202:00:00.00000-04:25', '2013-03-1202:00:00.000000-04:25', '2013-03-1202:00:00.0000000-04:25']行 ['129', '1999-05-1601:30:45+10:15', '1999-05-1601:30:45.1+10:15', '1999-05-1601:30:45.12+10:15', '1999-05-1601:30:45.123+10:15', '1999-05-1601:30:45.1235+10:15', '1999-05-1601:30:45.12346+10:15', '1999-05-1601:30:45.123457+10:15', '1999-05-1601:30:45.1234567+10:15']列，源：7fda097046bb020f0b52e84bbb175efc 备：4ea6fb101fbd7c4c1c08965313377e26</t>
        </is>
      </c>
      <c r="BU11"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BV11" t="inlineStr">
        <is>
          <t>['10', '*', '12345678901234567890', '12345678901234567890123456790000000000000000000000000000000000000000000000000000000000000000000000000000000000000000000000000000000000000000000000000000000000000000000000000000000000000000000000000000']行 ['110',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895566832b85f94d0172bdf9f978772f 备：0a7b3d04002fdf4d7761ef3213e3f41b</t>
        </is>
      </c>
      <c r="BW11" t="inlineStr">
        <is>
          <t>['10', '2013-03-1202:00:00-04:25', '2013-03-1202:00:00.0-04:25', '2013-03-1202:00:00.00-04:25', '2013-03-1202:00:00.000-04:25', '2013-03-1202:00:00.0000-04:25', '2013-03-1202:00:00.00000-04:25', '2013-03-1202:00:00.000000-04:25', '2013-03-1202:00:00.0000000-04:25']行 ['110', '2013-03-1202:00:00-04:25', '2013-03-1202:00:00.0-04:25', '2013-03-1202:00:00.00-04:25', '2013-03-1202:00:00.000-04:25', '2013-03-1202:00:00.0000-04:25', '2013-03-1202:00:00.00000-04:25', '2013-03-1202:00:00.000000-04:25', '2013-03-1202:00:00.0000000-04:25']列，源：7fda097046bb020f0b52e84bbb175efc 备：6fea5cd586da4bc72d8362350ff1ab82</t>
        </is>
      </c>
      <c r="BY11" t="inlineStr">
        <is>
          <t>['10', '1971-05-1100:00:00+14:00', '', '1971-05-1100:00:00.00+14:00', '', '1971-05-1100:00:00.0000+14:00', '', '1971-05-1100:00:00.000000+14:00', '']行 ['6', '1971-05-1100:00:00+14:00', '', '1971-05-1100:00:00.00+14:00', '', '1971-05-1100:00:00.0000+14:00', '', '1971-05-1100:00:00.000000+14:00', '']列，源：1de300593b181f534a5b6ecceb26bafb 备：69dc0092921f2251e9614d8ca6541396</t>
        </is>
      </c>
      <c r="BZ11" t="inlineStr">
        <is>
          <t>['10', '12:30:45', '12:30:45.1', '12:30:45.12', '12:30:45.123', '12:30:45.1235', '12:30:45.12346', '12:30:45.123456', '12:30:45.123456']行 ['5', '2026-04-19 12:30:45', '2026-04-19 12:30:45.1', '2026-04-19 12:30:45.1', '2026-04-19 12:30:45.1', '2026-04-19 12:30:45.1', '2026-04-19 12:30:45.1', '2026-04-19 12:30:45.1', '2026-04-19 12:30:45.1']列，源：073910843c8ca2a090bea32cb421b0e1 备：814c00c2b661c4163822fd3bd55da09a</t>
        </is>
      </c>
      <c r="CA11"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CB11" t="inlineStr">
        <is>
          <t>['10', '1990-05-11']行 ['177', '1970-01-01 00:00:00']列，源：f36d27bcab29129586d05fd73d0ea108 备：4b9379d7bf9c3f4e9600a4ff35e78d49</t>
        </is>
      </c>
      <c r="CD11" t="inlineStr">
        <is>
          <t>['10', '1990-05-11']行 ['8', '0001-01-02 00:00:00']列，源：f36d27bcab29129586d05fd73d0ea108 备：6fa67fdbd162c694f276285f59a50544</t>
        </is>
      </c>
      <c r="CF11" t="inlineStr">
        <is>
          <t>['9', 'X', 'THISISATESTSTRIN', 'CASECASECASECASECASECASECASECASECASECASECASECASECASECASECASECASECASECASECASECASECASECASECASECASECASECASECASECASECASECASECASECASECASECASECASECASECASECASECASECASECASECASECASECASECASECASECASECASECASECASE']行 ['8',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c44afe30f5056fafe6b8f97d29bfa4f 备：12c7ff4248442b08819ff649caa6b03d</t>
        </is>
      </c>
      <c r="CH11" t="inlineStr">
        <is>
          <t>['10', '1990-05-11']行 ['2', '1900-01-01 00:00:00']列，源：f36d27bcab29129586d05fd73d0ea108 备：7163b5525caf7cc0ddc250784e2537ae</t>
        </is>
      </c>
      <c r="CI11" t="inlineStr">
        <is>
          <t>['9',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['8',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9e846db200b2ca7e6911b1cfaf6be564 备：48dfc04adf15f13bc786957ab66a62da</t>
        </is>
      </c>
      <c r="CK11" t="inlineStr">
        <is>
          <t>['9', '', '', '', '', '', '', '', '-0.0000000001', '', '', '', '', '', '', '', '', '', '', '']行 ['17', '', '', '', '', '', '', '', '', '', '', '', '', '', '', '', '', '-0.01', '-0.01', '']列，源：a3fad7ea8e5ea60f0a4b941f41897462 备：068cff75df7ed5a1f3895ed7aeb6f63f</t>
        </is>
      </c>
      <c r="CL11" t="inlineStr">
        <is>
          <t>['10', '2079-06-05 23:59:00']行 ['5', '2026-04-1716:52:00']列，源：b488192595cccf78b07d6e771e28a6e2 备：933dfff6d70e01053f645941c7e2dcf5</t>
        </is>
      </c>
      <c r="CS11" t="inlineStr">
        <is>
          <t>['9', '2026-04-17']行 ['7', '2026-04-17 00:00:00']列，源：b16ab35d48e5f77c3c7e69fcaef78bc7 备：1ec10f133e6f114ae3fba22f5069b10c</t>
        </is>
      </c>
      <c r="CT11" t="inlineStr">
        <is>
          <t>['9', '1990-12-31']行 ['7', '1970-01-01 00:00:00']列，源：d2b6c1616538046a3e20547dcf0295c9 备：a15de1fe9e4c8bc16f66f0c7b8c0635f</t>
        </is>
      </c>
      <c r="CV11" t="inlineStr">
        <is>
          <t>['10', '1996-03-03 23:59:59.997']行 ['18', '2004-12-2423:59:59.990']列，源：0682b22c09fe2e69eee3d1acc35f0138 备：f42b752525aabf0bcdf23e82a8a8608c</t>
        </is>
      </c>
      <c r="CW11" t="inlineStr">
        <is>
          <t>['13', '', '', '', '', '', '', '', '', '', '', '', '', '', '', '', '', '1', '5.99', '']行 ['18', '', '', '', '', '', '', '', '', '', '', '', '', '', '', '', '', '-150.75', '-49.95', '']列，源：42117c21b1ce8edfe0ad637c9ac1548a 备：80caadae3ac31d4ecce4a0717dad902a</t>
        </is>
      </c>
      <c r="DB11" t="inlineStr">
        <is>
          <t>['13', '1999-06-06 23:59:59.997']行 ['23', '2025-01-0100:00:00.233']列，源：11eb918350ede7ba8045fb66e67e8895 备：40716dfdfa3eb606e6eebb32edf54dfa</t>
        </is>
      </c>
      <c r="DE11" t="inlineStr">
        <is>
          <t>['10', 'Y', '上海英方股份',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行 ['3', '', '', '']列，源：7131e9faa428f205d289919f7e71886a 备：0b6be33b0c5115aa8db935a501447fdb</t>
        </is>
      </c>
      <c r="DF11" t="inlineStr">
        <is>
          <t>['10', '12:30:45', '12:30:45.1', '12:30:45.12', '12:30:45.123', '12:30:45.1235', '12:30:45.12346', '12:30:45.123456', '12:30:45.123456']行 ['3', '2026-04-19 23:59:59', '2026-04-19 23:59:59.9', '2026-04-19 23:59:59.99', '2026-04-19 23:59:59.999', '2026-04-19 23:59:59.9999', '2026-04-19 23:59:59.99999', '2026-04-19 23:59:59.999999', '2026-04-19 23:59:59.999999']列，源：073910843c8ca2a090bea32cb421b0e1 备：0662bda6b156cc182a5358aac7780e95</t>
        </is>
      </c>
      <c r="DH11" t="inlineStr">
        <is>
          <t>['10', '12:30:45', '12:30:45.1', '12:30:45.12', '12:30:45.123', '12:30:45.1235', '12:30:45.12346', '12:30:45.123456', '12:30:45.123456']行 ['179', '2026-04-19 12:30:45', '2026-04-19 12:30:45.1', '2026-04-19 12:30:45.12', '2026-04-19 12:30:45.123', '2026-04-19 12:30:45.1235', '2026-04-19 12:30:45.12345', '2026-04-19 12:30:45.12345', '2026-04-19 12:30:45.12345']列，源：073910843c8ca2a090bea32cb421b0e1 备：43b75a55469b9d8994ad7050676d45a8</t>
        </is>
      </c>
      <c r="DK11" t="inlineStr">
        <is>
          <t>['22', '', '', '']行 ['25',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ef3d3ae2cc3100294981fe356141dafb 备：f4ed7d7fa1b425bbc070818da7641e17</t>
        </is>
      </c>
      <c r="DM11"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DO11" t="inlineStr">
        <is>
          <t>['10', '12:30:45', '12:30:45.1', '12:30:45.12', '12:30:45.123', '12:30:45.1235', '12:30:45.12346', '12:30:45.123456', '12:30:45.123456']行 ['3', '2026-04-19 23:59:59', '2026-04-19 23:59:59.9', '2026-04-19 23:59:59.99', '2026-04-19 23:59:59.999', '2026-04-19 23:59:59.9999', '2026-04-19 23:59:59.99999', '2026-04-19 23:59:59.999999', '2026-04-19 23:59:59.999999']列，源：073910843c8ca2a090bea32cb421b0e1 备：0662bda6b156cc182a5358aac7780e95</t>
        </is>
      </c>
      <c r="DP11" t="inlineStr">
        <is>
          <t>['10', '*', '12345678901234567890', '12345678901234567890123456790000000000000000000000000000000000000000000000000000000000000000000000000000000000000000000000000000000000000000000000000000000000000000000000000000000000000000000000000000']行 ['21', '', '', '']列，源：895566832b85f94d0172bdf9f978772f 备：0c7ea425794ca0a5edd58a5c789f290a</t>
        </is>
      </c>
      <c r="DT11" t="inlineStr">
        <is>
          <t>['9', '42', '12345', '123456789', '123456789012345', '', '', '', '', '', '', '', '', '', '', '', '', '', '', '']行 ['17', '', '', '', '', '', '', '', '', '', '', '', '', '', '', '-123456789000000002003480098300000000000', '-340282306073709652508363335600000000000', '-123456.789', '-1234.5678', '0']列，源：cb1f41c38c4f51a51f38f3f6572afb83 备：7147e084238ecd6123743b4b9a65290e</t>
        </is>
      </c>
      <c r="DV11" t="inlineStr">
        <is>
          <t>['10', '12:30:45', '12:30:45.1', '12:30:45.12', '12:30:45.123', '12:30:45.1235', '12:30:45.12346', '12:30:45.123456', '12:30:45.123456']行 ['2', '2026-04-19 00:00:00', '2026-04-19 00:00:00', '2026-04-19 00:00:00', '2026-04-19 00:00:00', '2026-04-19 00:00:00', '2026-04-19 00:00:00', '2026-04-19 00:00:00', '2026-04-19 00:00:00']列，源：073910843c8ca2a090bea32cb421b0e1 备：173b808bd14c96f9330babbd1a42793e</t>
        </is>
      </c>
      <c r="DW11" t="inlineStr">
        <is>
          <t>['10', '*', '12345678901234567890', '12345678901234567890123456790000000000000000000000000000000000000000000000000000000000000000000000000000000000000000000000000000000000000000000000000000000000000000000000000000000000000000000000000000']行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895566832b85f94d0172bdf9f978772f 备：3512be2cbb0c2333a84e373020b4f43c</t>
        </is>
      </c>
      <c r="DX11" t="inlineStr">
        <is>
          <t>['9', '18:10:06', '18:10:06.1', '18:10:06.12', '18:10:06.123', '18:10:06.1235', '18:10:06.12346', '18:10:06.123457', '18:10:06.123456']行 ['2', '2026-04-19 18:10:06', '2026-04-19 18:10:06.1', '2026-04-19 18:10:06.12', '2026-04-19 18:10:06.123', '2026-04-19 18:10:06.1235', '2026-04-19 18:10:06.12346', '2026-04-19 18:10:06.123457', '2026-04-19 18:10:06.123456']列，源：17a136e4a7343d328262ebc5d59b768b 备：050e589e1b01519724e38ade6f6ab21d</t>
        </is>
      </c>
      <c r="DZ11" t="inlineStr">
        <is>
          <t>['9', '12:30:45', '12:30:45.1', '12:30:45.12', '12:30:45.123', '12:30:45.1235', '12:30:45.12345', '12:30:45.12345', '12:30:45.12345']行 ['2', '2026-04-19 18:10:06', '2026-04-19 18:10:06.1', '2026-04-19 18:10:06.12', '2026-04-19 18:10:06.123', '2026-04-19 18:10:06.1235', '2026-04-19 18:10:06.12346', '2026-04-19 18:10:06.123457', '2026-04-19 18:10:06.123456']列，源：3eefe787ab488b15ac760bc60a6e6fde 备：050e589e1b01519724e38ade6f6ab21d</t>
        </is>
      </c>
      <c r="EB11" t="inlineStr">
        <is>
          <t>['9', '42', '12345', '123456789', '123456789012345', '', '', '', '', '', '', '', '', '', '', '', '', '', '', '']行 ['107', '', '', '', '', '', '', '', '', '', '', '', '', '', '', '', '', '', '', '']列，源：cb1f41c38c4f51a51f38f3f6572afb83 备：977427873113cff6c62b5712fc2912f5</t>
        </is>
      </c>
      <c r="EE11" t="inlineStr">
        <is>
          <t>['15', '00:00:01', '', '00:00:01.12', '', '00:00:01.1235', '', '00:00:01.123457', '']行 ['9', '2026-04-19 12:30:45', '2026-04-19 12:30:45.1', '2026-04-19 12:30:45.12', '2026-04-19 12:30:45.123', '2026-04-19 12:30:45.1235', '2026-04-19 12:30:45.12345', '2026-04-19 12:30:45.12345', '2026-04-19 12:30:45.12345']列，源：083df9cb0ee25c34dc91e9b5fde2eb74 备：cc85285a2c5fce7382f015e65be5b09e</t>
        </is>
      </c>
      <c r="EG11" t="inlineStr">
        <is>
          <t>['10', '2079-06-05 23:59:00']行 ['5', '2026-04-1717:15:00']列，源：b488192595cccf78b07d6e771e28a6e2 备：f55c199fe8e4395e0021dfc23e52e4dc</t>
        </is>
      </c>
      <c r="EH11" t="inlineStr">
        <is>
          <t>['10', '2079-06-05 23:59:00']行 ['13', '2025-05-1112:00:00']列，源：b488192595cccf78b07d6e771e28a6e2 备：7435f692fc0a263fc1078a0b722c4b10</t>
        </is>
      </c>
      <c r="EI11" t="inlineStr">
        <is>
          <t>['9', '42', '12345', '123456789', '123456789012345', '', '', '', '', '', '', '', '', '', '', '', '', '', '', '']行 ['107', '', '', '', '', '', '', '', '', '', '', '', '', '', '', '', '', '', '', '']列，源：cb1f41c38c4f51a51f38f3f6572afb83 备：977427873113cff6c62b5712fc2912f5</t>
        </is>
      </c>
      <c r="EJ11" t="inlineStr">
        <is>
          <t>['9', '42', '12345', '123456789', '123456789012345', '', '', '', '', '', '', '', '', '', '', '', '', '', '', '']行 ['17', '', '', '', '', '', '', '', '', '', '', '', '', '', '', '-123456789000000002003480098300000000000', '-340282306073709652508363335600000000000', '-123456.789', '-1234.5678', '0']列，源：cb1f41c38c4f51a51f38f3f6572afb83 备：7147e084238ecd6123743b4b9a65290e</t>
        </is>
      </c>
      <c r="EK11" t="inlineStr">
        <is>
          <t>['10', '*', '12345678901234567890', '12345678901234567890123456790000000000000000000000000000000000000000000000000000000000000000000000000000000000000000000000000000000000000000000000000000000000000000000000000000000000000000000000000000']行 ['3', '', '', '']列，源：895566832b85f94d0172bdf9f978772f 备：0b6be33b0c5115aa8db935a501447fdb</t>
        </is>
      </c>
      <c r="EL11" t="inlineStr">
        <is>
          <t>['10', '2013-03-1202:00:00-04:25', '2013-03-1202:00:00.0-04:25', '2013-03-1202:00:00.00-04:25', '2013-03-1202:00:00.000-04:25', '2013-03-1202:00:00.0000-04:25', '2013-03-1202:00:00.00000-04:25', '2013-03-1202:00:00.000000-04:25', '2013-03-1202:00:00.0000000-04:25']行 ['6', '2063-05-1110:30:45-04:00', '2063-05-1110:30:45.1-04:00', '2063-05-1110:30:45.12-04:00', '2063-05-1110:30:45.123-04:00', '2063-05-1110:30:45.1235-04:00', '2063-05-1110:30:45.12346-04:00', '2063-05-1110:30:45.123457-04:00', '2063-05-1110:30:45.1234567-04:00']列，源：7fda097046bb020f0b52e84bbb175efc 备：ced5cd81b766fa957614103c3a575085</t>
        </is>
      </c>
      <c r="EM11" t="inlineStr">
        <is>
          <t>['10', '2079-06-05 23:59:00']行 ['5', '2026-04-1717:16:00']列，源：b488192595cccf78b07d6e771e28a6e2 备：be6b23b6fba45bcdb910ba463af5fa65</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c_dtoffset_4列源备映射错误，源端为datetimeoffset None位	期望更改为text	实际备端为datetimeoffset None位</t>
        </is>
      </c>
      <c r="Y12" t="inlineStr">
        <is>
          <t>['11', '1900-01-02 00:00:00']行 ['3', '1900-01-0100:00:00']列，源：544ac773ef0f0cd5591c9884dd4bae17 备：449b2e7b6f6994ef232bacd1e349deb5</t>
        </is>
      </c>
      <c r="Z12" t="inlineStr">
        <is>
          <t>['10', '2026-04-17 17:16:00']行 ['5', '2026-04-1717:16:00']列，源：cb40926d1c1b48df0dc17d856896c2c1 备：be6b23b6fba45bcdb910ba463af5fa65</t>
        </is>
      </c>
      <c r="AA12" t="inlineStr">
        <is>
          <t>['10', '2079-06-05 23:59:00']行 ['5', '2079-06-0523:59:00']列，源：b488192595cccf78b07d6e771e28a6e2 备：bdddbf68795b2c29334a29b07f76ef47</t>
        </is>
      </c>
      <c r="AC12"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AH12" t="inlineStr">
        <is>
          <t>['11', '100', '20000', '123456', '1000000', '', '', '', '', '-888888.22', '', '', '', '', '', '0', '0', '203685477.5808', '', '0']行 ['19', '100', '', '123456', '1000000', '', '', '', '', '-888888.22', '', '', '', '', '', '0', '0', '203685477.5808', '214748.3647', '0']列，源：fe42108026228a356bb8ae8c68f97aa2 备：223db9483e565be3bd9c49f919bca35a</t>
        </is>
      </c>
      <c r="AJ12" t="inlineStr">
        <is>
          <t>['11', '1997-04-04 23:59:59.997']行 ['19', '1753-01-0200:00:00.000']列，源：fdda3ffa78b23283e092c26319b38ea0 备：736c2e259e88dc84b0eb356212ee62c8</t>
        </is>
      </c>
      <c r="AL12" t="inlineStr">
        <is>
          <t>['11', '1997-04-04 23:59:59.997']行 ['152', '1900-01-0100:00:00.000']列，源：fdda3ffa78b23283e092c26319b38ea0 备：243352920b138f5938d8b7d611d4da39</t>
        </is>
      </c>
      <c r="AM12" t="inlineStr">
        <is>
          <t>['11', '1997-04-04 23:59:59.997']行 ['19', '1753-01-0200:00:00.000']列，源：fdda3ffa78b23283e092c26319b38ea0 备：736c2e259e88dc84b0eb356212ee62c8</t>
        </is>
      </c>
      <c r="AN12" t="inlineStr">
        <is>
          <t>['11', '100', '0', '0', '0', '', '', '', '', '-888888.22', '', '', '', '', '', '0', '0', '203685477.5808', '', '0']行 ['19', '100', '0', '0', '0', '99999', '', '', '', '-11111.34', '', '', '', '', '', '123.456789', '0', '203685477.5808', '214748.3647', '1']列，源：8173eaa276139b87dc01ee4d9a3c2820 备：8f0d6007fe877a199ae935644af1052e</t>
        </is>
      </c>
      <c r="AO12" t="inlineStr">
        <is>
          <t>['11', '1997-04-04 23:59:59.997']行 ['113', '1999-06-0623:59:59.997']列，源：fdda3ffa78b23283e092c26319b38ea0 备：77e2d85027fa4b544be892cfe57043ea</t>
        </is>
      </c>
      <c r="AP12" t="inlineStr">
        <is>
          <t>['10', '9999-12-31 23:59:59.997']行 ['18', '9999-12-3123:59:59.997']列，源：37c0d0933f7d394f2463809db51523fc 备：44cd33f209538805e9dc138ea9e7fb58</t>
        </is>
      </c>
      <c r="AR12" t="inlineStr">
        <is>
          <t>['10', '1996-03-03 23:59:59.997']行 ['18', '2004-12-2423:59:59.990']列，源：0682b22c09fe2e69eee3d1acc35f0138 备：f42b752525aabf0bcdf23e82a8a8608c</t>
        </is>
      </c>
      <c r="AV12"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AX12" t="inlineStr">
        <is>
          <t>['11', '2068-06-01']行 ['9', '9999-12-30 00:00:00']列，源：df8a7d52074f46aec673d7e7d420941b 备：9984c1d9358c3ef40f8e1c3abd41d70e</t>
        </is>
      </c>
      <c r="AZ12" t="inlineStr">
        <is>
          <t>['24', '0001-01-01 00:00:00', '0001-01-01 00:00:00', '0001-01-01 00:00:00', '0001-01-01 00:00:00', '0001-01-01 00:00:00', '0001-01-01 00:00:00', '0001-01-01 00:00:00', '0001-01-01 00:00:00']行 ['22', '1900-01-0100:00:00', '1900-01-0100:00:00.0', '1900-01-0100:00:00.00', '1900-01-0100:00:00.000', '1900-01-0100:00:00.0000', '1900-01-0100:00:00.00000', '1900-01-0100:00:00.000000', '1900-01-0100:00:00.0000000']列，源：2bf17c567675a8a68edf24da3a384882 备：c4758bc64ba367ef2e88ed35813b83f6</t>
        </is>
      </c>
      <c r="BA12" t="inlineStr">
        <is>
          <t>['19', '', '', '', '', '', '', '', '', '', '', '', '', '', '', '340282346600000016151267322115014000640', '340282306073709652508363335590014353408', '922337203685477.5807', '214748.3647', '1']行 ['20', '', '', '', '', '', '', '', '', '', '', '', '', '', '', '-340282346600000016151267322100000000000', '-340282306073709652508363335600000000000', '-922337203685477.5808', '-214748.3648', '0']列，源：006afe1a87339ae24ba160a9084d0707 备：e9e44d25bc97e58176fe725acd08b284</t>
        </is>
      </c>
      <c r="BC12" t="inlineStr">
        <is>
          <t>['56', '1945-05-11 14:30:45', '1945-05-11 14:30:45.1', '1945-05-11 14:30:45.12', '1945-05-11 14:30:45.123', '1945-05-11 14:30:45.1235', '1945-05-11 14:30:45.12346', '1945-05-11 14:30:45.123457', '1945-05-11 14:30:45.123456']行 ['4', '0001-01-0100:00:00', '0001-01-0100:00:00.0', '0001-01-0100:00:00.00', '0001-01-0100:00:00.000', '0001-01-0100:00:00.0000', '0001-01-0100:00:00.00000', '0001-01-0100:00:00.000000', '0001-01-0100:00:00.0000000']列，源：408a69d2707ef81a1837f2180f585676 备：f0d99e817229c3587ffa73fc700c18e7</t>
        </is>
      </c>
      <c r="BD12" t="inlineStr">
        <is>
          <t>['12', '', '', '', '', '123', '12345678901234567890123789010000000', '0.1234567890123459012345678901', '123456789012367012345678.1246', '123456712345.6789', '988', '987654321098765410987654321100000000', '0.9876543210987432109876543211', '987654321098765432105432.1099', '1234567012456.78', '', '', '', '', '']行 ['19', '', '', '', '', '', '', '', '', '', '', '', '', '', '', '340282346600000016151267322100000000000', '340282306073709652508363335600000000000', '922337203685477.5807', '214748.3647', '1']列，源：b48d758f4e5aa3334c133bdfb1c74b7d 备：2c5e5b5396d191aadfe06ab3699e64e4</t>
        </is>
      </c>
      <c r="BG12" t="inlineStr">
        <is>
          <t>['23',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['26', 'Y', '€¶I€¶', '€¶I€¶€¶I€¶€¶I€¶€¶I€¶€¶I€¶€¶I€¶€¶I€¶€¶I€¶€¶I€¶€¶I€¶€¶I€¶€¶I€¶€¶I€¶€¶I€¶€¶I€¶€¶I€¶€¶I€¶€¶I€¶€¶I€¶€¶I€¶€¶I€¶€¶I€¶€¶I€¶€¶I€¶€¶I€¶€¶I€¶€¶I€¶€¶I€¶€¶I€¶€¶I€¶€¶I€¶€¶I€¶€¶I€¶€¶I€¶€¶I€¶€¶I€¶€¶I€¶€¶I€¶€¶I€¶€¶I€¶€¶I€¶€¶I€¶€¶I€¶€¶I€¶€¶I€¶€¶I€¶€¶I€¶€¶I€¶€¶I€¶€¶I€¶€¶I€¶€¶I€¶€¶I€¶€¶I€¶€¶I€¶€¶I€¶€¶I€¶€¶I€¶€¶I€¶€¶I€¶€¶I€¶€¶I€¶€¶I€¶€¶I€¶€¶I€¶€¶I€¶€¶I€¶€¶I€¶€¶I€¶€¶I€¶€¶I€¶€¶I€¶€¶I€¶€¶I€¶€¶I€¶€¶I€¶€¶I€¶€¶I€¶€¶I€¶€¶I€¶€¶I€¶€¶I€¶€¶I€¶€¶I€¶€¶I€¶€¶I€¶€¶I€¶€¶I€¶€¶I€¶€¶I€¶€¶I€¶€¶I€¶€¶I€¶€¶I€¶€¶I€¶€¶I€¶€¶I€¶€¶I€¶€¶I€¶€¶I€¶€¶I€¶€¶I€¶€¶I€¶€¶I€¶€¶I€¶€¶I€¶€¶I€¶€¶I€¶€¶I€¶€¶I€¶€¶I€¶€¶I€¶€¶I€¶€¶I€¶€¶I€¶€¶I€¶€¶I€¶€¶I€¶€¶I€¶€¶I€¶€¶I€¶€¶I€¶€¶I€¶€¶I€¶€¶I€¶€¶I€¶€¶I€¶€¶I€¶€¶I€¶€¶I€¶€¶I€¶€¶I€¶€¶I€¶€¶I€¶€¶I€¶€¶I€¶€¶I€¶€¶I€¶€¶I€¶€¶I€¶€¶I€¶€¶I€¶€¶I€¶€¶I€¶€¶I€¶€¶I€¶€¶I€¶€¶I€¶€¶I€¶€¶I€¶€¶I€¶€¶I€¶€¶I€¶€¶I€¶€¶I€¶€¶I€¶€¶I€¶€¶I€¶€¶I€¶€¶I€¶€¶I€¶€¶I€¶€¶I€¶€¶I€¶€¶I€¶€¶I€¶€¶I€¶€¶I€¶€¶I€¶€¶I€¶€¶I€¶€¶I€¶€¶I€¶€¶I€¶€¶I€¶€¶I€¶€¶I€¶€¶I€¶€¶I€¶€¶I€¶€¶I€¶€¶I€¶€¶I€¶€¶I€¶€¶I€¶€¶I€¶€¶I€¶€¶I€¶€¶I€¶€¶I€¶€¶I€¶€¶I€¶€¶I€¶€¶I€¶€¶I€¶€¶I€¶€¶I€¶€¶I€¶€¶I€¶€¶I€¶']列，源：961f274c219ecc2acde7624312e9f84a 备：611990f4ea1b5def867ab634c389853d</t>
        </is>
      </c>
      <c r="BJ12"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BK12" t="inlineStr">
        <is>
          <t>['21', '', '', '']行 ['22', '0', '0', '0']列，源：0c7ea425794ca0a5edd58a5c789f290a 备：b635c7b5822a728cbea67118d8ebc056</t>
        </is>
      </c>
      <c r="BQ12"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BS12" t="inlineStr">
        <is>
          <t>['11', '2003-11-0502:00:00-05:10', '2003-11-0502:00:00.0-05:10', '2003-11-0502:00:00.00-05:10', '2003-11-0502:00:00.000-05:10', '2003-11-0502:00:00.0000-05:10', '2003-11-0502:00:00.00000-05:10', '2003-11-0502:00:00.000000-05:10', '2003-11-0502:00:00.0000000-05:10']行 ['13', '1971-05-1100:00:00+14:00', '1971-05-1100:00:00.0+14:00', '1971-05-1100:00:00.00+14:00', '1971-05-1100:00:00.000+14:00', '1971-05-1100:00:00.0000+14:00', '1971-05-1100:00:00.00000+14:00', '1971-05-1100:00:00.000000+14:00', '1971-05-1100:00:00.0000001+14:00']列，源：5763c1eeb92d430c4d8f32e6dce6129c 备：dc344ffcaa3e3c2a77034f12a4753488</t>
        </is>
      </c>
      <c r="BU12"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BV12" t="inlineStr">
        <is>
          <t>['53',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 '0', '0', '0']列，源：584741369e2fd8095f1333a0b2abbd89 备：b424556eb7bea118d7c22c47aff64ab2</t>
        </is>
      </c>
      <c r="BW12" t="inlineStr">
        <is>
          <t>['11', '2003-11-0502:00:00-05:10', '2003-11-0502:00:00.0-05:10', '2003-11-0502:00:00.00-05:10', '2003-11-0502:00:00.000-05:10', '2003-11-0502:00:00.0000-05:10', '2003-11-0502:00:00.00000-05:10', '2003-11-0502:00:00.000000-05:10', '2003-11-0502:00:00.0000000-05:10']行 ['111', '2003-11-0502:00:00-05:10', '2003-11-0502:00:00.0-05:10', '2003-11-0502:00:00.00-05:10', '2003-11-0502:00:00.000-05:10', '2003-11-0502:00:00.0000-05:10', '2003-11-0502:00:00.00000-05:10', '2003-11-0502:00:00.000000-05:10', '2003-11-0502:00:00.0000000-05:10']列，源：5763c1eeb92d430c4d8f32e6dce6129c 备：fec0d78a2a1af99670b91358d91ad909</t>
        </is>
      </c>
      <c r="BY12" t="inlineStr">
        <is>
          <t>['11', '1971-05-1100:00:00+14:00', '', '1971-05-1100:00:00.00+14:00', '', '1971-05-1100:00:00.0000+14:00', '', '1971-05-1100:00:00.000000+14:00', '']行 ['7', '1971-05-1100:00:00+14:00', '', '1971-05-1100:00:00.00+14:00', '', '1971-05-1100:00:00.0000+14:00', '', '1971-05-1100:00:00.000000+14:00', '']列，源：090cfda14aebd01b3f82dc5b9b6b7ec2 备：33f41903c090cddf52a3bc303d9c472c</t>
        </is>
      </c>
      <c r="BZ12" t="inlineStr">
        <is>
          <t>['11', '12:30:45', '12:30:45.1', '12:30:45.12', '12:30:45.123', '12:30:45.1235', '12:30:45.12346', '12:30:45.123457', '12:30:45.123456']行 ['6', '2026-04-19 12:30:45', '2026-04-19 12:30:45.1', '2026-04-19 12:30:45.12', '2026-04-19 12:30:45.12', '2026-04-19 12:30:45.12', '2026-04-19 12:30:45.12', '2026-04-19 12:30:45.12', '2026-04-19 12:30:45.12']列，源：0dc8b1c75700bab8dc4a619d314a9501 备：0d78d5ad9e9aabb44dad5dadf55fdd23</t>
        </is>
      </c>
      <c r="CA12" t="inlineStr">
        <is>
          <t>['11', '2025-05-1200:00:00-14:00', '2025-05-1200:00:00.0-14:00', '2025-05-1200:00:00.00-14:00', '2025-05-1200:00:00.000-14:00', '2025-05-1200:00:00.0000-14:00', '2025-05-1200:00:00.00000-14:00', '2025-05-1200:00:00.000000-14:00', '2025-05-1123:59:59.9999999-14:00']行 ['7', '2063-03-1202:00:00-04:25', '2063-03-1202:00:00.0-04:25', '2063-03-1202:00:00.00-04:25', '2063-03-1202:00:00.000-04:25', '2063-03-1202:00:00.0000-04:25', '2063-03-1202:00:00.00000-04:25', '2063-03-1202:00:00.000000-04:25', '2063-03-1202:00:00.0000000-04:25']列，源：aae0fba80181e98f52fe848941baa467 备：274c40c0dd4772b5873078865b7b8223</t>
        </is>
      </c>
      <c r="CB12" t="inlineStr">
        <is>
          <t>['11', '2068-06-01']行 ['178', '0001-01-02 00:00:00']列，源：df8a7d52074f46aec673d7e7d420941b 备：925ae6d168025977e8a6f370bdbfe2a3</t>
        </is>
      </c>
      <c r="CD12" t="inlineStr">
        <is>
          <t>['11', '2068-06-01']行 ['9', '9999-12-30 00:00:00']列，源：df8a7d52074f46aec673d7e7d420941b 备：9984c1d9358c3ef40f8e1c3abd41d70e</t>
        </is>
      </c>
      <c r="CF12" t="inlineStr">
        <is>
          <t>['10', 'X', 'THISISATESTSTRIN', 'CASECASECASECASECASECASECASECASECASECASECASECASECASECASECASECASECASECASECASECASECASECASECASECASECASECASECASECASECASECASECASECASECASECASECASECASECASECASECASECASECASECASECASECASECASECASECASECASECASECASE']行 ['9', '58', '546869732069732061207465737420737472696E', '436173654361736543617365436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8dcc59f16cd1c65bcfd22bc8a78d575 备：aca57faa8a57c6342726f88145c693f7</t>
        </is>
      </c>
      <c r="CH12" t="inlineStr">
        <is>
          <t>['11', '2068-06-01']行 ['204', '9999-12-31 00:00:00']列，源：df8a7d52074f46aec673d7e7d420941b 备：022ffafc4bc8793ab7f965015639d30a</t>
        </is>
      </c>
      <c r="CI12" t="inlineStr">
        <is>
          <t>['10', 'F',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行 ['9', '46', '7E21D3A2B7BD54657374262A0000000000000000', '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54657374262A7E21D3A2B7BD5465']列，源：bd6d52334617bc26d29c8f24c6a37588 备：7630925c3199f8ee2390a7a1f7cfb850</t>
        </is>
      </c>
      <c r="CK12" t="inlineStr">
        <is>
          <t>['10', '', '', '', '', '', '', '', '', '0.0001', '', '', '', '', '', '', '', '', '', '']行 ['18', '', '', '', '', '', '', '', '', '', '', '', '', '', '', '', '', '-150.75', '-49.95', '']列，源：3b84c2f4b0d14bd57e87463de2ddf0ce 备：80caadae3ac31d4ecce4a0717dad902a</t>
        </is>
      </c>
      <c r="CL12" t="inlineStr">
        <is>
          <t>['11', '1900-01-02 00:00:00']行 ['6', '2020-03-0100:00:00']列，源：544ac773ef0f0cd5591c9884dd4bae17 备：41de459b8773593bb76d513eb095eeff</t>
        </is>
      </c>
      <c r="CS12" t="inlineStr">
        <is>
          <t>['10', '2026-04-17']行 ['8', '2026-04-17 00:00:00']列，源：768358189c5692903a8acbf78ee1a2c6 备：b008658bb7de5e18700d149446b84035</t>
        </is>
      </c>
      <c r="CT12" t="inlineStr">
        <is>
          <t>['10', '1990-12-31']行 ['8', '0001-01-02 00:00:00']列，源：f9974c6a033ee8c8d44a56e08bab49d7 备：6fa67fdbd162c694f276285f59a50544</t>
        </is>
      </c>
      <c r="CV12" t="inlineStr">
        <is>
          <t>['11', '1997-04-04 23:59:59.997']行 ['19', '1753-01-0200:00:00.000']列，源：fdda3ffa78b23283e092c26319b38ea0 备：736c2e259e88dc84b0eb356212ee62c8</t>
        </is>
      </c>
      <c r="CW12" t="inlineStr">
        <is>
          <t>['14', '', '', '', '', '', '', '', '', '', '', '', '', '', '', '', '', '100.5', '99.5', '']行 ['19', '', '', '', '', '', '', '', '', '', '', '', '', '', '', '', '', '-500000', '-20000', '']列，源：3b33070a05564aade000a74713c64b00 备：ed94d0f128ddb403a48e117129bc9019</t>
        </is>
      </c>
      <c r="DB12" t="inlineStr">
        <is>
          <t>['15', '2001-04-09 23:59:59.993']行 ['3', '1753-01-0100:00:00.000']列，源：0a6dcffcccec03fbf67900e2d0e8ae6d 备：1f4848cd916f07b757d44603eabcc57e</t>
        </is>
      </c>
      <c r="DE12" t="inlineStr">
        <is>
          <t>['11', '1', '12345678901234567890', '1234567812345678123456781235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['4', '', '', '']列，源：919475ea389ad79ad641072bbb118d61 备：7c4c838f7d8ad7ddd7d4f869b807ac77</t>
        </is>
      </c>
      <c r="DF12" t="inlineStr">
        <is>
          <t>['11', '12:30:45', '12:30:45.1', '12:30:45.12', '12:30:45.123', '12:30:45.1235', '12:30:45.12346', '12:30:45.123457', '12:30:45.123456']行 ['4', '2026-04-19 12:30:45', '2026-04-19 12:30:45', '2026-04-19 12:30:45', '2026-04-19 12:30:45', '2026-04-19 12:30:45', '2026-04-19 12:30:45', '2026-04-19 12:30:45', '2026-04-19 12:30:45']列，源：0dc8b1c75700bab8dc4a619d314a9501 备：f0e35773e06e59e836bbc9d40fa5feed</t>
        </is>
      </c>
      <c r="DH12" t="inlineStr">
        <is>
          <t>['11', '12:30:45', '12:30:45.1', '12:30:45.12', '12:30:45.123', '12:30:45.1235', '12:30:45.12346', '12:30:45.123457', '12:30:45.123456']行 ['2', '2026-04-19 00:00:00', '2026-04-19 00:00:00', '2026-04-19 00:00:00', '2026-04-19 00:00:00', '2026-04-19 00:00:00', '2026-04-19 00:00:00', '2026-04-19 00:00:00', '2026-04-19 00:00:00']列，源：0dc8b1c75700bab8dc4a619d314a9501 备：173b808bd14c96f9330babbd1a42793e</t>
        </is>
      </c>
      <c r="DK12" t="inlineStr">
        <is>
          <t>['23',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['26', 'Y', '€¶I€¶', '€¶I€¶€¶I€¶€¶I€¶€¶I€¶€¶I€¶€¶I€¶€¶I€¶€¶I€¶€¶I€¶€¶I€¶€¶I€¶€¶I€¶€¶I€¶€¶I€¶€¶I€¶€¶I€¶€¶I€¶€¶I€¶€¶I€¶€¶I€¶€¶I€¶€¶I€¶€¶I€¶€¶I€¶€¶I€¶€¶I€¶€¶I€¶€¶I€¶€¶I€¶€¶I€¶€¶I€¶€¶I€¶€¶I€¶€¶I€¶€¶I€¶€¶I€¶€¶I€¶€¶I€¶€¶I€¶€¶I€¶€¶I€¶€¶I€¶€¶I€¶€¶I€¶€¶I€¶€¶I€¶€¶I€¶€¶I€¶€¶I€¶€¶I€¶€¶I€¶€¶I€¶€¶I€¶€¶I€¶€¶I€¶€¶I€¶€¶I€¶€¶I€¶€¶I€¶€¶I€¶€¶I€¶€¶I€¶€¶I€¶€¶I€¶€¶I€¶€¶I€¶€¶I€¶€¶I€¶€¶I€¶€¶I€¶€¶I€¶€¶I€¶€¶I€¶€¶I€¶€¶I€¶€¶I€¶€¶I€¶€¶I€¶€¶I€¶€¶I€¶€¶I€¶€¶I€¶€¶I€¶€¶I€¶€¶I€¶€¶I€¶€¶I€¶€¶I€¶€¶I€¶€¶I€¶€¶I€¶€¶I€¶€¶I€¶€¶I€¶€¶I€¶€¶I€¶€¶I€¶€¶I€¶€¶I€¶€¶I€¶€¶I€¶€¶I€¶€¶I€¶€¶I€¶€¶I€¶€¶I€¶€¶I€¶€¶I€¶€¶I€¶€¶I€¶€¶I€¶€¶I€¶€¶I€¶€¶I€¶€¶I€¶€¶I€¶€¶I€¶€¶I€¶€¶I€¶€¶I€¶€¶I€¶€¶I€¶€¶I€¶€¶I€¶€¶I€¶€¶I€¶€¶I€¶€¶I€¶€¶I€¶€¶I€¶€¶I€¶€¶I€¶€¶I€¶€¶I€¶€¶I€¶€¶I€¶€¶I€¶€¶I€¶€¶I€¶€¶I€¶€¶I€¶€¶I€¶€¶I€¶€¶I€¶€¶I€¶€¶I€¶€¶I€¶€¶I€¶€¶I€¶€¶I€¶€¶I€¶€¶I€¶€¶I€¶€¶I€¶€¶I€¶€¶I€¶€¶I€¶€¶I€¶€¶I€¶€¶I€¶€¶I€¶€¶I€¶€¶I€¶€¶I€¶€¶I€¶€¶I€¶€¶I€¶€¶I€¶€¶I€¶€¶I€¶€¶I€¶€¶I€¶€¶I€¶€¶I€¶€¶I€¶€¶I€¶€¶I€¶€¶I€¶€¶I€¶€¶I€¶€¶I€¶€¶I€¶€¶I€¶€¶I€¶€¶I€¶€¶I€¶€¶I€¶€¶I€¶€¶I€¶€¶I€¶€¶I€¶€¶I€¶€¶I€¶€¶I€¶€¶I€¶€¶I€¶€¶I€¶€¶I€¶€¶I€¶€¶I€¶']列，源：961f274c219ecc2acde7624312e9f84a 备：611990f4ea1b5def867ab634c389853d</t>
        </is>
      </c>
      <c r="DO12" t="inlineStr">
        <is>
          <t>['11', '12:30:45', '12:30:45.1', '12:30:45.12', '12:30:45.123', '12:30:45.1235', '12:30:45.12346', '12:30:45.123457', '12:30:45.123456']行 ['4', '2026-04-19 12:30:45', '2026-04-19 12:30:45', '2026-04-19 12:30:45', '2026-04-19 12:30:45', '2026-04-19 12:30:45', '2026-04-19 12:30:45', '2026-04-19 12:30:45', '2026-04-19 12:30:45']列，源：0dc8b1c75700bab8dc4a619d314a9501 备：f0e35773e06e59e836bbc9d40fa5feed</t>
        </is>
      </c>
      <c r="DP12" t="inlineStr">
        <is>
          <t>['21', '', '', '']行 ['22', '', '', '']列，源：0c7ea425794ca0a5edd58a5c789f290a 备：ef3d3ae2cc3100294981fe356141dafb</t>
        </is>
      </c>
      <c r="DT12" t="inlineStr">
        <is>
          <t>['10', '99', '-12345', '-123456789', '-123456789012345', '', '', '', '', '', '', '', '', '', '', '', '', '', '', '']行 ['18', '', '', '', '', '', '', '', '', '', '', '', '', '', '', '0', '0', '0.0001', '0.0001', '1']列，源：fe07344c627d94d98fc9cdc96e263b6f 备：26edf2ac14a9b6c0b5c5fe4f69312474</t>
        </is>
      </c>
      <c r="DV12" t="inlineStr">
        <is>
          <t>['11', '12:30:45', '12:30:45.1', '12:30:45.12', '12:30:45.123', '12:30:45.1235', '12:30:45.12346', '12:30:45.123457', '12:30:45.123456']行 ['3', '2026-04-19 23:59:59', '2026-04-19 23:59:59.9', '2026-04-19 23:59:59.99', '2026-04-19 23:59:59.999', '2026-04-19 23:59:59.9999', '2026-04-19 23:59:59.99999', '2026-04-19 23:59:59.999999', '2026-04-19 23:59:59.999999']列，源：0dc8b1c75700bab8dc4a619d314a9501 备：0662bda6b156cc182a5358aac7780e95</t>
        </is>
      </c>
      <c r="DX12" t="inlineStr">
        <is>
          <t>['10', '18:10:06', '18:10:06.1', '18:10:06.12', '18:10:06.123', '18:10:06.1235', '18:10:06.12346', '18:10:06.123457', '18:10:06.123456']行 ['3', '2026-04-19 18:10:06', '2026-04-19 18:10:06.1', '2026-04-19 18:10:06.12', '2026-04-19 18:10:06.123', '2026-04-19 18:10:06.1235', '2026-04-19 18:10:06.12346', '2026-04-19 18:10:06.123457', '2026-04-19 18:10:06.123456']列，源：16db6fe4c761aa39289a1581ba3226e3 备：2be03ffef254dcec36c07aa93c490dc0</t>
        </is>
      </c>
      <c r="DZ12" t="inlineStr">
        <is>
          <t>['10', '09:12:34', '12:30:45.1', '09:12:34.12', '12:30:45.123', '09:12:34.1235', '12:30:45.12346', '09:12:34.123457', '12:30:45.123456']行 ['3', '2026-04-19 23:59:59', '2026-04-19 23:59:59.9', '2026-04-19 23:59:59.99', '2026-04-19 23:59:59.999', '2026-04-19 23:59:59.9999', '2026-04-19 23:59:59.99999', '2026-04-19 23:59:59.999999', '2026-04-19 23:59:59.999999']列，源：514ed6f3fd4afabb3bc728c635725a27 备：0662bda6b156cc182a5358aac7780e95</t>
        </is>
      </c>
      <c r="EB12" t="inlineStr">
        <is>
          <t>['10', '99', '-12345', '-123456789', '-123456789012345', '', '', '', '', '', '', '', '', '', '', '', '', '', '', '']行 ['108', '', '', '', '', '', '', '', '', '', '', '', '', '', '', '', '', '', '', '']列，源：fe07344c627d94d98fc9cdc96e263b6f 备：e0b3209e5fd97bb87a17ce1ce371650b</t>
        </is>
      </c>
      <c r="EG12" t="inlineStr">
        <is>
          <t>['11', '1900-01-02 00:00:00']行 ['6', '2020-03-0100:00:00']列，源：544ac773ef0f0cd5591c9884dd4bae17 备：41de459b8773593bb76d513eb095eeff</t>
        </is>
      </c>
      <c r="EH12" t="inlineStr">
        <is>
          <t>['11', '1900-01-02 00:00:00']行 ['130', '2079-06-0523:59:00']列，源：544ac773ef0f0cd5591c9884dd4bae17 备：7289852ea4a5c1fea3548fe87bdb3c6c</t>
        </is>
      </c>
      <c r="EI12" t="inlineStr">
        <is>
          <t>['10', '99', '-12345', '-123456789', '-123456789012345', '', '', '', '', '', '', '', '', '', '', '', '', '', '', '']行 ['108', '', '', '', '', '', '', '', '', '', '', '', '', '', '', '', '', '', '', '']列，源：fe07344c627d94d98fc9cdc96e263b6f 备：e0b3209e5fd97bb87a17ce1ce371650b</t>
        </is>
      </c>
      <c r="EJ12" t="inlineStr">
        <is>
          <t>['10', '99', '-12345', '-123456789', '-123456789012345', '', '', '', '', '', '', '', '', '', '', '', '', '', '', '']行 ['18', '', '', '', '', '', '', '', '', '', '', '', '', '', '', '0', '0', '0.0001', '0.0001', '1']列，源：fe07344c627d94d98fc9cdc96e263b6f 备：26edf2ac14a9b6c0b5c5fe4f69312474</t>
        </is>
      </c>
      <c r="EK12" t="inlineStr">
        <is>
          <t>['53', '', '', '']行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40dadc9538ae31679164dee4b3428cb 备：77636774fd81b7cbc6697623a0a56dec</t>
        </is>
      </c>
      <c r="EL12" t="inlineStr">
        <is>
          <t>['11', '2003-11-0502:00:00-05:10', '2003-11-0502:00:00.0-05:10', '2003-11-0502:00:00.00-05:10', '2003-11-0502:00:00.000-05:10', '2003-11-0502:00:00.0000-05:10', '2003-11-0502:00:00.00000-05:10', '2003-11-0502:00:00.000000-05:10', '2003-11-0502:00:00.0000000-05:10']行 ['7', '1933-05-1115:30:45+01:00', '1933-05-1115:30:45.1+01:00', '1933-05-1115:30:45.12+01:00', '1933-05-1115:30:45.123+01:00', '1933-05-1115:30:45.1235+01:00', '1933-05-1115:30:45.12346+01:00', '1933-05-1115:30:45.123457+01:00', '1933-05-1115:30:45.1234567+01:00']列，源：5763c1eeb92d430c4d8f32e6dce6129c 备：8ae1a4b73489bcb460fbf33b4757ae7a</t>
        </is>
      </c>
      <c r="EM12" t="inlineStr">
        <is>
          <t>['11', '1900-01-02 00:00:00']行 ['6', '2020-03-0100:00:00']列，源：544ac773ef0f0cd5591c9884dd4bae17 备：41de459b8773593bb76d513eb095eeff</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 xml:space="preserve"> NO!  	 c_dtoffset_5列源备映射错误，源端为datetimeoffset None位	期望更改为text	实际备端为datetimeoffset None位</t>
        </is>
      </c>
      <c r="Y13" t="inlineStr">
        <is>
          <t>['12', '1990-11-26 00:01:00']行 ['30', '2079-06-0523:59:00']列，源：5137c2d9126ec1582cdbe23e9499cf51 备：6071a022d219a208b0e8468d43705d00</t>
        </is>
      </c>
      <c r="Z13" t="inlineStr">
        <is>
          <t>['11', '2026-04-17 17:16:00']行 ['6', '2026-04-1717:16:00']列，源：9544dab2d2d0bc1edeb27d2164dace75 备：02fb4b518fe70ab513c8b66d5f975ac8</t>
        </is>
      </c>
      <c r="AA13" t="inlineStr">
        <is>
          <t>['11', '1900-01-02 00:00:00']行 ['6', '2020-03-0100:00:00']列，源：544ac773ef0f0cd5591c9884dd4bae17 备：41de459b8773593bb76d513eb095eeff</t>
        </is>
      </c>
      <c r="AC13"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AH13" t="inlineStr">
        <is>
          <t>['12', '100', '', '123456', '1000000', '', '12345678901234567890123789010000000', '0.1234567890123459012345678901', '123456789012367012345678.1246', '-888888.22', '988', '987654321098765410987654321100000000', '0.9876543210987432109876543211', '987654321098765432105432.1099', '1234567012456.78', '0', '0', '203685477.5808', '', '0']行 ['2', '100', '32767', '123456', '1000000', '', '100000000000000000000000000000000000000', '1', '10000000000000000000000000000', '-888888.22', '999999999999999999', '100000000000000000000000000000000000000', '1', '10000000000000000000000000000', '9999999999999999.99', '0', '0', '203685477.5808', '214748.3647', '0']列，源：d172a412f5fb18d2e88e30aa41203462 备：d1ab9718bc3b95849add29c1d6e2ef6d</t>
        </is>
      </c>
      <c r="AJ13" t="inlineStr">
        <is>
          <t>['12', '1998-05-05 23:59:59.997']行 ['2', '1900-01-0100:00:00.000']列，源：14af42589a18234e8976883e74f7ed21 备：45889ccd7f579f618648c03afae6ff25</t>
        </is>
      </c>
      <c r="AL13" t="inlineStr">
        <is>
          <t>['12', '1998-05-05 23:59:59.997']行 ['153', '1753-01-0100:00:00.000']列，源：14af42589a18234e8976883e74f7ed21 备：65747c70807f3db342b072a82976988a</t>
        </is>
      </c>
      <c r="AM13" t="inlineStr">
        <is>
          <t>['12', '1998-05-05 23:59:59.997']行 ['2', '1900-01-0100:00:00.000']列，源：14af42589a18234e8976883e74f7ed21 备：45889ccd7f579f618648c03afae6ff25</t>
        </is>
      </c>
      <c r="AN13" t="inlineStr">
        <is>
          <t>['12', '100', '', '123456', '1000000', '', '12345678901234567890123789010000000', '0.1234567890123459012345678901', '123456789012367012345678.1246', '-888888.22', '988', '987654321098765410987654321100000000', '0.9876543210987432109876543211', '987654321098765432105432.1099', '1234567012456.78', '0', '0', '203685477.5808', '', '0']行 ['2', '100', '32767', '123456', '1000000', '99999', '100000000000000000000000000000000000000', '1', '10000000000000000000000000000', '-11111.34', '999999999999999999', '100000000000000000000000000000000000000', '1', '10000000000000000000000000000', '9999999999999999.99', '123.456789', '0', '203685477.5808', '214748.3647', '1']列，源：d172a412f5fb18d2e88e30aa41203462 备：672e28b200ed21d563af1564c5497bc5</t>
        </is>
      </c>
      <c r="AO13" t="inlineStr">
        <is>
          <t>['12', '1998-05-05 23:59:59.997']行 ['114', '2000-05-0123:59:59.993']列，源：14af42589a18234e8976883e74f7ed21 备：5f8d889363cadef87514a15015b328cd</t>
        </is>
      </c>
      <c r="AP13" t="inlineStr">
        <is>
          <t>['11', '9999-12-31 23:59:59.997']行 ['19', '9999-12-3123:59:59.997']列，源：cee719696b4818d2665d80692eb92266 备：7fcec1b1929075bd910dde69b1b54441</t>
        </is>
      </c>
      <c r="AR13" t="inlineStr">
        <is>
          <t>['11', '2020-02-29 19:27:31.123']行 ['19', '1753-01-0200:00:00.000']列，源：85840c0f3276b6ae632957e1bb2a6c58 备：736c2e259e88dc84b0eb356212ee62c8</t>
        </is>
      </c>
      <c r="AV13"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AZ13" t="inlineStr">
        <is>
          <t>['25', '9999-12-31 23:59:59', '9999-12-31 23:59:59.9', '9999-12-31 23:59:59.99', '9999-12-31 23:59:59.999', '9999-12-31 23:59:59.9999', '9999-12-31 23:59:59.99999', '9999-12-31 23:59:59.999999', '9999-12-31 23:59:59.999999']行 ['223', '2026-04-1717:17:25', '2026-04-1717:17:24.6', '2026-04-1717:17:24.63', '2026-04-1717:17:24.631', '2026-04-1717:17:24.6306', '2026-04-1717:17:24.63065', '2026-04-1717:17:24.630647', '2026-04-1717:17:24.6306467']列，源：909bf7bbfd8846d1e83d08d6b2957673 备：e115f1853ed9c71e444eb67334ccf84d</t>
        </is>
      </c>
      <c r="BA13" t="inlineStr">
        <is>
          <t>['20', '', '', '', '', '', '', '', '', '', '', '', '', '', '', '-340282346600000016151267322115014000640', '-340282306073709652508363335590014353408', '-922337203685477.5808', '-214748.3648', '0']行 ['3', '', '', '', '', '', '', '', '', '', '', '', '', '', '', '', '', '', '', '']列，源：741e189a437c3bb338106470ab813776 备：3928921cf5611a846e657b0d459e50be</t>
        </is>
      </c>
      <c r="BC13" t="inlineStr">
        <is>
          <t>['57', '2065-05-11 14:30:45', '2065-05-11 14:30:45.1', '2065-05-11 14:30:45.12', '2065-05-11 14:30:45.123', '2065-05-11 14:30:45.1235', '2065-05-11 14:30:45.12346', '2065-05-11 14:30:45.123457', '2065-05-11 14:30:45.123456']行 ['5', '9999-12-3123:59:59', '9999-12-3123:59:59.9', '9999-12-3123:59:59.99', '9999-12-3123:59:59.999', '9999-12-3123:59:59.9999', '9999-12-3123:59:59.99999', '9999-12-3123:59:59.999999', '9999-12-3123:59:59.9999999']列，源：377f9156c0dd16a11d2fc4be7fb4238b 备：8473e1310886de44e542ee71af3d2919</t>
        </is>
      </c>
      <c r="BD13" t="inlineStr">
        <is>
          <t>['13', '', '', '', '', '-457', '-123456780123456781234589012300000', '-0.4567890123479234567890145679', '-123456789012347890345678.9874', '-98743298765.4321', '-321', '-987654321096543210987654321100000000', '-0.1234569012345671234567890123', '-6543210976543287654321.098765', '-9876543210954.32', '', '', '', '', '']行 ['2', '100', '32767', '123456', '1000000', '99999', '100000000000000000000000000000000000000', '1', '10000000000000000000000000000', '-11111.34', '999999999999999999', '100000000000000000000000000000000000000', '1', '10000000000000000000000000000', '9999999999999999.99', '123.456789', '0', '203685477.5808', '214748.3647', '1']列，源：a44b5811c634b93da05bdec7da53ebf7 备：672e28b200ed21d563af1564c5497bc5</t>
        </is>
      </c>
      <c r="BG13" t="inlineStr">
        <is>
          <t>['24',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abab7ce3d06fa8080a0d9219371e9a2a 备：b82e0668e10036722643688612a43d2b</t>
        </is>
      </c>
      <c r="BJ13"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BK13" t="inlineStr">
        <is>
          <t>['22',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['23', '0', '0', '0']列，源：b71c5b5d2dd431839b0a4e0f986845f9 备：e5666969d867858639094903ab799da5</t>
        </is>
      </c>
      <c r="BQ13"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BS13" t="inlineStr">
        <is>
          <t>['12', '2025-05-1200:00:00-14:00', '2025-05-1200:00:00.0-14:00', '2025-05-1200:00:00.00-14:00', '2025-05-1200:00:00.000-14:00', '2025-05-1200:00:00.0000-14:00', '2025-05-1200:00:00.00000-14:00', '2025-05-1200:00:00.000000-14:00', '2025-05-1123:59:59.9999999-14:00']行 ['130', '2013-03-1202:00:00-04:25', '2013-03-1202:00:00.0-04:25', '2013-03-1202:00:00.00-04:25', '2013-03-1202:00:00.000-04:25', '2013-03-1202:00:00.0000-04:25', '2013-03-1202:00:00.00000-04:25', '2013-03-1202:00:00.000000-04:25', '2013-03-1202:00:00.0000000-04:25']列，源：62ddc8cbf63642db045e45819e8ebb70 备：f763e61fe032ef90a600a089411183bf</t>
        </is>
      </c>
      <c r="BU13"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BV13" t="inlineStr">
        <is>
          <t>['54', '', '', '']行 ['3', '0', '0', '0']列，源：8c26bf355cd7b9d7d05d334c3972f4a9 备：33d78c2e485ebefc19151eea3b123459</t>
        </is>
      </c>
      <c r="BW13" t="inlineStr">
        <is>
          <t>['12', '2025-05-1200:00:00-14:00', '2025-05-1200:00:00.0-14:00', '2025-05-1200:00:00.00-14:00', '2025-05-1200:00:00.000-14:00', '2025-05-1200:00:00.0000-14:00', '2025-05-1200:00:00.00000-14:00', '2025-05-1200:00:00.000000-14:00', '2025-05-1123:59:59.9999999-14:00']行 ['112', '2025-05-1200:00:00-14:00', '2025-05-1200:00:00.0-14:00', '2025-05-1200:00:00.00-14:00', '2025-05-1200:00:00.000-14:00', '2025-05-1200:00:00.0000-14:00', '2025-05-1200:00:00.00000-14:00', '2025-05-1200:00:00.000000-14:00', '2025-05-1123:59:59.9999999-14:00']列，源：62ddc8cbf63642db045e45819e8ebb70 备：4cfb0586ff5f83e433ece883853c76e1</t>
        </is>
      </c>
      <c r="BY13" t="inlineStr">
        <is>
          <t>['12', '1971-05-1100:00:00+14:00', '', '1971-05-1100:00:00.00+14:00', '', '1971-05-1100:00:00.0000+14:00', '', '1971-05-1100:00:00.000000+14:00', '']行 ['8', '1971-05-1100:00:00+14:00', '', '1971-05-1100:00:00.00+14:00', '', '1971-05-1100:00:00.0000+14:00', '', '1971-05-1100:00:00.000000+14:00', '']列，源：0de71414bfbcaa580e918bd47653557c 备：07aeba5c9751a751d99c9dad50b272a7</t>
        </is>
      </c>
      <c r="BZ13" t="inlineStr">
        <is>
          <t>['12', '23:59:59', '23:59:59.1', '23:59:59.12', '23:59:59.123', '23:59:59.1235', '23:59:59.12346', '23:59:59.123457', '23:59:59.123456']行 ['7', '2026-04-19 12:30:45', '2026-04-19 12:30:45.1', '2026-04-19 12:30:45.12', '2026-04-19 12:30:45.123', '2026-04-19 12:30:45.123', '2026-04-19 12:30:45.123', '2026-04-19 12:30:45.123', '2026-04-19 12:30:45.123']列，源：41065a7e603d957b5e640f1d1f1d810b 备：b217520f2cf410799933541ced01d776</t>
        </is>
      </c>
      <c r="CA13"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CB13" t="inlineStr">
        <is>
          <t>['21', '']行 ['180', '1990-05-11 00:00:00']列，源：5f115c1225a9f62220f5bb9720947ad4 备：5055ce2b8607a8af986a701d0dee5cb2</t>
        </is>
      </c>
      <c r="CH13" t="inlineStr">
        <is>
          <t>['57', '1970-01-01']行 ['205', '2026-04-17 00:00:00']列，源：71f19ec6f2dcb19dda07d5335fc8a8cf 备：d1465f9aa0db6de89c5a413384607e3c</t>
        </is>
      </c>
      <c r="CK13" t="inlineStr">
        <is>
          <t>['11', '', '', '', '', '', '', '', '', '', '', '', '', '', '', '0', '0', '', '', '']行 ['19', '', '', '', '', '', '', '', '', '', '', '', '', '', '', '', '', '-500000', '-20000', '']列，源：fa94f4a66ce87becee462cc0c66345e5 备：ed94d0f128ddb403a48e117129bc9019</t>
        </is>
      </c>
      <c r="CL13" t="inlineStr">
        <is>
          <t>['12', '1990-11-26 00:01:00']行 ['7', '2000-05-1114:30:00']列，源：5137c2d9126ec1582cdbe23e9499cf51 备：4458fa2ea1bccc5c0ccf21d95fff7c93</t>
        </is>
      </c>
      <c r="CS13" t="inlineStr">
        <is>
          <t>['11', '2026-04-17']行 ['9', '2026-04-17 00:00:00']列，源：b3698c66df65c0bbd7adb9b3ef1c826d 备：b697d027f0fd7aaafd017ea356b23d4f</t>
        </is>
      </c>
      <c r="CT13" t="inlineStr">
        <is>
          <t>['11', '1990-12-31']行 ['9', '1990-12-31 00:00:00']列，源：116b040c22aebdb2bd05f6ba65f1bfae 备：8b7045ac2ba3478c8d1bd1d13a4599f1</t>
        </is>
      </c>
      <c r="CV13" t="inlineStr">
        <is>
          <t>['12', '1998-05-05 23:59:59.997']行 ['2', '1900-01-0100:00:00.000']列，源：14af42589a18234e8976883e74f7ed21 备：45889ccd7f579f618648c03afae6ff25</t>
        </is>
      </c>
      <c r="CW13" t="inlineStr">
        <is>
          <t>['15', '', '', '', '', '', '', '', '', '', '', '', '', '', '', '', '', '9999.99', '1000',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'1']列，源：a5a49824077b54039714fe3dac32e7fc 备：9a93dcca444304e4522e0a37b4535e3f</t>
        </is>
      </c>
      <c r="DB13" t="inlineStr">
        <is>
          <t>['16', '2002-06-11 23:59:59.993']行 ['4', '9999-12-3123:59:59.997']列，源：2f663f1de514e71a572978e479f4bcf8 备：85ad9edaf63f846e871418852039161f</t>
        </is>
      </c>
      <c r="DE13" t="inlineStr">
        <is>
          <t>['12', '2', '123456789', '12345678901234567890123456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['5',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c23997e3627b305d6513ef78349ce30 备：7873232ed9f81e08021c82f7d5c5a8b6</t>
        </is>
      </c>
      <c r="DF13"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DH13" t="inlineStr">
        <is>
          <t>['12', '23:59:59', '23:59:59.1', '23:59:59.12', '23:59:59.123', '23:59:59.1235', '23:59:59.12346', '23:59:59.123457', '23:59:59.123456']行 ['21', '', '', '', '', '', '', '', '']列，源：41065a7e603d957b5e640f1d1f1d810b 备：cc069b0555b1f248fd524f9713174ec2</t>
        </is>
      </c>
      <c r="DK13" t="inlineStr">
        <is>
          <t>['24',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abab7ce3d06fa8080a0d9219371e9a2a 备：b82e0668e10036722643688612a43d2b</t>
        </is>
      </c>
      <c r="DO13"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DP13" t="inlineStr">
        <is>
          <t>['22', '', '', '']行 ['23', '', '', '']列，源：ef3d3ae2cc3100294981fe356141dafb 备：bd748790400ecb4db420cfe412d16945</t>
        </is>
      </c>
      <c r="DT13" t="inlineStr">
        <is>
          <t>['11', '200', '20000', '2000000000', '2000000000000000', '', '', '', '', '', '', '', '', '', '', '', '', '', '', '']行 ['19', '', '', '', '', '', '', '', '', '', '', '', '', '', '', '340282346600000016151267322100000000000', '340282306073709652508363335600000000000', '922337203685477.5807', '214748.3647', '1']列，源：87354c9406ae2d83680d5225fe174d97 备：2c5e5b5396d191aadfe06ab3699e64e4</t>
        </is>
      </c>
      <c r="DV13" t="inlineStr">
        <is>
          <t>['12', '23:59:59', '23:59:59.1', '23:59:59.12', '23:59:59.123', '23:59:59.1235', '23:59:59.12346', '23:59:59.123457', '23:59:59.123456']行 ['4', '2026-04-19 12:30:45', '2026-04-19 12:30:45', '2026-04-19 12:30:45', '2026-04-19 12:30:45', '2026-04-19 12:30:45', '2026-04-19 12:30:45', '2026-04-19 12:30:45', '2026-04-19 12:30:45']列，源：41065a7e603d957b5e640f1d1f1d810b 备：f0e35773e06e59e836bbc9d40fa5feed</t>
        </is>
      </c>
      <c r="DX13" t="inlineStr">
        <is>
          <t>['11', '18:10:06', '18:10:06.1', '18:10:06.12', '18:10:06.123', '18:10:06.1235', '18:10:06.12346', '18:10:06.123457', '18:10:06.123456']行 ['4', '2026-04-19 18:10:06', '2026-04-19 18:10:06.1', '2026-04-19 18:10:06.12', '2026-04-19 18:10:06.123', '2026-04-19 18:10:06.1235', '2026-04-19 18:10:06.12346', '2026-04-19 18:10:06.123457', '2026-04-19 18:10:06.123456']列，源：653aa0ac22808ef98d4124a48139d724 备：5591e2d15cee0a488e4dfbb43194862d</t>
        </is>
      </c>
      <c r="DZ13" t="inlineStr">
        <is>
          <t>['11', '12:30:45', '12:30:45.1', '12:30:45.12', '12:30:45.123', '12:30:45.1235', '12:30:45.12346', '12:30:45.123457', '12:30:45.123456']行 ['4', '2026-04-19 09:12:34', '2026-04-19 12:30:45', '2026-04-19 09:12:34.12', '2026-04-19 12:30:45', '2026-04-19 09:12:34.1235', '2026-04-19 12:30:45', '2026-04-19 09:12:34.123457', '2026-04-19 12:30:45']列，源：0dc8b1c75700bab8dc4a619d314a9501 备：d6b0e4d44e9e08041e962b02ebee8988</t>
        </is>
      </c>
      <c r="EB13" t="inlineStr">
        <is>
          <t>['11', '200', '20000', '2000000000', '2000000000000000', '', '', '', '', '', '', '', '', '', '', '', '', '', '', '']行 ['109', '', '', '', '', '', '', '', '', '', '', '', '', '', '', '', '', '', '', '']列，源：87354c9406ae2d83680d5225fe174d97 备：b7d90676c005bcb351719b14eccb268b</t>
        </is>
      </c>
      <c r="EG13" t="inlineStr">
        <is>
          <t>['12', '1990-11-26 00:01:00']行 ['7', '2000-05-1114:30:00']列，源：5137c2d9126ec1582cdbe23e9499cf51 备：4458fa2ea1bccc5c0ccf21d95fff7c93</t>
        </is>
      </c>
      <c r="EH13" t="inlineStr">
        <is>
          <t>['12', '1990-11-26 00:01:00']行 ['133', '2025-05-1112:00:00']列，源：5137c2d9126ec1582cdbe23e9499cf51 备：94e837d6102a2f3b4e4d534b607ce1b5</t>
        </is>
      </c>
      <c r="EI13" t="inlineStr">
        <is>
          <t>['11', '200', '20000', '2000000000', '2000000000000000', '', '', '', '', '', '', '', '', '', '', '', '', '', '', '']行 ['109', '', '', '', '', '', '', '', '', '', '', '', '', '', '', '', '', '', '', '']列，源：87354c9406ae2d83680d5225fe174d97 备：b7d90676c005bcb351719b14eccb268b</t>
        </is>
      </c>
      <c r="EJ13" t="inlineStr">
        <is>
          <t>['11', '200', '20000', '2000000000', '2000000000000000', '', '', '', '', '', '', '', '', '', '', '', '', '', '', '']行 ['19', '', '', '', '', '', '', '', '', '', '', '', '', '', '', '340282346600000016151267322100000000000', '340282306073709652508363335600000000000', '922337203685477.5807', '214748.3647', '1']列，源：87354c9406ae2d83680d5225fe174d97 备：2c5e5b5396d191aadfe06ab3699e64e4</t>
        </is>
      </c>
      <c r="EK13" t="inlineStr">
        <is>
          <t>['54', '', '', '']行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26bf355cd7b9d7d05d334c3972f4a9 备：846658c6426c8aad960fbac5e9014739</t>
        </is>
      </c>
      <c r="EL13" t="inlineStr">
        <is>
          <t>['12', '2025-05-1200:00:00-14:00', '2025-05-1200:00:00.0-14:00', '2025-05-1200:00:00.00-14:00', '2025-05-1200:00:00.000-14:00', '2025-05-1200:00:00.0000-14:00', '2025-05-1200:00:00.00000-14:00', '2025-05-1200:00:00.000000-14:00', '2025-05-1123:59:59.9999999-14:00']行 ['8', '2000-05-1100:30:45+09:00', '2000-05-1100:30:45.1+09:00', '2000-05-1100:30:45.12+09:00', '2000-05-1100:30:45.123+09:00', '2000-05-1100:30:45.1235+09:00', '2000-05-1100:30:45.12346+09:00', '2000-05-1100:30:45.123457+09:00', '2000-05-1100:30:45.1234567+09:00']列，源：62ddc8cbf63642db045e45819e8ebb70 备：aae4411e317f3751d1ca65a99d40e78b</t>
        </is>
      </c>
      <c r="EM13" t="inlineStr">
        <is>
          <t>['12', '1990-11-26 00:01:00']行 ['7', '2000-05-1114:30:00']列，源：5137c2d9126ec1582cdbe23e9499cf51 备：4458fa2ea1bccc5c0ccf21d95fff7c93</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c_dtoffset_6列源备映射错误，源端为datetimeoffset None位	期望更改为text	实际备端为datetimeoffset None位</t>
        </is>
      </c>
      <c r="Y14" t="inlineStr">
        <is>
          <t>['13', '2025-05-11 12:00:00']行 ['31', '1900-01-0200:00:00']列，源：5ff24b6e08073a5147af182e9bfa62cf 备：413c96452ac402b898803be1aa1a08a9</t>
        </is>
      </c>
      <c r="Z14" t="inlineStr">
        <is>
          <t>['12', '2026-04-17 17:16:00']行 ['7', '2026-04-1717:16:00']列，源：dfe50eda347ed99deeb042478b8b4a38 备：8e47b66c7836c39ad0c497cf369788ef</t>
        </is>
      </c>
      <c r="AA14" t="inlineStr">
        <is>
          <t>['12', '1981-05-11 14:31:00']行 ['7', '2079-06-0523:59:00']列，源：0f1503319b703506537feaf938895763 备：9e54abc44b6ba54188d6b625ffe81149</t>
        </is>
      </c>
      <c r="AC14"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AH14" t="inlineStr">
        <is>
          <t>['13', '100', '', '123456', '1000000', '', '-123456780123456781234589012300000', '-0.4567890123479234567890145679', '-123456789012347890345678.9874', '-888888.22', '-321', '-987654321096543210987654321100000000', '-0.1234569012345671234567890123', '-6543210976543287654321.098765', '-9876543210954.32', '0', '0', '203685477.5808', '', '0']行 ['20', '100', '', '123456', '1000000', '', '', '', '', '-888888.22', '', '', '', '', '', '0', '0', '203685477.5808', '-214748.3648', '0']列，源：91028af66953dc7fc7007bd8bbebd2a0 备：373db987a4a42ed9312f088030a43178</t>
        </is>
      </c>
      <c r="AJ14" t="inlineStr">
        <is>
          <t>['13', '1999-06-06 23:59:59.997']行 ['20', '9999-12-3023:59:59.997']列，源：11eb918350ede7ba8045fb66e67e8895 备：210370a03b764bdf4085f23164377333</t>
        </is>
      </c>
      <c r="AL14" t="inlineStr">
        <is>
          <t>['13', '1999-06-06 23:59:59.997']行 ['156', '2020-02-2919:27:31.123']列，源：11eb918350ede7ba8045fb66e67e8895 备：f20455d91397d23f71eafc141f49605c</t>
        </is>
      </c>
      <c r="AM14" t="inlineStr">
        <is>
          <t>['13', '1999-06-06 23:59:59.997']行 ['20', '9999-12-3023:59:59.997']列，源：11eb918350ede7ba8045fb66e67e8895 备：210370a03b764bdf4085f23164377333</t>
        </is>
      </c>
      <c r="AN14" t="inlineStr">
        <is>
          <t>['13', '100', '', '123456', '1000000', '', '-123456780123456781234589012300000', '-0.4567890123479234567890145679', '-123456789012347890345678.9874', '-888888.22', '-321', '-987654321096543210987654321100000000', '-0.1234569012345671234567890123', '-6543210976543287654321.098765', '-9876543210954.32', '0', '0', '203685477.5808', '', '0']行 ['20', '100', '0', '0', '0', '', '', '', '', '-888888.22', '', '', '', '', '', '0', '0', '203685477.5808', '-214748.3648', '0']列，源：91028af66953dc7fc7007bd8bbebd2a0 备：03fccbe7bba7e28cdeb2a2a8ab103399</t>
        </is>
      </c>
      <c r="AO14" t="inlineStr">
        <is>
          <t>['13', '1999-06-06 23:59:59.997']行 ['115', '2001-04-0923:59:59.993']列，源：11eb918350ede7ba8045fb66e67e8895 备：dad2c116c417bbd7383fc360f9511efa</t>
        </is>
      </c>
      <c r="AP14" t="inlineStr">
        <is>
          <t>['12', '9999-12-31 23:59:59.997']行 ['2', '9999-12-3123:59:59.997']列，源：2e85278fab19959ad32da495ed059b2a 备：67e03b934de3523b5e6bc52912e38a3c</t>
        </is>
      </c>
      <c r="AR14" t="inlineStr">
        <is>
          <t>['12', '1998-05-05 23:59:59.997']行 ['2', '1753-01-0100:00:00.000']列，源：14af42589a18234e8976883e74f7ed21 备：0a5e9be4d4682b81966014ef3200d547</t>
        </is>
      </c>
      <c r="AV14"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AZ14" t="inlineStr">
        <is>
          <t>['26', '1945-05-11 14:30:45', '1945-05-11 14:30:45.1', '1945-05-11 14:30:45.12', '1945-05-11 14:30:45.123', '1945-05-11 14:30:45.1235', '1945-05-11 14:30:45.12346', '1945-05-11 14:30:45.123457', '1945-05-11 14:30:45.123456']行 ['225', '9999-12-3123:59:59', '9999-12-3123:59:59.9', '9999-12-3123:59:59.99', '9999-12-3123:59:59.999', '9999-12-3123:59:59.9999', '9999-12-3123:59:59.99999', '9999-12-3123:59:59.999999', '9999-12-3123:59:59.9999999']列，源：dc14790c7573c98b003fb3777d28e58f 备：f46ec6d67e13c2aee1da8c93afefe7f9</t>
        </is>
      </c>
      <c r="BC14" t="inlineStr">
        <is>
          <t>['103', '2026-04-17 17:17:33', '2026-04-17 17:17:33.4', '2026-04-17 17:17:33.41', '2026-04-17 17:17:33.413', '2026-04-17 17:17:33.4133', '2026-04-17 17:17:33.4133', '2026-04-17 17:17:33.413301', '2026-04-17 17:17:33.4133']行 ['53', '2026-04-1717:17:33', '2026-04-1717:17:33.4', '2026-04-1717:17:33.41', '2026-04-1717:17:33.413', '2026-04-1717:17:33.4133', '2026-04-1717:17:33.41330', '2026-04-1717:17:33.413301', '2026-04-1717:17:33.4133005']列，源：383e256581e648cf3d03aed9f4c592cf 备：13668f2911644c246512b59e7acdc135</t>
        </is>
      </c>
      <c r="BD14" t="inlineStr">
        <is>
          <t>['14', '', '', '', '', '1000000000000000', '100000000000000000000000000000000', '1', '9999999999999999999999.999999', '999999999999.999', '100000000000000', '999999999999999999999', '0.999999999999999999999999999', '999999999999999999999.999999', '9999999999.99', '', '', '', '', '']行 ['20', '', '', '', '', '', '', '', '', '', '', '', '', '', '', '-340282346600000016151267322100000000000', '-340282306073709652508363335600000000000', '-922337203685477.5808', '-214748.3648', '0']列，源：b197c452aea238e9c6c5e0c19446e315 备：e9e44d25bc97e58176fe725acd08b284</t>
        </is>
      </c>
      <c r="BG14" t="inlineStr">
        <is>
          <t>['25',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f4ed7d7fa1b425bbc070818da7641e17 备：d757587cd9022b1bb9571298a1b5d9e5</t>
        </is>
      </c>
      <c r="BJ14"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BK14" t="inlineStr">
        <is>
          <t>['23',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c273fce66db37ca8b3f8844da93c0ff 备：10f7fcdf7aedab1db5e59e498a2c921f</t>
        </is>
      </c>
      <c r="BQ14"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BS14" t="inlineStr">
        <is>
          <t>['13', '1971-05-1100:00:00+14:00', '1971-05-1100:00:00.0+14:00', '1971-05-1100:00:00.00+14:00', '1971-05-1100:00:00.000+14:00', '1971-05-1100:00:00.0000+14:00', '1971-05-1100:00:00.00000+14:00', '1971-05-1100:00:00.000000+14:00', '1971-05-1100:00:00.0000001+14:00']行 ['131', '2003-11-0502:00:00-05:10', '2003-11-0502:00:00.0-05:10', '2003-11-0502:00:00.00-05:10', '2003-11-0502:00:00.000-05:10', '2003-11-0502:00:00.0000-05:10', '2003-11-0502:00:00.00000-05:10', '2003-11-0502:00:00.000000-05:10', '2003-11-0502:00:00.0000000-05:10']列，源：dc344ffcaa3e3c2a77034f12a4753488 备：35e4cd24975ae8b0dd09514abe5e50cf</t>
        </is>
      </c>
      <c r="BU14"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BV14" t="inlineStr">
        <is>
          <t>['55', 'A', 'VARIABLELENGTHBINA', 'TESTTESTTESTTESTTESTTESTTESTTESTTESTTESTTESTTESTTESTTESTTESTTESTTESTTESTTESTTESTTESTTESTTESTTESTTESTTESTTESTTESTTESTTESTTESTTESTTESTTESTTESTTESTTESTTESTTESTTESTTESTTESTTESTTESTTESTTESTTESTTESTTESTTEST']行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3ba5f36254261850a536029dc73c2668 备：93a836a020252b5c4541d8e6afd2f7f1</t>
        </is>
      </c>
      <c r="BW14" t="inlineStr">
        <is>
          <t>['13', '1971-05-1100:00:00+14:00', '1971-05-1100:00:00.0+14:00', '1971-05-1100:00:00.00+14:00', '1971-05-1100:00:00.000+14:00', '1971-05-1100:00:00.0000+14:00', '1971-05-1100:00:00.00000+14:00', '1971-05-1100:00:00.000000+14:00', '1971-05-1100:00:00.0000001+14:00']行 ['113', '1971-05-1100:00:00+14:00', '1971-05-1100:00:00.0+14:00', '1971-05-1100:00:00.00+14:00', '1971-05-1100:00:00.000+14:00', '1971-05-1100:00:00.0000+14:00', '1971-05-1100:00:00.00000+14:00', '1971-05-1100:00:00.000000+14:00', '1971-05-1100:00:00.0000001+14:00']列，源：dc344ffcaa3e3c2a77034f12a4753488 备：3d5a1096f835b1a9b45e850aee1310ec</t>
        </is>
      </c>
      <c r="BY14" t="inlineStr">
        <is>
          <t>['13', '1971-05-1100:00:00+14:00', '', '1971-05-1100:00:00.00+14:00', '', '1971-05-1100:00:00.0000+14:00', '', '1971-05-1100:00:00.000000+14:00', '']行 ['9', '1971-05-1100:00:00+14:00', '', '1971-05-1100:00:00.00+14:00', '', '1971-05-1100:00:00.0000+14:00', '', '1971-05-1100:00:00.000000+14:00', '']列，源：f450bdc269af4020368076bbd443785e 备：2ba9927dfe3961bcfe4c616403d2e792</t>
        </is>
      </c>
      <c r="BZ14" t="inlineStr">
        <is>
          <t>['13', '', '00:00:01.1', '', '00:00:01.123', '', '00:00:01.12346', '', '00:00:01.123456']行 ['8', '2026-04-19 12:30:45', '2026-04-19 12:30:45.1', '2026-04-19 12:30:45.12', '2026-04-19 12:30:45.123', '2026-04-19 12:30:45.1234', '2026-04-19 12:30:45.1234', '2026-04-19 12:30:45.1234', '2026-04-19 12:30:45.1234']列，源：66113464cabc0d65d551c23282dee2c7 备：ea173bcb3f398beaa3adfe55f9fc31c5</t>
        </is>
      </c>
      <c r="CA14" t="inlineStr">
        <is>
          <t>['13', '2025-05-1200:00:00-14:00', '2025-05-1200:00:00.0-14:00', '2025-05-1200:00:00.00-14:00', '2025-05-1200:00:00.000-14:00', '2025-05-1200:00:00.0000-14:00', '2025-05-1200:00:00.00000-14:00', '2025-05-1200:00:00.000000-14:00', '2025-05-1123:59:59.9999999-14:00']行 ['9', '2063-03-1202:00:00-04:25', '2063-03-1202:00:00.0-04:25', '2063-03-1202:00:00.00-04:25', '2063-03-1202:00:00.000-04:25', '2063-03-1202:00:00.0000-04:25', '2063-03-1202:00:00.00000-04:25', '2063-03-1202:00:00.000000-04:25', '2063-03-1202:00:00.0000000-04:25']列，源：5ad0d1538fb983aeeb4b340685a28f66 备：87038196a9d71c3ed24b93244efa924d</t>
        </is>
      </c>
      <c r="CB14" t="inlineStr">
        <is>
          <t>['22', '1900-01-01']行 ['2', '1900-01-01 00:00:00']列，源：4247659a96186737272903905655f4c0 备：7163b5525caf7cc0ddc250784e2537ae</t>
        </is>
      </c>
      <c r="CH14" t="inlineStr">
        <is>
          <t>['58', '0001-01-02']行 ['209', '9999-12-30 00:00:00']列，源：899572376b78046ea6c47f33d39e435d 备：7ff1abab3364c87e695436fa23e5d1b7</t>
        </is>
      </c>
      <c r="CK14" t="inlineStr">
        <is>
          <t>['12', '', '', '', '', '', '', '', '', '', '', '', '', '', '', '', '', '0.01', '0.01',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'1']列，源：92cf643bd688274a2e7dd8463fbe0c0f 备：9a93dcca444304e4522e0a37b4535e3f</t>
        </is>
      </c>
      <c r="CL14" t="inlineStr">
        <is>
          <t>['13', '2025-05-11 12:00:00']行 ['8', '2068-05-1114:31:00']列，源：5ff24b6e08073a5147af182e9bfa62cf 备：ce20a4e427faf031e896199a8e3144b5</t>
        </is>
      </c>
      <c r="CV14" t="inlineStr">
        <is>
          <t>['13', '1999-06-06 23:59:59.997']行 ['20', '9999-12-3023:59:59.997']列，源：11eb918350ede7ba8045fb66e67e8895 备：210370a03b764bdf4085f23164377333</t>
        </is>
      </c>
      <c r="CW14" t="inlineStr">
        <is>
          <t>['16', '', '', '', '', '', '', '', '', '', '', '', '', '', '', '', '', '1000000', '20000', '']行 ['20', '222', '', '', '', '', '', '', '', '', '', '', '', '', '', '', '', '', '', '']列，源：53bb6b251d0784fd651f203ce1d1ea98 备：e8a293f3a806272c8d3f6829dcb8a08f</t>
        </is>
      </c>
      <c r="DB14" t="inlineStr">
        <is>
          <t>['18', '2004-12-24 23:59:59.99']行 ['6', '2020-02-2919:27:31.123']列，源：f3e582e7ca3490aebd76ed5e1f232325 备：f2c01baff4fc04ec34920a33b33fd327</t>
        </is>
      </c>
      <c r="DE14" t="inlineStr">
        <is>
          <t>['13', '@', '~!@#%^&amp;*_+|`;', '~!@#%^&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amp;*_+|`;']行 ['6', 'A', 'THISISA',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b4ae627d04aec926d728cda8c94c5c70 备：95b1fa1139056dfeefcc648f797edec8</t>
        </is>
      </c>
      <c r="DF14" t="inlineStr">
        <is>
          <t>['13', '', '00:00:01.1', '', '00:00:01.123', '', '00:00:01.12346', '', '00:00:01.123456']行 ['6', '2026-04-19 12:30:45', '2026-04-19 12:30:45.1', '2026-04-19 12:30:45.12', '2026-04-19 12:30:45.12', '2026-04-19 12:30:45.12', '2026-04-19 12:30:45.12', '2026-04-19 12:30:45.12', '2026-04-19 12:30:45.12']列，源：66113464cabc0d65d551c23282dee2c7 备：0d78d5ad9e9aabb44dad5dadf55fdd23</t>
        </is>
      </c>
      <c r="DH14" t="inlineStr">
        <is>
          <t>['13', '', '00:00:01.1', '', '00:00:01.123', '', '00:00:01.12346', '', '00:00:01.123456']行 ['22', '2026-04-19 00:00:00', '2026-04-19 00:00:00', '2026-04-19 00:00:00', '2026-04-19 00:00:00', '2026-04-19 00:00:00', '2026-04-19 00:00:00', '2026-04-19 00:00:00', '2026-04-19 00:00:00']列，源：66113464cabc0d65d551c23282dee2c7 备：ba5c89d9423dd71b5732875cd49c7682</t>
        </is>
      </c>
      <c r="DK14" t="inlineStr">
        <is>
          <t>['25',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f4ed7d7fa1b425bbc070818da7641e17 备：d757587cd9022b1bb9571298a1b5d9e5</t>
        </is>
      </c>
      <c r="DO14" t="inlineStr">
        <is>
          <t>['13', '', '00:00:01.1', '', '00:00:01.123', '', '00:00:01.12346', '', '00:00:01.123456']行 ['6', '2026-04-19 12:30:45', '2026-04-19 12:30:45.1', '2026-04-19 12:30:45.12', '2026-04-19 12:30:45.12', '2026-04-19 12:30:45.12', '2026-04-19 12:30:45.12', '2026-04-19 12:30:45.12', '2026-04-19 12:30:45.12']列，源：66113464cabc0d65d551c23282dee2c7 备：0d78d5ad9e9aabb44dad5dadf55fdd23</t>
        </is>
      </c>
      <c r="DP14" t="inlineStr">
        <is>
          <t>['23', '', '', '']行 ['24',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d748790400ecb4db420cfe412d16945 备：18faa4b4d1e42c23cb182c657f9ac9dd</t>
        </is>
      </c>
      <c r="DT14" t="inlineStr">
        <is>
          <t>['12',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'1']列，源：b48d758f4e5aa3334c133bdfb1c74b7d 备：9a93dcca444304e4522e0a37b4535e3f</t>
        </is>
      </c>
      <c r="DV14" t="inlineStr">
        <is>
          <t>['13', '', '00:00:01.1', '', '00:00:01.123', '', '00:00:01.12346', '', '00:00:01.123456']行 ['5', '2026-04-19 12:30:45', '2026-04-19 12:30:45.1', '2026-04-19 12:30:45.1', '2026-04-19 12:30:45.1', '2026-04-19 12:30:45.1', '2026-04-19 12:30:45.1', '2026-04-19 12:30:45.1', '2026-04-19 12:30:45.1']列，源：66113464cabc0d65d551c23282dee2c7 备：814c00c2b661c4163822fd3bd55da09a</t>
        </is>
      </c>
      <c r="DX14" t="inlineStr">
        <is>
          <t>['12', '18:10:06', '18:10:06.1', '18:10:06.12', '18:10:06.123', '18:10:06.1235', '18:10:06.12346', '18:10:06.123457', '18:10:06.123456']行 ['5', '2026-04-19 18:10:06', '2026-04-19 18:10:06.1', '2026-04-19 18:10:06.12', '2026-04-19 18:10:06.123', '2026-04-19 18:10:06.1235', '2026-04-19 18:10:06.12346', '2026-04-19 18:10:06.123457', '2026-04-19 18:10:06.123456']列，源：de66ed55753c262652fdf6d46fade41b 备：f0a4cca51f69132344afba27c80350fa</t>
        </is>
      </c>
      <c r="DZ14" t="inlineStr">
        <is>
          <t>['12', '23:59:59', '23:59:59.1', '23:59:59.12', '23:59:59.123', '23:59:59.1235', '23:59:59.12346', '23:59:59.123457', '23:59:59.123456']行 ['5', '2026-04-19 12:30:45', '2026-04-19 12:30:45.1', '2026-04-19 12:30:45.1', '2026-04-19 12:30:45.1', '2026-04-19 12:30:45.1', '2026-04-19 12:30:45.1', '2026-04-19 12:30:45.1', '2026-04-19 12:30:45.1']列，源：41065a7e603d957b5e640f1d1f1d810b 备：814c00c2b661c4163822fd3bd55da09a</t>
        </is>
      </c>
      <c r="EB14" t="inlineStr">
        <is>
          <t>['12', '', '', '', '', '123', '12345678901234567890123789010000000', '0.1234567890123459012345678901', '123456789012367012345678.1246', '123456712345.6789', '988', '987654321098765410987654321100000000', '0.9876543210987432109876543211', '987654321098765432105432.1099', '1234567012456.78', '', '', '', '', '']行 ['11', '200', '20000', '2000000000', '2000000000000000', '', '', '', '', '', '', '', '', '', '', '', '', '', '', '']列，源：b48d758f4e5aa3334c133bdfb1c74b7d 备：87354c9406ae2d83680d5225fe174d97</t>
        </is>
      </c>
      <c r="EG14" t="inlineStr">
        <is>
          <t>['13', '2025-05-11 12:00:00']行 ['8', '2068-05-1114:31:00']列，源：5ff24b6e08073a5147af182e9bfa62cf 备：ce20a4e427faf031e896199a8e3144b5</t>
        </is>
      </c>
      <c r="EH14" t="inlineStr">
        <is>
          <t>['13', '2025-05-11 12:00:00']行 ['134', '2023-12-2523:59:00']列，源：5ff24b6e08073a5147af182e9bfa62cf 备：d7de33086df8461cd3c1f4eff3a8f182</t>
        </is>
      </c>
      <c r="EI14" t="inlineStr">
        <is>
          <t>['12', '', '', '', '', '123', '12345678901234567890123789010000000', '0.1234567890123459012345678901', '123456789012367012345678.1246', '123456712345.6789', '988', '987654321098765410987654321100000000', '0.9876543210987432109876543211', '987654321098765432105432.1099', '1234567012456.78', '', '', '', '', '']行 ['11', '200', '20000', '2000000000', '2000000000000000', '', '', '', '', '', '', '', '', '', '', '', '', '', '', '']列，源：b48d758f4e5aa3334c133bdfb1c74b7d 备：87354c9406ae2d83680d5225fe174d97</t>
        </is>
      </c>
      <c r="EJ14" t="inlineStr">
        <is>
          <t>['12',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'1']列，源：b48d758f4e5aa3334c133bdfb1c74b7d 备：9a93dcca444304e4522e0a37b4535e3f</t>
        </is>
      </c>
      <c r="EK14" t="inlineStr">
        <is>
          <t>['55', 'A', 'VARIABLELENGTHBINA', 'TESTTESTTESTTESTTESTTESTTESTTESTTESTTESTTESTTESTTESTTESTTESTTESTTESTTESTTESTTESTTESTTESTTESTTESTTESTTESTTESTTESTTESTTESTTESTTESTTESTTESTTESTTESTTESTTESTTESTTESTTESTTESTTESTTESTTESTTESTTESTTESTTESTTEST']行 ['53', '', '', '']列，源：3ba5f36254261850a536029dc73c2668 备：c40dadc9538ae31679164dee4b3428cb</t>
        </is>
      </c>
      <c r="EL14" t="inlineStr">
        <is>
          <t>['13', '1971-05-1100:00:00+14:00', '1971-05-1100:00:00.0+14:00', '1971-05-1100:00:00.00+14:00', '1971-05-1100:00:00.000+14:00', '1971-05-1100:00:00.0000+14:00', '1971-05-1100:00:00.00000+14:00', '1971-05-1100:00:00.000000+14:00', '1971-05-1100:00:00.0000001+14:00']行 ['9', '1999-05-1601:30:45+10:15', '1999-05-1601:30:45.1+10:15', '1999-05-1601:30:45.12+10:15', '1999-05-1601:30:45.123+10:15', '1999-05-1601:30:45.1235+10:15', '1999-05-1601:30:45.12346+10:15', '1999-05-1601:30:45.123457+10:15', '1999-05-1601:30:45.1234567+10:15']列，源：dc344ffcaa3e3c2a77034f12a4753488 备：5ce542de96b32aca4db9fb684ca33bbb</t>
        </is>
      </c>
      <c r="EM14" t="inlineStr">
        <is>
          <t>['13', '2025-05-11 12:00:00']行 ['8', '2068-05-1114:31:00']列，源：5ff24b6e08073a5147af182e9bfa62cf 备：ce20a4e427faf031e896199a8e3144b5</t>
        </is>
      </c>
    </row>
    <row r="15">
      <c r="B15" t="inlineStr">
        <is>
          <t>NULL</t>
        </is>
      </c>
      <c r="C15" t="inlineStr">
        <is>
          <t>NULL</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c_dtoffset列源备映射错误，源端为datetimeoffset None位	期望更改为text	实际备端为datetimeoffset None位</t>
        </is>
      </c>
      <c r="Y15" t="inlineStr">
        <is>
          <t>['14', '2023-12-25 23:59:00']行 ['32', '1990-11-2600:01:00']列，源：cca76d96c0ef68a741ce75f1cb2d7989 备：a6f3c217240b8b59b41402babcabeebc</t>
        </is>
      </c>
      <c r="Z15" t="inlineStr">
        <is>
          <t>['13', '2026-04-17 17:16:00']行 ['8', '2026-04-1717:16:00']列，源：b825aae739b671417923599b2e88568e 备：b20061c015f743f2df0a772d0ba9e364</t>
        </is>
      </c>
      <c r="AA15" t="inlineStr">
        <is>
          <t>['13', '1981-05-11 14:31:00']行 ['8', '2068-05-1114:31:00']列，源：06df22108b4b92b0da01384d4e6321bc 备：ce20a4e427faf031e896199a8e3144b5</t>
        </is>
      </c>
      <c r="AC15"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AH15" t="inlineStr">
        <is>
          <t>['14', '100', '', '123456', '1000000', '', '100000000000000000000000000000000', '1', '9999999999999999999999.999999', '-888888.22', '100000000000000', '999999999999999999999', '0.999999999999999999999999999', '999999999999999999999.999999', '9999999999.99', '0', '0', '203685477.5808', '', '0']行 ['3', '100', '', '123456', '1000000', '', '', '', '', '-888888.22', '', '', '', '', '', '0', '0', '203685477.5808', '', '0']列，源：51152fb4f2bc7ef7dd6959e43cd74f8a 备：950f08a27779fe5d6b41016885c3b290</t>
        </is>
      </c>
      <c r="AJ15" t="inlineStr">
        <is>
          <t>['14', '2000-05-01 23:59:59.993']行 ['21', '2023-05-1100:00:00.123']列，源：423c114b12b165ce4ddef338d9dac8da 备：bda623b4f4de1edcfde47a9b3befc9de</t>
        </is>
      </c>
      <c r="AL15" t="inlineStr">
        <is>
          <t>['14', '2000-05-01 23:59:59.993']行 ['157', '2000-05-1114:30:29.000']列，源：423c114b12b165ce4ddef338d9dac8da 备：662ccb121e15706a089e2aa77841c83b</t>
        </is>
      </c>
      <c r="AM15" t="inlineStr">
        <is>
          <t>['14', '2000-05-01 23:59:59.993']行 ['21', '2023-05-1100:00:00.123']列，源：423c114b12b165ce4ddef338d9dac8da 备：bda623b4f4de1edcfde47a9b3befc9de</t>
        </is>
      </c>
      <c r="AN15" t="inlineStr">
        <is>
          <t>['14', '100', '', '123456', '1000000', '', '100000000000000000000000000000000', '1', '9999999999999999999999.999999', '-888888.22', '100000000000000', '999999999999999999999', '0.999999999999999999999999999', '999999999999999999999.999999', '9999999999.99', '0', '0', '203685477.5808', '', '0']行 ['3', '100', '0', '0', '0', '99999', '', '', '', '-11111.34', '', '', '', '', '', '123.456789', '0', '203685477.5808', '', '1']列，源：51152fb4f2bc7ef7dd6959e43cd74f8a 备：c669bd8fad22de39e0ed5d377b0f74d1</t>
        </is>
      </c>
      <c r="AO15" t="inlineStr">
        <is>
          <t>['14', '2000-05-01 23:59:59.993']行 ['116', '2002-06-1123:59:59.993']列，源：423c114b12b165ce4ddef338d9dac8da 备：eac70c00a1b697682a1f96f0bc550fb9</t>
        </is>
      </c>
      <c r="AP15" t="inlineStr">
        <is>
          <t>['13', '9999-12-31 23:59:59.997']行 ['20', '9999-12-3123:59:59.997']列，源：1d70e16c1492992d625e1d3740209c95 备：c4e368f4cb89aa5edb7ffc27296520fa</t>
        </is>
      </c>
      <c r="AR15" t="inlineStr">
        <is>
          <t>['13', '1999-06-06 23:59:59.997']行 ['20', '2020-02-2919:27:31.123']列，源：11eb918350ede7ba8045fb66e67e8895 备：d44c444c0c3520345d30157145aff5ac</t>
        </is>
      </c>
      <c r="AV15"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AZ15" t="inlineStr">
        <is>
          <t>['27', '2065-05-11 14:30:45', '2065-05-11 14:30:45.1', '2065-05-11 14:30:45.12', '2065-05-11 14:30:45.123', '2065-05-11 14:30:45.1235', '2065-05-11 14:30:45.12346', '2065-05-11 14:30:45.123457', '2065-05-11 14:30:45.123456']行 ['227', '2065-05-1114:30:45', '2065-05-1114:30:45.1', '2065-05-1114:30:45.12', '2065-05-1114:30:45.123', '2065-05-1114:30:45.1235', '2065-05-1114:30:45.12346', '2065-05-1114:30:45.123457', '2065-05-1114:30:45.1234567']列，源：891554aa2e165f5f82b7d50b4abf296e 备：8f96110679be3d67c89f4cd30c63bcd1</t>
        </is>
      </c>
      <c r="BC15" t="inlineStr">
        <is>
          <t>['105', '9999-12-31 23:59:59', '9999-12-31 23:59:59.9', '9999-12-31 23:59:59.99', '9999-12-31 23:59:59.999', '9999-12-31 23:59:59.9999', '9999-12-31 23:59:59.99999', '9999-12-31 23:59:59.999999', '9999-12-31 23:59:59.999999']行 ['54', '0001-01-0100:00:00', '0001-01-0100:00:00.0', '0001-01-0100:00:00.00', '0001-01-0100:00:00.000', '0001-01-0100:00:00.0000', '0001-01-0100:00:00.00000', '0001-01-0100:00:00.000000', '0001-01-0100:00:00.0000000']列，源：5b8ba9cd96d3a6e198cf57fa53d15d6b 备：93030e2efa209c0b569224f9cea7e817</t>
        </is>
      </c>
      <c r="BD15" t="inlineStr">
        <is>
          <t>['15', '', '', '', '', '0', '1', '0.000000000000000000000000001', '0.000000001', '0.0001', '0', '1', '0.000000000000000000000000000001', '0.000001', '0.01', '', '', '', '', '']行 ['3', '100', '0', '0', '0', '', '', '', '', '-888888.22', '', '', '', '', '', '0', '0', '203685477.5808', '', '0']列，源：221d65c70706de8fe2f4d798e2ad9782 备：0ecec7e97993ff9ff8af5d424ed31848</t>
        </is>
      </c>
      <c r="BG15" t="inlineStr">
        <is>
          <t>['26', 'Y', '€¶I€¶', '€¶I€¶€¶I€¶€¶I€¶€¶I€¶€¶I€¶€¶I€¶€¶I€¶€¶I€¶€¶I€¶€¶I€¶€¶I€¶€¶I€¶€¶I€¶€¶I€¶€¶I€¶€¶I€¶€¶I€¶€¶I€¶€¶I€¶€¶I€¶€¶I€¶€¶I€¶€¶I€¶€¶I€¶€¶I€¶€¶I€¶€¶I€¶€¶I€¶€¶I€¶€¶I€¶€¶I€¶€¶I€¶€¶I€¶€¶I€¶€¶I€¶€¶I€¶€¶I€¶€¶I€¶€¶I€¶€¶I€¶€¶I€¶€¶I€¶€¶I€¶€¶I€¶€¶I€¶€¶I€¶€¶I€¶€¶I€¶€¶I€¶€¶I€¶€¶I€¶€¶I€¶€¶I€¶€¶I€¶€¶I€¶€¶I€¶€¶I€¶€¶I€¶€¶I€¶€¶I€¶€¶I€¶€¶I€¶€¶I€¶€¶I€¶€¶I€¶€¶I€¶€¶I€¶€¶I€¶€¶I€¶€¶I€¶€¶I€¶€¶I€¶€¶I€¶€¶I€¶€¶I€¶€¶I€¶€¶I€¶€¶I€¶€¶I€¶€¶I€¶€¶I€¶€¶I€¶€¶I€¶€¶I€¶€¶I€¶€¶I€¶€¶I€¶€¶I€¶€¶I€¶€¶I€¶€¶I€¶€¶I€¶€¶I€¶€¶I€¶€¶I€¶€¶I€¶€¶I€¶€¶I€¶€¶I€¶€¶I€¶€¶I€¶€¶I€¶€¶I€¶€¶I€¶€¶I€¶€¶I€¶€¶I€¶€¶I€¶€¶I€¶€¶I€¶€¶I€¶€¶I€¶€¶I€¶€¶I€¶€¶I€¶€¶I€¶€¶I€¶€¶I€¶€¶I€¶€¶I€¶€¶I€¶€¶I€¶€¶I€¶€¶I€¶€¶I€¶€¶I€¶€¶I€¶€¶I€¶€¶I€¶€¶I€¶€¶I€¶€¶I€¶€¶I€¶€¶I€¶€¶I€¶€¶I€¶€¶I€¶€¶I€¶€¶I€¶€¶I€¶€¶I€¶€¶I€¶€¶I€¶€¶I€¶€¶I€¶€¶I€¶€¶I€¶€¶I€¶€¶I€¶€¶I€¶€¶I€¶€¶I€¶€¶I€¶€¶I€¶€¶I€¶€¶I€¶€¶I€¶€¶I€¶€¶I€¶€¶I€¶€¶I€¶€¶I€¶€¶I€¶€¶I€¶€¶I€¶€¶I€¶€¶I€¶€¶I€¶€¶I€¶€¶I€¶€¶I€¶€¶I€¶€¶I€¶€¶I€¶€¶I€¶€¶I€¶€¶I€¶€¶I€¶€¶I€¶€¶I€¶€¶I€¶€¶I€¶€¶I€¶€¶I€¶€¶I€¶€¶I€¶€¶I€¶€¶I€¶€¶I€¶€¶I€¶€¶I€¶€¶I€¶€¶I€¶€¶I€¶€¶I€¶€¶I€¶€¶I€¶€¶I€¶€¶I€¶€¶I€¶']行 ['3',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611990f4ea1b5def867ab634c389853d 备：dcb595a4a25a1857a5da52dac7ed2817</t>
        </is>
      </c>
      <c r="BJ15"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BK15" t="inlineStr">
        <is>
          <t>['24', '', '', '']行 ['25',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49d7826c79b1985501d1d6aa244c0784 备：ca5a51a253bb7575907147db1bbe28d2</t>
        </is>
      </c>
      <c r="BS15" t="inlineStr">
        <is>
          <t>['21', '', '', '', '', '', '', '', '']行 ['132', '2025-05-1200:00:00-14:00', '2025-05-1200:00:00.0-14:00', '2025-05-1200:00:00.00-14:00', '2025-05-1200:00:00.000-14:00', '2025-05-1200:00:00.0000-14:00', '2025-05-1200:00:00.00000-14:00', '2025-05-1200:00:00.000000-14:00', '2025-05-1123:59:59.9999999-14:00']列，源：cc069b0555b1f248fd524f9713174ec2 备：112d4fd7061175fee560e56a42da1f47</t>
        </is>
      </c>
      <c r="BV15" t="inlineStr">
        <is>
          <t>['56',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4f7b1bd87ca6813a5cffe89c912c1cb 备：846658c6426c8aad960fbac5e9014739</t>
        </is>
      </c>
      <c r="BW15" t="inlineStr">
        <is>
          <t>['52', '1900-01-0100:00:00+00:00', '1900-01-0100:00:00.0+00:00', '1900-01-0100:00:00.00+00:00', '1900-01-0100:00:00.000+00:00', '1900-01-0100:00:00.0000+00:00', '1900-01-0100:00:00.00000+00:00', '1900-01-0100:00:00.000000+00:00', '1900-01-0100:00:00.0000000+00:00']行 ['12', '2025-05-1200:00:00-14:00', '2025-05-1200:00:00.0-14:00', '2025-05-1200:00:00.00-14:00', '2025-05-1200:00:00.000-14:00', '2025-05-1200:00:00.0000-14:00', '2025-05-1200:00:00.00000-14:00', '2025-05-1200:00:00.000000-14:00', '2025-05-1123:59:59.9999999-14:00']列，源：7a59d93131da594e148bcecad03c9632 备：62ddc8cbf63642db045e45819e8ebb70</t>
        </is>
      </c>
      <c r="BZ15" t="inlineStr">
        <is>
          <t>['14', '12:00:00', '', '12:00:00.12', '', '12:00:00.1235', '', '12:00:00.123457', '']行 ['9', '2026-04-19 12:30:45', '2026-04-19 12:30:45.1', '2026-04-19 12:30:45.12', '2026-04-19 12:30:45.123', '2026-04-19 12:30:45.1235', '2026-04-19 12:30:45.12345', '2026-04-19 12:30:45.12345', '2026-04-19 12:30:45.12345']列，源：b48335c297d88a908eebba4413502068 备：cc85285a2c5fce7382f015e65be5b09e</t>
        </is>
      </c>
      <c r="CB15" t="inlineStr">
        <is>
          <t>['23', '0001-01-01']行 ['21', '']列，源：2074d7ef73b7ccfa041a75f942ba1d8e 备：5f115c1225a9f62220f5bb9720947ad4</t>
        </is>
      </c>
      <c r="CH15" t="inlineStr">
        <is>
          <t>['59', '9999-12-30']行 ['211', '2068-06-01 00:00:00']列，源：a10b27410e23c4672a7ed94a0db85d87 备：c3f81dfca5453987c28c075e6a09ab3f</t>
        </is>
      </c>
      <c r="CK15" t="inlineStr">
        <is>
          <t>['13', '', '', '', '', '', '', '', '', '', '', '', '', '', '', '', '', '1', '5.99', '']行 ['20', '222', '', '', '', '', '', '', '', '', '', '', '', '', '', '', '', '', '', '']列，源：42117c21b1ce8edfe0ad637c9ac1548a 备：e8a293f3a806272c8d3f6829dcb8a08f</t>
        </is>
      </c>
      <c r="CL15" t="inlineStr">
        <is>
          <t>['14', '2023-12-25 23:59:00']行 ['9', '1981-05-1114:31:00']列，源：cca76d96c0ef68a741ce75f1cb2d7989 备：935b5b35ef9c0a6a8a85fa748df68946</t>
        </is>
      </c>
      <c r="CV15" t="inlineStr">
        <is>
          <t>['14', '2000-05-01 23:59:59.993']行 ['21', '2023-05-1100:00:00.123']列，源：423c114b12b165ce4ddef338d9dac8da 备：bda623b4f4de1edcfde47a9b3befc9de</t>
        </is>
      </c>
      <c r="CW15" t="inlineStr">
        <is>
          <t>['17', '', '', '', '', '', '', '', '', '', '', '', '', '', '', '', '', '-0.01', '-0.01', '']行 ['21', '', '-22345', '', '', '', '', '', '', '', '', '', '', '', '', '', '', '', '', '']列，源：068cff75df7ed5a1f3895ed7aeb6f63f 备：44cb956bc995ad5c2245a5c8b44e9bab</t>
        </is>
      </c>
      <c r="DB15" t="inlineStr">
        <is>
          <t>['21', '2023-05-11 00:00:00.123']行 ['7', '2000-05-1114:30:29.000']列，源：770b4b27a8cca201e907cf9fd17c5229 备：1f1873d69c431d509f1d59937dc1a8e7</t>
        </is>
      </c>
      <c r="DE15" t="inlineStr">
        <is>
          <t>['14', 'Y', '测TEST\\N%_8试&amp;12YG@2', '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测TEST\\N%_8试&amp;12YG@2']行 ['7',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083c8fdda7e56d9228853d19a7b88f41 备：b789a4c7386a64a58ee336e12e0ca4b7</t>
        </is>
      </c>
      <c r="DF15"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DH15" t="inlineStr">
        <is>
          <t>['14', '', '12:00:00.1', '', '12:00:00.123', '', '12:00:00.12346', '', '12:00:00.123456']行 ['23', '2026-04-19 23:59:59', '2026-04-19 23:59:59.9', '2026-04-19 23:59:59.99', '2026-04-19 23:59:59.999', '2026-04-19 23:59:59.9999', '2026-04-19 23:59:59.99999', '2026-04-19 23:59:59.999999', '2026-04-19 23:59:59.999999']列，源：cd30bcf6b45d03f9b1e66e65760d9405 备：92f56144dc25e3b7ea5532b7b26d209e</t>
        </is>
      </c>
      <c r="DK15" t="inlineStr">
        <is>
          <t>['26', 'Y', '€¶I€¶', '€¶I€¶€¶I€¶€¶I€¶€¶I€¶€¶I€¶€¶I€¶€¶I€¶€¶I€¶€¶I€¶€¶I€¶€¶I€¶€¶I€¶€¶I€¶€¶I€¶€¶I€¶€¶I€¶€¶I€¶€¶I€¶€¶I€¶€¶I€¶€¶I€¶€¶I€¶€¶I€¶€¶I€¶€¶I€¶€¶I€¶€¶I€¶€¶I€¶€¶I€¶€¶I€¶€¶I€¶€¶I€¶€¶I€¶€¶I€¶€¶I€¶€¶I€¶€¶I€¶€¶I€¶€¶I€¶€¶I€¶€¶I€¶€¶I€¶€¶I€¶€¶I€¶€¶I€¶€¶I€¶€¶I€¶€¶I€¶€¶I€¶€¶I€¶€¶I€¶€¶I€¶€¶I€¶€¶I€¶€¶I€¶€¶I€¶€¶I€¶€¶I€¶€¶I€¶€¶I€¶€¶I€¶€¶I€¶€¶I€¶€¶I€¶€¶I€¶€¶I€¶€¶I€¶€¶I€¶€¶I€¶€¶I€¶€¶I€¶€¶I€¶€¶I€¶€¶I€¶€¶I€¶€¶I€¶€¶I€¶€¶I€¶€¶I€¶€¶I€¶€¶I€¶€¶I€¶€¶I€¶€¶I€¶€¶I€¶€¶I€¶€¶I€¶€¶I€¶€¶I€¶€¶I€¶€¶I€¶€¶I€¶€¶I€¶€¶I€¶€¶I€¶€¶I€¶€¶I€¶€¶I€¶€¶I€¶€¶I€¶€¶I€¶€¶I€¶€¶I€¶€¶I€¶€¶I€¶€¶I€¶€¶I€¶€¶I€¶€¶I€¶€¶I€¶€¶I€¶€¶I€¶€¶I€¶€¶I€¶€¶I€¶€¶I€¶€¶I€¶€¶I€¶€¶I€¶€¶I€¶€¶I€¶€¶I€¶€¶I€¶€¶I€¶€¶I€¶€¶I€¶€¶I€¶€¶I€¶€¶I€¶€¶I€¶€¶I€¶€¶I€¶€¶I€¶€¶I€¶€¶I€¶€¶I€¶€¶I€¶€¶I€¶€¶I€¶€¶I€¶€¶I€¶€¶I€¶€¶I€¶€¶I€¶€¶I€¶€¶I€¶€¶I€¶€¶I€¶€¶I€¶€¶I€¶€¶I€¶€¶I€¶€¶I€¶€¶I€¶€¶I€¶€¶I€¶€¶I€¶€¶I€¶€¶I€¶€¶I€¶€¶I€¶€¶I€¶€¶I€¶€¶I€¶€¶I€¶€¶I€¶€¶I€¶€¶I€¶€¶I€¶€¶I€¶€¶I€¶€¶I€¶€¶I€¶€¶I€¶€¶I€¶€¶I€¶€¶I€¶€¶I€¶€¶I€¶€¶I€¶€¶I€¶€¶I€¶€¶I€¶€¶I€¶€¶I€¶€¶I€¶€¶I€¶€¶I€¶€¶I€¶€¶I€¶€¶I€¶€¶I€¶€¶I€¶€¶I€¶€¶I€¶€¶I€¶€¶I€¶€¶I€¶€¶I€¶€¶I€¶']行 ['3',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611990f4ea1b5def867ab634c389853d 备：dcb595a4a25a1857a5da52dac7ed2817</t>
        </is>
      </c>
      <c r="DO15"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DP15" t="inlineStr">
        <is>
          <t>['24', '', '', '']行 ['25',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49d7826c79b1985501d1d6aa244c0784 备：ca5a51a253bb7575907147db1bbe28d2</t>
        </is>
      </c>
      <c r="DT15" t="inlineStr">
        <is>
          <t>['13',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'0']列，源：a44b5811c634b93da05bdec7da53ebf7 备：e9e44d25bc97e58176fe725acd08b284</t>
        </is>
      </c>
      <c r="DV15" t="inlineStr">
        <is>
          <t>['14', '', '12:00:00.1', '', '12:00:00.123', '', '12:00:00.12346', '', '12:00:00.123456']行 ['57', '2026-04-19 12:30:45', '2026-04-19 12:30:45.1', '2026-04-19 12:30:45.12', '2026-04-19 12:30:45.123', '2026-04-19 12:30:45.123', '2026-04-19 12:30:45.123', '2026-04-19 12:30:45.123', '2026-04-19 12:30:45.123']列，源：cd30bcf6b45d03f9b1e66e65760d9405 备：31288b05c6204081c22073baf71a63c9</t>
        </is>
      </c>
      <c r="DX15" t="inlineStr">
        <is>
          <t>['13', '18:10:06', '18:10:06.1', '18:10:06.12', '18:10:06.123', '18:10:06.1235', '18:10:06.12346', '18:10:06.123457', '18:10:06.123456']行 ['6', '2026-04-19 18:10:06', '2026-04-19 18:10:06.1', '2026-04-19 18:10:06.12', '2026-04-19 18:10:06.123', '2026-04-19 18:10:06.1235', '2026-04-19 18:10:06.12346', '2026-04-19 18:10:06.123457', '2026-04-19 18:10:06.123456']列，源：ca909f9eb679e70ec14d29d31b24cc0f 备：44b31489ca14a83976c9f9ac1ccaefaf</t>
        </is>
      </c>
      <c r="DZ15" t="inlineStr">
        <is>
          <t>['13', '', '00:00:01.1', '', '00:00:01.123', '', '00:00:01.12346', '', '00:00:01.123456']行 ['6', '2026-04-19 09:12:34', '2026-04-19 12:30:45.1', '2026-04-19 09:12:34.12', '2026-04-19 12:30:45.12', '2026-04-19 09:12:34.1235', '2026-04-19 12:30:45.12', '2026-04-19 09:12:34.123457', '2026-04-19 12:30:45.12']列，源：66113464cabc0d65d551c23282dee2c7 备：54fe0fbc3490409ec2113fe4bbcd4967</t>
        </is>
      </c>
      <c r="EB15" t="inlineStr">
        <is>
          <t>['13', '', '', '', '', '-457', '-123456780123456781234589012300000', '-0.4567890123479234567890145679', '-123456789012347890345678.9874', '-98743298765.4321', '-321', '-987654321096543210987654321100000000', '-0.1234569012345671234567890123', '-6543210976543287654321.098765', '-9876543210954.32', '', '', '', '', '']行 ['110', '', '', '', '', '', '', '', '', '', '', '', '', '', '', '', '', '', '', '']列，源：a44b5811c634b93da05bdec7da53ebf7 备：1cbc974ede4169f9ec4d2c7aa2138f76</t>
        </is>
      </c>
      <c r="EG15" t="inlineStr">
        <is>
          <t>['14', '2023-12-25 23:59:00']行 ['9', '1981-05-1114:31:00']列，源：cca76d96c0ef68a741ce75f1cb2d7989 备：935b5b35ef9c0a6a8a85fa748df68946</t>
        </is>
      </c>
      <c r="EH15" t="inlineStr">
        <is>
          <t>['14', '2023-12-25 23:59:00']行 ['14', '2023-12-2523:59:00']列，源：cca76d96c0ef68a741ce75f1cb2d7989 备：f6f6eec65810e3b80b4bed5f275f3cfa</t>
        </is>
      </c>
      <c r="EI15" t="inlineStr">
        <is>
          <t>['13', '', '', '', '', '-457', '-123456780123456781234589012300000', '-0.4567890123479234567890145679', '-123456789012347890345678.9874', '-98743298765.4321', '-321', '-987654321096543210987654321100000000', '-0.1234569012345671234567890123', '-6543210976543287654321.098765', '-9876543210954.32', '', '', '', '', '']行 ['110', '', '', '', '', '', '', '', '', '', '', '', '', '', '', '', '', '', '', '']列，源：a44b5811c634b93da05bdec7da53ebf7 备：1cbc974ede4169f9ec4d2c7aa2138f76</t>
        </is>
      </c>
      <c r="EJ15" t="inlineStr">
        <is>
          <t>['13',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'0']列，源：a44b5811c634b93da05bdec7da53ebf7 备：e9e44d25bc97e58176fe725acd08b284</t>
        </is>
      </c>
      <c r="EK15" t="inlineStr">
        <is>
          <t>['56',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['54',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89720cb4ff77bcefd5c8d9832857e0dd 备：b54e402eeb588c2d8bb75a2b33eb9426</t>
        </is>
      </c>
      <c r="EM15" t="inlineStr">
        <is>
          <t>['14', '2023-12-25 23:59:00']行 ['9', '1981-05-1114:31:00']列，源：cca76d96c0ef68a741ce75f1cb2d7989 备：935b5b35ef9c0a6a8a85fa748df68946</t>
        </is>
      </c>
    </row>
    <row r="16">
      <c r="A16" t="inlineStr">
        <is>
          <t>info_text_dml_single_pk_irp</t>
        </is>
      </c>
      <c r="K16" t="inlineStr">
        <is>
          <t>[0;34m info_text_dml_single_pk_irp [0m源备字段数相同，源端字段：3 	备端字段3</t>
        </is>
      </c>
      <c r="W16" t="inlineStr">
        <is>
          <t>YES 源备无差异</t>
        </is>
      </c>
      <c r="X16">
        <f>A16</f>
        <v/>
      </c>
      <c r="Y16" t="inlineStr">
        <is>
          <t>['27', '2000-05-11 14:30:00']行 ['33', '2025-05-1112:00:00']列，源：d560c55b4b409d75502aee77334d4b29 备：77cefdcd1e454f2c135dee7401c68e3c</t>
        </is>
      </c>
      <c r="Z16" t="inlineStr">
        <is>
          <t>['14', '2026-04-17 17:16:00']行 ['9', '2026-04-1717:16:00']列，源：a7a3333c0992ff44496ab3f753edc153 备：25143e4947a57dce60e0d280e9ed19f1</t>
        </is>
      </c>
      <c r="AA16" t="inlineStr">
        <is>
          <t>['14', '1981-05-11 14:31:00']行 ['9', '2079-06-0523:59:00']列，源：a85281ed3e3672a6efe132406e9cb9a9 备：0a7b58cbfe23af37fe28826a28af7893</t>
        </is>
      </c>
      <c r="AC16"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备：175562610862ed737a71203d49ac035a</t>
        </is>
      </c>
      <c r="AH16" t="inlineStr">
        <is>
          <t>['15', '100', '', '123456', '1000000', '', '1', '0.000000000000000000000000001', '0.000000001', '-888888.22', '0', '1', '0.000000000000000000000000000001', '0.000001', '0.01', '0', '0', '203685477.5808', '', '0']行 ['4', '100', '12345', '123456', '1000000', '', '-1234567890123456789012345', '0.0000000000000000000000008', '1234567890123456789012345678', '-888888.22', '123456789123456789', '-1234567890123456789012345', '0.0000000000000000000000008', '1234567890123456789012345678', '-123456789012.12', '0', '0', '203685477.5808', '1234.5678', '0']列，源：7f75307069eb95d2501445e26ba81699 备：d90905b6300dde8773d3a38046d9e92f</t>
        </is>
      </c>
      <c r="AJ16" t="inlineStr">
        <is>
          <t>['15', '2001-04-09 23:59:59.993']行 ['22', '2024-05-1112:00:00.567']列，源：0a6dcffcccec03fbf67900e2d0e8ae6d 备：38b53bf6ba17f21f17d47877caf44f6e</t>
        </is>
      </c>
      <c r="AL16" t="inlineStr">
        <is>
          <t>['15', '2001-04-09 23:59:59.993']行 ['159', '1981-05-1114:30:59.000']列，源：0a6dcffcccec03fbf67900e2d0e8ae6d 备：80a85d05718af45a87f5d377eb4567c4</t>
        </is>
      </c>
      <c r="AM16" t="inlineStr">
        <is>
          <t>['15', '2001-04-09 23:59:59.993']行 ['22', '2024-05-1112:00:00.567']列，源：0a6dcffcccec03fbf67900e2d0e8ae6d 备：38b53bf6ba17f21f17d47877caf44f6e</t>
        </is>
      </c>
      <c r="AN16" t="inlineStr">
        <is>
          <t>['15', '100', '', '123456', '1000000', '', '1', '0.000000000000000000000000001', '0.000000001', '-888888.22', '0', '1', '0.000000000000000000000000000001', '0.000001', '0.01', '0', '0', '203685477.5808', '', '0']行 ['4', '100', '12345', '123456', '1000000', '', '-1234567890123456789012345', '0.0000000000000000000000008', '1234567890123456789012345678', '-888888.22', '123456789123456789', '-1234567890123456789012345', '0.0000000000000000000000008', '1234567890123456789012345678', '-123456789012.12', '0', '0', '203685477.5808', '1234.5678', '0']列，源：7f75307069eb95d2501445e26ba81699 备：d90905b6300dde8773d3a38046d9e92f</t>
        </is>
      </c>
      <c r="AO16" t="inlineStr">
        <is>
          <t>['15', '2001-04-09 23:59:59.993']行 ['117', '2003-11-0423:59:59.990']列，源：0a6dcffcccec03fbf67900e2d0e8ae6d 备：f66bc5f1651f80772f15ddf13bf4a20e</t>
        </is>
      </c>
      <c r="AP16" t="inlineStr">
        <is>
          <t>['14', '9999-12-31 23:59:59.997']行 ['21', '9999-12-3123:59:59.997']列，源：a8d169b6613c019269abad2840e98081 备：d4ba5ee62da9820f26551daa2cfb8806</t>
        </is>
      </c>
      <c r="AR16" t="inlineStr">
        <is>
          <t>['14', '2000-05-01 23:59:59.993']行 ['21', '2020-02-2919:27:31.123']列，源：423c114b12b165ce4ddef338d9dac8da 备：d72087fc329e945071953fafca524f6d</t>
        </is>
      </c>
      <c r="AV16"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备：175562610862ed737a71203d49ac035a</t>
        </is>
      </c>
      <c r="AZ16" t="inlineStr">
        <is>
          <t>['74', '0001-01-01 00:00:00', '0001-01-01 00:00:00', '0001-01-01 00:00:00', '0001-01-01 00:00:00', '0001-01-01 00:00:00', '0001-01-01 00:00:00', '0001-01-01 00:00:00', '0001-01-01 00:00:00']行 ['23', '2026-04-1717:17:25', '2026-04-1717:17:24.6', '2026-04-1717:17:24.63', '2026-04-1717:17:24.631', '2026-04-1717:17:24.6306', '2026-04-1717:17:24.63065', '2026-04-1717:17:24.630647', '2026-04-1717:17:24.6306467']列，源：bbfd7ad6336a6ca134dfa2ae57cfa688 备：32f3f28b68f5184d1756590bcb9a53e8</t>
        </is>
      </c>
      <c r="BC16" t="inlineStr">
        <is>
          <t>['106', '1945-05-11 14:30:45', '1945-05-11 14:30:45.1', '1945-05-11 14:30:45.12', '1945-05-11 14:30:45.123', '1945-05-11 14:30:45.1235', '1945-05-11 14:30:45.12346', '1945-05-11 14:30:45.123457', '1945-05-11 14:30:45.123456']行 ['55', '9999-12-3123:59:59', '9999-12-3123:59:59.9', '9999-12-3123:59:59.99', '9999-12-3123:59:59.999', '9999-12-3123:59:59.9999', '9999-12-3123:59:59.99999', '9999-12-3123:59:59.999999', '9999-12-3123:59:59.9999999']列，源：742318bc91348b8cf5d51e10c81d17e0 备：64d4cb335bb2a99f2cbc9826089b2159</t>
        </is>
      </c>
      <c r="BD16" t="inlineStr">
        <is>
          <t>['16', '', '', '', '', '', '', '', '', '', '', '', '', '', '', '123456789000000002003480098325095514112', '340282306073709652508363335590014353408', '123456.789', '1234.5678', '1']行 ['5', '0', '0', '0', '0', '', '', '', '', '', '', '', '', '', '', '', '', '', '', '']列，源：3438157f09e0f03dd18a5ed7d3b2efa2 备：61f2d024da6dc2a41105ba753fc689fe</t>
        </is>
      </c>
      <c r="BG16" t="inlineStr">
        <is>
          <t>['27',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82e0668e10036722643688612a43d2b 备：e82ae7840035ff9b184933d7a7e914eb</t>
        </is>
      </c>
      <c r="BJ16"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备：5304811eb0f5b8af1cdf427615baccc5</t>
        </is>
      </c>
      <c r="BK16" t="inlineStr">
        <is>
          <t>['25', 'A', 'VARIABLELENGTHBINA', 'TESTTESTTESTTESTTESTTESTTESTTESTTESTTESTTESTTESTTESTTESTTESTTESTTESTTESTTESTTESTTESTTESTTESTTESTTESTTESTTESTTESTTESTTESTTESTTESTTESTTESTTESTTESTTESTTESTTESTTESTTESTTESTTESTTESTTESTTESTTESTTESTTESTTEST']行 ['26',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8965e14aa12f64aa343dc46fa4aa6027 备：25a71c204604c2f9d116ea5bdb4fa8bf</t>
        </is>
      </c>
      <c r="BS16" t="inlineStr">
        <is>
          <t>['22', '1900-01-0100:00:00+00:00', '1900-01-0100:00:00.0+00:00', '1900-01-0100:00:00.00+00:00', '1900-01-0100:00:00.000+00:00', '1900-01-0100:00:00.0000+00:00', '1900-01-0100:00:00.00000+00:00', '1900-01-0100:00:00.000000+00:00', '1900-01-0100:00:00.0000000+00:00']行 ['133', '1971-05-1100:00:00+14:00', '1971-05-1100:00:00.0+14:00', '1971-05-1100:00:00.00+14:00', '1971-05-1100:00:00.000+14:00', '1971-05-1100:00:00.0000+14:00', '1971-05-1100:00:00.00000+14:00', '1971-05-1100:00:00.000000+14:00', '1971-05-1100:00:00.0000001+14:00']列，源：0cb5667dac6486cd62ed57fd967839e5 备：32eb47271a60fc7e38d2dd5e9120c635</t>
        </is>
      </c>
      <c r="BV16" t="inlineStr">
        <is>
          <t>['57',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['53', '0', '0', '0']列，源：371da2d5c63b877a8480a86676ec036c 备：97d9bc8a94536603b772bfd10dfe52e5</t>
        </is>
      </c>
      <c r="BW16" t="inlineStr">
        <is>
          <t>['53', '2026-04-1717:18:32+08:00', '2026-04-1717:18:31.5+08:00', '2026-04-1717:18:31.54+08:00', '2026-04-1717:18:31.537+08:00', '2026-04-1717:18:31.5370+08:00', '2026-04-1717:18:31.53698+08:00', '2026-04-1717:18:31.536981+08:00', '2026-04-1717:18:31.5369809+08:00']行 ['13', '1971-05-1100:00:00+14:00', '1971-05-1100:00:00.0+14:00', '1971-05-1100:00:00.00+14:00', '1971-05-1100:00:00.000+14:00', '1971-05-1100:00:00.0000+14:00', '1971-05-1100:00:00.00000+14:00', '1971-05-1100:00:00.000000+14:00', '1971-05-1100:00:00.0000001+14:00']列，源：5019971dc95c81fd744c63c1b720dd17 备：dc344ffcaa3e3c2a77034f12a4753488</t>
        </is>
      </c>
      <c r="CB16" t="inlineStr">
        <is>
          <t>['24', '9999-12-31']行 ['22', '1900-01-01 00:00:00']列，源：36cda1fb445bb7e342f9f7de73011296 备：0131c39e3a102c803fcac9a3c8884712</t>
        </is>
      </c>
      <c r="CH16" t="inlineStr">
        <is>
          <t>['60', '1990-05-11']行 ['3', '0001-01-01 00:00:00']列，源：1730d042e87afda4a7aaae0803e9a500 备：fadb3754d1a5a0d09eeb5a8a5472077a</t>
        </is>
      </c>
      <c r="CK16" t="inlineStr">
        <is>
          <t>['14', '', '', '', '', '', '', '', '', '', '', '', '', '', '', '', '', '100.5', '99.5', '']行 ['21', '', '-22345', '', '', '', '', '', '', '', '', '', '', '', '', '', '', '', '', '']列，源：3b33070a05564aade000a74713c64b00 备：44cb956bc995ad5c2245a5c8b44e9bab</t>
        </is>
      </c>
      <c r="CV16" t="inlineStr">
        <is>
          <t>['15', '2001-04-09 23:59:59.993']行 ['22', '2024-05-1112:00:00.567']列，源：0a6dcffcccec03fbf67900e2d0e8ae6d 备：38b53bf6ba17f21f17d47877caf44f6e</t>
        </is>
      </c>
      <c r="CW16" t="inlineStr">
        <is>
          <t>['18', '', '', '', '', '', '', '', '', '', '', '', '', '', '', '', '', '-150.75', '-49.95', '']行 ['23', '', '', '', '-223456789012', '', '', '', '', '', '', '', '', '', '', '', '', '', '', '']列，源：80caadae3ac31d4ecce4a0717dad902a 备：d20380855db30a8a452fc6a6576f8409</t>
        </is>
      </c>
      <c r="DB16" t="inlineStr">
        <is>
          <t>['22', '2024-05-11 12:00:00.567']行 ['8', '2068-05-1114:30:30.000']列，源：2849352901c927f3ccb491dc6ebd91fa 备：482b5b963ecc050b6221a7b239669a9b</t>
        </is>
      </c>
      <c r="DE16" t="inlineStr">
        <is>
          <t>['15', 'N', '€¶I€¶', '€¶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I€¶']行 ['8',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8af8f94b3f1fa92c47509553848aed8c 备：175562610862ed737a71203d49ac035a</t>
        </is>
      </c>
      <c r="DF16" t="inlineStr">
        <is>
          <t>['15', '00:00:01', '', '00:00:01.12', '', '00:00:01.1235', '', '00:00:01.123457', '']行 ['8', '2026-04-19 12:30:45', '2026-04-19 12:30:45.1', '2026-04-19 12:30:45.12', '2026-04-19 12:30:45.123', '2026-04-19 12:30:45.1234', '2026-04-19 12:30:45.1234', '2026-04-19 12:30:45.1234', '2026-04-19 12:30:45.1234']列，源：083df9cb0ee25c34dc91e9b5fde2eb74 备：ea173bcb3f398beaa3adfe55f9fc31c5</t>
        </is>
      </c>
      <c r="DH16" t="inlineStr">
        <is>
          <t>['15', '00:00:01', '', '00:00:01.12', '', '00:00:01.1235', '', '00:00:01.123457', '']行 ['24', '2026-04-19 12:30:45', '2026-04-19 12:30:45', '2026-04-19 12:30:45', '2026-04-19 12:30:45', '2026-04-19 12:30:45', '2026-04-19 12:30:45', '2026-04-19 12:30:45', '2026-04-19 12:30:45']列，源：083df9cb0ee25c34dc91e9b5fde2eb74 备：baa6672a1cfc6bb6fce789ee1f604031</t>
        </is>
      </c>
      <c r="DK16" t="inlineStr">
        <is>
          <t>['27',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b82e0668e10036722643688612a43d2b 备：e82ae7840035ff9b184933d7a7e914eb</t>
        </is>
      </c>
      <c r="DO16" t="inlineStr">
        <is>
          <t>['15', '00:00:01', '', '00:00:01.12', '', '00:00:01.1235', '', '00:00:01.123457', '']行 ['8', '2026-04-19 12:30:45', '2026-04-19 12:30:45.1', '2026-04-19 12:30:45.12', '2026-04-19 12:30:45.123', '2026-04-19 12:30:45.1234', '2026-04-19 12:30:45.1234', '2026-04-19 12:30:45.1234', '2026-04-19 12:30:45.1234']列，源：083df9cb0ee25c34dc91e9b5fde2eb74 备：ea173bcb3f398beaa3adfe55f9fc31c5</t>
        </is>
      </c>
      <c r="DP16" t="inlineStr">
        <is>
          <t>['25', 'A', 'VARIABLELENGTHBINA', 'TESTTESTTESTTESTTESTTESTTESTTESTTESTTESTTESTTESTTESTTESTTESTTESTTESTTESTTESTTESTTESTTESTTESTTESTTESTTESTTESTTESTTESTTESTTESTTESTTESTTESTTESTTESTTESTTESTTESTTESTTESTTESTTESTTESTTESTTESTTESTTESTTESTTEST']行 ['26',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8965e14aa12f64aa343dc46fa4aa6027 备：ec3aec7417efc9d0c9adb44634ac8663</t>
        </is>
      </c>
      <c r="DT16" t="inlineStr">
        <is>
          <t>['14', '', '', '', '', '1000000000000000', '100000000000000000000000000000000', '1', '9999999999999999999999.999999', '999999999999.999', '100000000000000', '999999999999999999999', '0.999999999999999999999999999', '999999999999999999999.999999', '9999999999.99', '', '', '', '', '']行 ['3', '', '', '', '', '', '', '', '', '', '', '', '', '', '', '', '', '', '', '']列，源：b197c452aea238e9c6c5e0c19446e315 备：3928921cf5611a846e657b0d459e50be</t>
        </is>
      </c>
      <c r="DV16" t="inlineStr">
        <is>
          <t>['15', '00:00:01', '', '00:00:01.12', '', '00:00:01.1235', '', '00:00:01.123457', '']行 ['58', '2026-04-19 12:30:45', '2026-04-19 12:30:45.1', '2026-04-19 12:30:45.12', '2026-04-19 12:30:45.123', '2026-04-19 12:30:45.1234', '2026-04-19 12:30:45.1234', '2026-04-19 12:30:45.1234', '2026-04-19 12:30:45.1234']列，源：083df9cb0ee25c34dc91e9b5fde2eb74 备：33a3560e39ba831d587bfc190a45cd5d</t>
        </is>
      </c>
      <c r="DX16" t="inlineStr">
        <is>
          <t>['14', '18:10:06', '18:10:06.1', '18:10:06.12', '18:10:06.123', '18:10:06.1235', '18:10:06.12346', '18:10:06.123457', '18:10:06.123456']行 ['7', '2026-04-19 18:10:06', '2026-04-19 18:10:06.1', '2026-04-19 18:10:06.12', '2026-04-19 18:10:06.123', '2026-04-19 18:10:06.1235', '2026-04-19 18:10:06.12346', '2026-04-19 18:10:06.123457', '2026-04-19 18:10:06.123456']列，源：d9bbb43780301ef86dbcbc25555804bb 备：8ae1b2ef0fd613627ae688ef2005f649</t>
        </is>
      </c>
      <c r="DZ16" t="inlineStr">
        <is>
          <t>['14', '', '12:00:00.1', '', '12:00:00.123', '', '12:00:00.12346', '', '12:00:00.123456']行 ['7', '2026-04-19 12:30:45', '2026-04-19 12:30:45.1', '2026-04-19 12:30:45.12', '2026-04-19 12:30:45.123', '2026-04-19 12:30:45.123', '2026-04-19 12:30:45.123', '2026-04-19 12:30:45.123', '2026-04-19 12:30:45.123']列，源：cd30bcf6b45d03f9b1e66e65760d9405 备：b217520f2cf410799933541ced01d776</t>
        </is>
      </c>
      <c r="EB16" t="inlineStr">
        <is>
          <t>['14', '', '', '', '', '1000000000000000', '100000000000000000000000000000000', '1', '9999999999999999999999.999999', '999999999999.999', '100000000000000', '999999999999999999999', '0.999999999999999999999999999', '999999999999999999999.999999', '9999999999.99', '', '', '', '', '']行 ['111', '', '', '', '', '', '', '', '', '', '', '', '', '', '', '', '', '', '', '']列，源：b197c452aea238e9c6c5e0c19446e315 备：0e9c62d6da3550c225351cea7835cd19</t>
        </is>
      </c>
      <c r="EH16" t="inlineStr">
        <is>
          <t>['21', '']行 ['177', '2000-05-1114:30:00']列，源：5f115c1225a9f62220f5bb9720947ad4 备：3133e83f677cedae9100194f3fc22802</t>
        </is>
      </c>
      <c r="EI16" t="inlineStr">
        <is>
          <t>['14', '', '', '', '', '1000000000000000', '100000000000000000000000000000000', '1', '9999999999999999999999.999999', '999999999999.999', '100000000000000', '999999999999999999999', '0.999999999999999999999999999', '999999999999999999999.999999', '9999999999.99', '', '', '', '', '']行 ['111', '', '', '', '', '', '', '', '', '', '', '', '', '', '', '', '', '', '', '']列，源：b197c452aea238e9c6c5e0c19446e315 备：0e9c62d6da3550c225351cea7835cd19</t>
        </is>
      </c>
      <c r="EJ16" t="inlineStr">
        <is>
          <t>['14', '', '', '', '', '1000000000000000', '100000000000000000000000000000000', '1', '9999999999999999999999.999999', '999999999999.999', '100000000000000', '999999999999999999999', '0.999999999999999999999999999', '999999999999999999999.999999', '9999999999.99', '', '', '', '', '']行 ['3', '', '', '', '', '', '', '', '', '', '', '', '', '', '', '', '', '', '', '']列，源：b197c452aea238e9c6c5e0c19446e315 备：3928921cf5611a846e657b0d459e50be</t>
        </is>
      </c>
      <c r="EK16" t="inlineStr">
        <is>
          <t>['57', 'T', 'HELLOWORLD', 'HELLOWORLDTESTDATA']行 ['55',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764dfbdfa837cd561c06f27c7a377d6 备：3f8a0462de209b4da5558d3f98052096</t>
        </is>
      </c>
    </row>
    <row r="17">
      <c r="B17" t="inlineStr">
        <is>
          <t>YES</t>
        </is>
      </c>
      <c r="C17" t="inlineStr">
        <is>
          <t>NULL</t>
        </is>
      </c>
      <c r="D17" t="inlineStr">
        <is>
          <t>NULL</t>
        </is>
      </c>
      <c r="E17" t="inlineStr">
        <is>
          <t>NULL</t>
        </is>
      </c>
      <c r="F17" t="inlineStr">
        <is>
          <t>NULL</t>
        </is>
      </c>
      <c r="G17" t="inlineStr">
        <is>
          <t>NULL</t>
        </is>
      </c>
      <c r="H17" t="inlineStr">
        <is>
          <t>NULL</t>
        </is>
      </c>
      <c r="I17" t="inlineStr">
        <is>
          <t>YES!PK__info_tex__3213E83FC3C2EBF1</t>
        </is>
      </c>
      <c r="J17" t="inlineStr">
        <is>
          <t>YES! 主键相关索引</t>
        </is>
      </c>
      <c r="K17" t="inlineStr">
        <is>
          <t xml:space="preserve"> NO!  	 id列源备映射错误，源端为int None位	期望更改为text	实际备端为int None位</t>
        </is>
      </c>
      <c r="Y17" t="inlineStr">
        <is>
          <t>['28', '2068-05-11 14:31:00']行 ['34', '2023-12-2523:59:00']列，源：2f341148ff878d871d2ed15b6452bc09 备：95ee71f02f0d89f265eea5cbd6de4307</t>
        </is>
      </c>
      <c r="AC17"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AH17" t="inlineStr">
        <is>
          <t>['16', '100', '', '123456', '1000000', '', '', '', '', '-888888.22', '', '', '', '', '', '0', '0', '203685477.5808', '1234.5678', '0']行 ['5', '100', '0', '123456', '1000000', '', '', '', '', '-888888.22', '', '', '', '', '', '0', '0', '203685477.5808', '', '0']列，源：a515e5d3b3a6a5dcb444e796b21aff31 备：216f8a1afcf2f0353c14b553ff487a27</t>
        </is>
      </c>
      <c r="AJ17" t="inlineStr">
        <is>
          <t>['16', '2002-06-11 23:59:59.993']行 ['23', '2025-01-0100:00:00.233']列，源：2f663f1de514e71a572978e479f4bcf8 备：40716dfdfa3eb606e6eebb32edf54dfa</t>
        </is>
      </c>
      <c r="AL17" t="inlineStr">
        <is>
          <t>['16', '2002-06-11 23:59:59.993']行 ['16', '2002-06-1123:59:59.993']列，源：2f663f1de514e71a572978e479f4bcf8 备：dd95e5ac1573694c264ae980ec79cc8e</t>
        </is>
      </c>
      <c r="AM17" t="inlineStr">
        <is>
          <t>['16', '2002-06-11 23:59:59.993']行 ['23', '2025-01-0100:00:00.233']列，源：2f663f1de514e71a572978e479f4bcf8 备：40716dfdfa3eb606e6eebb32edf54dfa</t>
        </is>
      </c>
      <c r="AN17" t="inlineStr">
        <is>
          <t>['16', '100', '0', '0', '0', '', '', '', '', '-888888.22', '', '', '', '', '', '0', '0', '203685477.5808', '1234.5678', '0']行 ['5', '100', '0', '0', '0', '99999', '', '', '', '-11111.34', '', '', '', '', '', '123.456789', '0', '203685477.5808', '', '1']列，源：356c5029ff09b49281cc963009db2aed 备：68fffadfc97212a451e47a43a9d5ab43</t>
        </is>
      </c>
      <c r="AO17" t="inlineStr">
        <is>
          <t>['16', '2002-06-11 23:59:59.993']行 ['118', '2004-12-2423:59:59.990']列，源：2f663f1de514e71a572978e479f4bcf8 备：6eb3241880f37c672d70974e23e13f8c</t>
        </is>
      </c>
      <c r="AP17" t="inlineStr">
        <is>
          <t>['15', '9999-12-31 23:59:59.997']行 ['22', '9999-12-3123:59:59.997']列，源：ed3bac107333a496a49e3bbe1f08b97e 备：a98176a796e0eb1aa022f657ad6d3848</t>
        </is>
      </c>
      <c r="AR17" t="inlineStr">
        <is>
          <t>['15', '2001-04-09 23:59:59.993']行 ['22', '2020-02-2919:27:31.123']列，源：0a6dcffcccec03fbf67900e2d0e8ae6d 备：0d2c81d484d9560c8d54113f344a3fec</t>
        </is>
      </c>
      <c r="AV17"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AZ17" t="inlineStr">
        <is>
          <t>['75', '9999-12-31 23:59:59', '9999-12-31 23:59:59.9', '9999-12-31 23:59:59.99', '9999-12-31 23:59:59.999', '9999-12-31 23:59:59.9999', '9999-12-31 23:59:59.99999', '9999-12-31 23:59:59.999999', '9999-12-31 23:59:59.999999']行 ['24', '0001-01-0100:00:00', '0001-01-0100:00:00.0', '0001-01-0100:00:00.00', '0001-01-0100:00:00.000', '0001-01-0100:00:00.0000', '0001-01-0100:00:00.00000', '0001-01-0100:00:00.000000', '0001-01-0100:00:00.0000000']列，源：85c80d2dfe79cb144d8d274ac59a69d6 备：4c653eebad603855995d256f02c1d65a</t>
        </is>
      </c>
      <c r="BC17" t="inlineStr">
        <is>
          <t>['107', '2065-05-11 14:30:45', '2065-05-11 14:30:45.1', '2065-05-11 14:30:45.12', '2065-05-11 14:30:45.123', '2065-05-11 14:30:45.1235', '2065-05-11 14:30:45.12346', '2065-05-11 14:30:45.123457', '2065-05-11 14:30:45.123456']行 ['56', '1945-05-1114:30:45', '1945-05-1114:30:45.1', '1945-05-1114:30:45.12', '1945-05-1114:30:45.123', '1945-05-1114:30:45.1235', '1945-05-1114:30:45.12346', '1945-05-1114:30:45.123457', '1945-05-1114:30:45.1234567']列，源：c02066866c8628ee1b21fa698de33685 备：c0dc7735ae2e6ed5ff012a67df46674a</t>
        </is>
      </c>
      <c r="BD17" t="inlineStr">
        <is>
          <t>['17', '', '', '', '', '', '', '', '', '', '', '', '', '', '', '-123456789000000002003480098325095514112', '-340282306073709652508363335590014353408', '-123456.789', '-1234.5678', '0']行 ['6', '127', '0', '0', '0', '', '', '', '', '', '', '', '', '', '', '', '', '', '', '']列，源：9b47f6be506be3570e101da80534e058 备：f293b4400b160d9dbdc652e472679876</t>
        </is>
      </c>
      <c r="BG17" t="inlineStr">
        <is>
          <t>['28',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d757587cd9022b1bb9571298a1b5d9e5 备：3655124e6fc1080cb076d34f1bcad784</t>
        </is>
      </c>
      <c r="BJ17"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BK17" t="inlineStr">
        <is>
          <t>['26',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['27',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4f22d1c51eedff86ab86d4f6ee83699 备：8f6748fb2b27555360abfb67dd7190f2</t>
        </is>
      </c>
      <c r="BS17" t="inlineStr">
        <is>
          <t>['23', '2026-04-1717:18:23+08:00', '2026-04-1717:18:22.8+08:00', '2026-04-1717:18:22.75+08:00', '2026-04-1717:18:22.755+08:00', '2026-04-1717:18:22.7550+08:00', '2026-04-1717:18:22.75495+08:00', '2026-04-1717:18:22.754952+08:00', '2026-04-1717:18:22.7549521+08:00']行 ['172', '1900-01-0100:00:00+00:00', '1900-01-0100:00:00.0+00:00', '1900-01-0100:00:00.00+00:00', '1900-01-0100:00:00.000+00:00', '1900-01-0100:00:00.0000+00:00', '1900-01-0100:00:00.00000+00:00', '1900-01-0100:00:00.000000+00:00', '1900-01-0100:00:00.0000000+00:00']列，源：3e263775147ac688fc27def3f03d3e0f 备：4b46a15454e20ef962357430635da097</t>
        </is>
      </c>
      <c r="BV17"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['54',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8b56621a6de586cd9073d7c28cca2c0 备：37ddfa937d612b2de3cf2d52fb1aae09</t>
        </is>
      </c>
      <c r="BW17" t="inlineStr">
        <is>
          <t>['54', '0001-01-0100:00:00+00:00', '0001-01-0100:00:00.0+00:00', '0001-01-0100:00:00.00+00:00', '0001-01-0100:00:00.000+00:00', '0001-01-0100:00:00.0000+00:00', '0001-01-0100:00:00.00000+00:00', '0001-01-0100:00:00.000000+00:00', '0001-01-0100:00:00.0000000+00:00']行 ['2', '1900-01-0100:00:00+00:00', '1900-01-0100:00:00.0+00:00', '1900-01-0100:00:00.00+00:00', '1900-01-0100:00:00.000+00:00', '1900-01-0100:00:00.0000+00:00', '1900-01-0100:00:00.00000+00:00', '1900-01-0100:00:00.000000+00:00', '1900-01-0100:00:00.0000000+00:00']列，源：64a4d74b27edbf055a31880b334d5497 备：a90945644d7e627bd23eb4243cc8ac03</t>
        </is>
      </c>
      <c r="CB17" t="inlineStr">
        <is>
          <t>['25', '2026-04-17']行 ['224', '9999-12-31 00:00:00']列，源：6af2a097574e3d26878c931fe4ae801d 备：317fa0135c9a0c2ee1468ff7f6b8b6cb</t>
        </is>
      </c>
      <c r="CH17" t="inlineStr">
        <is>
          <t>['61', '2068-06-01']行 ['4', '9999-12-31 00:00:00']列，源：2a1e4c8758d09ce74d5abc700d632712 备：b3a1b365b6444b4bc6269967e1c61896</t>
        </is>
      </c>
      <c r="CK17" t="inlineStr">
        <is>
          <t>['15', '', '', '', '', '', '', '', '', '', '', '', '', '', '', '', '', '9999.99', '1000', '']行 ['23', '', '', '', '-223456789012', '', '', '', '', '', '', '', '', '', '', '', '', '', '', '']列，源：a5a49824077b54039714fe3dac32e7fc 备：d20380855db30a8a452fc6a6576f8409</t>
        </is>
      </c>
      <c r="CV17" t="inlineStr">
        <is>
          <t>['16', '2002-06-11 23:59:59.993']行 ['23', '2025-01-0100:00:00.233']列，源：2f663f1de514e71a572978e479f4bcf8 备：40716dfdfa3eb606e6eebb32edf54dfa</t>
        </is>
      </c>
      <c r="CW17" t="inlineStr">
        <is>
          <t>['19', '', '', '', '', '', '', '', '', '', '', '', '', '', '', '', '', '-500000', '-20000', '']行 ['24', '', '', '', '', '', '', '', '', '', '', '', '', '', '', '', '', '', '', '1']列，源：ed94d0f128ddb403a48e117129bc9019 备：f555b656fed067d5becb83431f770618</t>
        </is>
      </c>
      <c r="DB17" t="inlineStr">
        <is>
          <t>['23', '2025-01-01 00:00:00.233']行 ['9', '1981-05-1114:30:59.000']列，源：1fd7bd783beb81c5b9475f1c25e46298 备：a56640e72f7bdf2350334a7020405913</t>
        </is>
      </c>
      <c r="DE17" t="inlineStr">
        <is>
          <t>['16', 'X', '𧿹䗪䒦𠀀', '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𧿹䗪䒦𠀀']行 ['9', 'Y', '上海英方股份有限公司', '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英方']列，源：c17ed741840e8494bb2af6e42e13afaf 备：7ccffbd5a396f4b5cd29d9cbd7039161</t>
        </is>
      </c>
      <c r="DF17" t="inlineStr">
        <is>
          <t>['16', '12:00:00', '', '12:00:00.12', '', '12:00:00.1235', '', '12:00:00.123457', '']行 ['9', '2026-04-19 12:30:45', '2026-04-19 12:30:45.1', '2026-04-19 12:30:45.12', '2026-04-19 12:30:45.123', '2026-04-19 12:30:45.1235', '2026-04-19 12:30:45.12345', '2026-04-19 12:30:45.12345', '2026-04-19 12:30:45.12345']列，源：c599a5b669cd2823a15668529d229884 备：cc85285a2c5fce7382f015e65be5b09e</t>
        </is>
      </c>
      <c r="DH17" t="inlineStr">
        <is>
          <t>['16', '12:00:00', '', '12:00:00.12', '', '12:00:00.1235', '', '12:00:00.123457', '']行 ['25', '2026-04-19 12:30:45', '2026-04-19 12:30:45.1', '2026-04-19 12:30:45.1', '2026-04-19 12:30:45.1', '2026-04-19 12:30:45.1', '2026-04-19 12:30:45.1', '2026-04-19 12:30:45.1', '2026-04-19 12:30:45.1']列，源：c599a5b669cd2823a15668529d229884 备：f88579e9d104ff558cfce283fda42d8c</t>
        </is>
      </c>
      <c r="DK17" t="inlineStr">
        <is>
          <t>['28',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d757587cd9022b1bb9571298a1b5d9e5 备：3655124e6fc1080cb076d34f1bcad784</t>
        </is>
      </c>
      <c r="DO17" t="inlineStr">
        <is>
          <t>['16', '12:00:00', '', '12:00:00.12', '', '12:00:00.1235', '', '12:00:00.123457', '']行 ['9', '2026-04-19 12:30:45', '2026-04-19 12:30:45.1', '2026-04-19 12:30:45.12', '2026-04-19 12:30:45.123', '2026-04-19 12:30:45.1235', '2026-04-19 12:30:45.12345', '2026-04-19 12:30:45.12345', '2026-04-19 12:30:45.12345']列，源：c599a5b669cd2823a15668529d229884 备：cc85285a2c5fce7382f015e65be5b09e</t>
        </is>
      </c>
      <c r="DP17" t="inlineStr">
        <is>
          <t>['26',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['27', '54', '48656C6C6F576F726C64', '48656C6C6F576F726C645465737444617461']列，源：ec3aec7417efc9d0c9adb44634ac8663 备：400e2c5311e173bfae28fe97f3a81449</t>
        </is>
      </c>
      <c r="DT17" t="inlineStr">
        <is>
          <t>['15',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'1']列，源：221d65c70706de8fe2f4d798e2ad9782 备：f33dd6220d6a33b0f77f242af814bd33</t>
        </is>
      </c>
      <c r="DV17" t="inlineStr">
        <is>
          <t>['16', '12:00:00', '', '12:00:00.12', '', '12:00:00.1235', '', '12:00:00.123457', '']行 ['59', '2026-04-19 12:30:45', '2026-04-19 12:30:45.1', '2026-04-19 12:30:45.12', '2026-04-19 12:30:45.123', '2026-04-19 12:30:45.1235', '2026-04-19 12:30:45.12345', '2026-04-19 12:30:45.12345', '2026-04-19 12:30:45.12345']列，源：c599a5b669cd2823a15668529d229884 备：85f1ce89afefa12b489464a7be57ef42</t>
        </is>
      </c>
      <c r="DX17" t="inlineStr">
        <is>
          <t>['15', '18:10:06', '18:10:06.1', '18:10:06.12', '18:10:06.123', '18:10:06.1235', '18:10:06.12346', '18:10:06.123457', '18:10:06.123456']行 ['8', '2026-04-19 18:10:06', '2026-04-19 18:10:06.1', '2026-04-19 18:10:06.12', '2026-04-19 18:10:06.123', '2026-04-19 18:10:06.1235', '2026-04-19 18:10:06.12346', '2026-04-19 18:10:06.123457', '2026-04-19 18:10:06.123456']列，源：e652f4bd96f393b06b709571ed111516 备：10b017df86808223f77d731e4e548b01</t>
        </is>
      </c>
      <c r="DZ17" t="inlineStr">
        <is>
          <t>['15', '00:00:01', '05:44:11.1', '00:00:01.12', '05:44:11.123', '00:00:01.1235', '05:44:11.12346', '00:00:01.123457', '05:44:11.123456']行 ['8', '2026-04-19 09:12:34', '2026-04-19 12:30:45.1', '2026-04-19 09:12:34.12', '2026-04-19 12:30:45.123', '2026-04-19 09:12:34.1235', '2026-04-19 12:30:45.1234', '2026-04-19 09:12:34.123457', '2026-04-19 12:30:45.1234']列，源：73b738220de4966c580f3e7422788789 备：4a7c098cf3e327865d45dbf78c6fb20f</t>
        </is>
      </c>
      <c r="EB17" t="inlineStr">
        <is>
          <t>['15', '', '', '', '', '0', '1', '0.000000000000000000000000001', '0.000000001', '0.0001', '0', '1', '0.000000000000000000000000000001', '0.000001', '0.01', '', '', '', '', '']行 ['112', '', '', '', '', '123', '12345678901234567890123789010000000', '0.1234567890123459012345678901', '123456789012367012345678.1246', '123456712345.6789', '988', '987654321098765410987654321100000000', '0.9876543210987432109876543211', '987654321098765432105432.1099', '1234567012456.78', '', '', '', '', '']列，源：221d65c70706de8fe2f4d798e2ad9782 备：555154e700796f22138e7f5810b8190c</t>
        </is>
      </c>
      <c r="EH17" t="inlineStr">
        <is>
          <t>['22', '1900-01-01 00:00:00']行 ['178', '2068-05-1114:31:00']列，源：0131c39e3a102c803fcac9a3c8884712 备：c0688a18e85f26068fc6799299c8df74</t>
        </is>
      </c>
      <c r="EI17" t="inlineStr">
        <is>
          <t>['15', '', '', '', '', '0', '1', '0.000000000000000000000000001', '0.000000001', '0.0001', '0', '1', '0.000000000000000000000000000001', '0.000001', '0.01', '', '', '', '', '']行 ['112', '', '', '', '', '123', '12345678901234567890123789010000000', '0.1234567890123459012345678901', '123456789012367012345678.1246', '123456712345.6789', '988', '987654321098765410987654321100000000', '0.9876543210987432109876543211', '987654321098765432105432.1099', '1234567012456.78', '', '', '', '', '']列，源：221d65c70706de8fe2f4d798e2ad9782 备：555154e700796f22138e7f5810b8190c</t>
        </is>
      </c>
      <c r="EJ17" t="inlineStr">
        <is>
          <t>['15',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'1']列，源：221d65c70706de8fe2f4d798e2ad9782 备：f33dd6220d6a33b0f77f242af814bd33</t>
        </is>
      </c>
      <c r="EK17" t="inlineStr">
        <is>
          <t>['58',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['56',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e8b56621a6de586cd9073d7c28cca2c0 备：4070d6b1231aa65ea7ee607349a8b999</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YES! 	 c_text列源备映射正确，源端为text 2147483647位	期望更改为text	实际备端为text 2147483647位</t>
        </is>
      </c>
      <c r="Y18" t="inlineStr">
        <is>
          <t>['29', '1981-05-11 14:31:00']行 ['4', '2079-06-0623:59:00']列，源：df9075a2d2be4a7a7164fe0cf8f3ce9d 备：a6d75d1a66b9d20659c081896ddd30ba</t>
        </is>
      </c>
      <c r="AH18" t="inlineStr">
        <is>
          <t>['17', '100', '', '123456', '1000000', '', '', '', '', '-888888.22', '', '', '', '', '', '0', '0', '203685477.5808', '-1234.5678', '0']行 ['6', '100', '255', '123456', '1000000', '', '', '', '', '-888888.22', '', '', '', '', '', '0', '0', '203685477.5808', '', '0']列，源：08c768aa084f17fe2cc5225368a6a53c 备：f38f995432b8725059966d54f86e0963</t>
        </is>
      </c>
      <c r="AJ18" t="inlineStr">
        <is>
          <t>['17', '2003-11-04 23:59:59.99']行 ['24', '2040-12-2523:59:59.997']列，源：02341580860e3a57bbc18b673f545bb1 备：9d4e593dd983c377e47b5784cb80c176</t>
        </is>
      </c>
      <c r="AL18" t="inlineStr">
        <is>
          <t>['17', '2003-11-04 23:59:59.99']行 ['160', '1996-03-0323:59:59.997']列，源：02341580860e3a57bbc18b673f545bb1 备：4ec28719008ea11072c69c8e66d9745a</t>
        </is>
      </c>
      <c r="AM18" t="inlineStr">
        <is>
          <t>['17', '2003-11-04 23:59:59.99']行 ['24', '2040-12-2523:59:59.997']列，源：02341580860e3a57bbc18b673f545bb1 备：9d4e593dd983c377e47b5784cb80c176</t>
        </is>
      </c>
      <c r="AN18" t="inlineStr">
        <is>
          <t>['17', '100', '0', '0', '0', '', '', '', '', '-888888.22', '', '', '', '', '', '0', '0', '203685477.5808', '-1234.5678', '0']行 ['6', '100', '0', '0', '0', '', '', '', '', '-888888.22', '', '', '', '', '', '0', '0', '203685477.5808', '', '0']列，源：ab6caec455a1d06ab279a1a0b031d31c 备：fa34ef8348a142d43c044712e3dd9bc4</t>
        </is>
      </c>
      <c r="AO18" t="inlineStr">
        <is>
          <t>['17', '2003-11-04 23:59:59.99']行 ['119', '1753-01-0200:00:00.000']列，源：02341580860e3a57bbc18b673f545bb1 备：490d76c1701d778a10154ee04bca5b59</t>
        </is>
      </c>
      <c r="AP18" t="inlineStr">
        <is>
          <t>['16', '9999-12-31 23:59:59.997']行 ['23', '9999-12-3123:59:59.997']列，源：3ac7d7990c2a7fbf082a01c23130ec11 备：5046b6e83ada479021dc903c9e6da338</t>
        </is>
      </c>
      <c r="AR18" t="inlineStr">
        <is>
          <t>['16', '2002-06-11 23:59:59.993']行 ['23', '2020-02-2919:27:31.123']列，源：2f663f1de514e71a572978e479f4bcf8 备：dcf9a3ff5fd669501f6e2b44f4def903</t>
        </is>
      </c>
      <c r="AZ18" t="inlineStr">
        <is>
          <t>['76', '1945-05-11 14:30:45', '1945-05-11 14:30:45.1', '1945-05-11 14:30:45.12', '1945-05-11 14:30:45.123', '1945-05-11 14:30:45.1235', '1945-05-11 14:30:45.12346', '1945-05-11 14:30:45.123457', '1945-05-11 14:30:45.123456']行 ['25', '9999-12-3123:59:59', '9999-12-3123:59:59.9', '9999-12-3123:59:59.99', '9999-12-3123:59:59.999', '9999-12-3123:59:59.9999', '9999-12-3123:59:59.99999', '9999-12-3123:59:59.999999', '9999-12-3123:59:59.9999999']列，源：a3e8eca93c5eb4736822d8d4f6bc4d68 备：fe335e2664b38b3b39cfb12625634af3</t>
        </is>
      </c>
      <c r="BC18" t="inlineStr">
        <is>
          <t>['203', '2026-04-17 17:17:33', '2026-04-17 17:17:33.4', '2026-04-17 17:17:33.41', '2026-04-17 17:17:33.413', '2026-04-17 17:17:33.4133', '2026-04-17 17:17:33.4133', '2026-04-17 17:17:33.413301', '2026-04-17 17:17:33.4133']行 ['57', '2065-05-1114:30:45', '2065-05-1114:30:45.1', '2065-05-1114:30:45.12', '2065-05-1114:30:45.123', '2065-05-1114:30:45.1235', '2065-05-1114:30:45.12346', '2065-05-1114:30:45.123457', '2065-05-1114:30:45.1234567']列，源：7ad4725ae2387645111581c55bb8439a 备：a26a9a1af963d47da860aad322948591</t>
        </is>
      </c>
      <c r="BD18" t="inlineStr">
        <is>
          <t>['18', '', '', '', '', '', '', '', '', '', '', '', '', '', '', '0', '0', '0.0001', '0.0001', '1']行 ['7', '255', '0', '0', '0', '99999', '', '', '', '-11111.34', '', '', '', '', '', '123.456789', '', '', '', '1']列，源：26edf2ac14a9b6c0b5c5fe4f69312474 备：7c98794c33c58b3b2893455f5c35e3e9</t>
        </is>
      </c>
      <c r="BG18" t="inlineStr">
        <is>
          <t>['71', '', '', '']行 ['6', 'Y', '€¶I€¶', '€¶I€¶€¶I€¶€¶I€¶€¶I€¶€¶I€¶€¶I€¶€¶I€¶€¶I€¶€¶I€¶€¶I€¶€¶I€¶€¶I€¶€¶I€¶€¶I€¶€¶I€¶€¶I€¶€¶I€¶€¶I€¶€¶I€¶€¶I€¶€¶I€¶€¶I€¶€¶I€¶€¶I€¶€¶I€¶€¶I€¶€¶I€¶€¶I€¶€¶I€¶€¶I€¶€¶I€¶€¶I€¶€¶I€¶€¶I€¶€¶I€¶€¶I€¶€¶I€¶€¶I€¶€¶I€¶€¶I€¶€¶I€¶€¶I€¶€¶I€¶€¶I€¶€¶I€¶€¶I€¶€¶I€¶€¶I€¶€¶I€¶€¶I€¶€¶I€¶€¶I€¶€¶I€¶€¶I€¶€¶I€¶€¶I€¶€¶I€¶€¶I€¶€¶I€¶€¶I€¶€¶I€¶€¶I€¶€¶I€¶€¶I€¶€¶I€¶€¶I€¶€¶I€¶€¶I€¶€¶I€¶€¶I€¶€¶I€¶€¶I€¶€¶I€¶€¶I€¶€¶I€¶€¶I€¶€¶I€¶€¶I€¶€¶I€¶€¶I€¶€¶I€¶€¶I€¶€¶I€¶€¶I€¶€¶I€¶€¶I€¶€¶I€¶€¶I€¶€¶I€¶€¶I€¶€¶I€¶€¶I€¶€¶I€¶€¶I€¶€¶I€¶€¶I€¶€¶I€¶€¶I€¶€¶I€¶€¶I€¶€¶I€¶€¶I€¶€¶I€¶€¶I€¶€¶I€¶€¶I€¶€¶I€¶€¶I€¶€¶I€¶€¶I€¶€¶I€¶€¶I€¶€¶I€¶€¶I€¶€¶I€¶€¶I€¶€¶I€¶€¶I€¶€¶I€¶€¶I€¶€¶I€¶€¶I€¶€¶I€¶€¶I€¶€¶I€¶€¶I€¶€¶I€¶€¶I€¶€¶I€¶€¶I€¶€¶I€¶€¶I€¶€¶I€¶€¶I€¶€¶I€¶€¶I€¶€¶I€¶€¶I€¶€¶I€¶€¶I€¶€¶I€¶€¶I€¶€¶I€¶€¶I€¶€¶I€¶€¶I€¶€¶I€¶€¶I€¶€¶I€¶€¶I€¶€¶I€¶€¶I€¶€¶I€¶€¶I€¶€¶I€¶€¶I€¶€¶I€¶€¶I€¶€¶I€¶€¶I€¶€¶I€¶€¶I€¶€¶I€¶€¶I€¶€¶I€¶€¶I€¶€¶I€¶€¶I€¶€¶I€¶€¶I€¶€¶I€¶€¶I€¶€¶I€¶€¶I€¶€¶I€¶€¶I€¶€¶I€¶€¶I€¶€¶I€¶€¶I€¶€¶I€¶€¶I€¶€¶I€¶€¶I€¶€¶I€¶€¶I€¶€¶I€¶€¶I€¶€¶I€¶€¶I€¶€¶I€¶€¶I€¶€¶I€¶€¶I€¶€¶I€¶€¶I€¶€¶I€¶€¶I€¶€¶I€¶€¶I€¶']列，源：e26533b75ce45b1857f2be7f20ea7bc8 备：64255d74302b42c08e97a6d2adada0ae</t>
        </is>
      </c>
      <c r="BK18" t="inlineStr">
        <is>
          <t>['27',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3398a8f5b365036b99d2f5e4f8bdd448 备：ee32379dea1c7adb04a464d9ca4fe854</t>
        </is>
      </c>
      <c r="BS18" t="inlineStr">
        <is>
          <t>['24', '0001-01-0100:00:00+00:00', '0001-01-0100:00:00.0+00:00', '0001-01-0100:00:00.00+00:00', '0001-01-0100:00:00.000+00:00', '0001-01-0100:00:00.0000+00:00', '0001-01-0100:00:00.00000+00:00', '0001-01-0100:00:00.000000+00:00', '0001-01-0100:00:00.0000000+00:00']行 ['173', '2026-04-1717:18:23+08:00', '2026-04-1717:18:22.8+08:00', '2026-04-1717:18:22.75+08:00', '2026-04-1717:18:22.755+08:00', '2026-04-1717:18:22.7550+08:00', '2026-04-1717:18:22.75495+08:00', '2026-04-1717:18:22.754952+08:00', '2026-04-1717:18:22.7549521+08:00']列，源：b52bdce13e7d3fcbad8612ba589edada 备：ab19ef4deabedfec65516970ded1c8c5</t>
        </is>
      </c>
      <c r="BV18" t="inlineStr">
        <is>
          <t>['59', '*', '~!@#%^&amp;*\x00\x00\x00\x00\x00\x00\x00\x00\x00\x00', '~!@#%^&amp;*~!@#%^&amp;*~!@#%^&amp;*~!@#%^&amp;*~!@#%^&amp;*~!@#%^&amp;*~!@#%^&amp;*~!@#%^&amp;*~!@#%^&amp;*~!@#%^&amp;*~!@#%^&amp;*~!@#%^&amp;*~!@#%^&amp;*~!@#%^&amp;*~!@#%^&amp;*~!@#%^&amp;*~!@#%^&amp;*~!@#%^&amp;*~!@#%^&amp;*~!@#%^&amp;*']行 ['55',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867739049255da31c7cc70bf1c24461a 备：3f8a0462de209b4da5558d3f98052096</t>
        </is>
      </c>
      <c r="BW18" t="inlineStr">
        <is>
          <t>['55', '9999-12-3123:59:59+00:00', '9999-12-3123:59:59.9+00:00', '9999-12-3123:59:59.99+00:00', '9999-12-3123:59:59.999+00:00', '9999-12-3123:59:59.9999+00:00', '9999-12-3123:59:59.99999+00:00', '9999-12-3123:59:59.999999+00:00', '9999-12-3123:59:59.9999999+00:00']行 ['203', '2026-04-1717:18:32+08:00', '2026-04-1717:18:31.5+08:00', '2026-04-1717:18:31.54+08:00', '2026-04-1717:18:31.537+08:00', '2026-04-1717:18:31.5370+08:00', '2026-04-1717:18:31.53698+08:00', '2026-04-1717:18:31.536981+08:00', '2026-04-1717:18:31.5369809+08:00']列，源：f6cdfdfb36f4df57796c9524ee07ff8d 备：05af51e3b6e1bf40c3e8d6955d08da57</t>
        </is>
      </c>
      <c r="CB18" t="inlineStr">
        <is>
          <t>['26', '2020-02-29']行 ['225', '2026-04-17 00:00:00']列，源：d95a27c8ceb6272a94225cb93f39c3c7 备：7158b6bf42c19b0fa9ce7b125f8aafde</t>
        </is>
      </c>
      <c r="CH18" t="inlineStr">
        <is>
          <t>['102', '1900-01-01']行 ['5', '2026-04-17 00:00:00']列，源：4b31e89fe627fdf5c9edc68c60dd4eda 备：a9d6f923ef723efde238d2495d243d08</t>
        </is>
      </c>
      <c r="CK18" t="inlineStr">
        <is>
          <t>['16', '', '', '', '', '', '', '', '', '', '', '', '', '', '', '', '', '1000000', '20000', '']行 ['24', '', '', '', '', '', '', '', '', '', '', '', '', '', '', '', '', '', '', '1']列，源：53bb6b251d0784fd651f203ce1d1ea98 备：f555b656fed067d5becb83431f770618</t>
        </is>
      </c>
      <c r="CV18" t="inlineStr">
        <is>
          <t>['17', '2003-11-04 23:59:59.99']行 ['24', '2040-12-2523:59:59.997']列，源：02341580860e3a57bbc18b673f545bb1 备：9d4e593dd983c377e47b5784cb80c176</t>
        </is>
      </c>
      <c r="CW18" t="inlineStr">
        <is>
          <t>['20', '222', '', '', '', '', '', '', '', '', '', '', '', '', '', '', '', '', '', '']行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'1']列，源：e8a293f3a806272c8d3f6829dcb8a08f 备：ca65e23965cd27b2c92221f252fcbc2c</t>
        </is>
      </c>
      <c r="DH18" t="inlineStr">
        <is>
          <t>['21', '', '', '', '', '', '', '', '']行 ['26', '2026-04-19 12:30:45', '2026-04-19 12:30:45.1', '2026-04-19 12:30:45.12', '2026-04-19 12:30:45.12', '2026-04-19 12:30:45.12', '2026-04-19 12:30:45.12', '2026-04-19 12:30:45.12', '2026-04-19 12:30:45.12']列，源：cc069b0555b1f248fd524f9713174ec2 备：4769c49224a98342267542e6423a9e16</t>
        </is>
      </c>
      <c r="DK18" t="inlineStr">
        <is>
          <t>['71', '', '', '']行 ['6', 'Y', '€¶I€¶', '€¶I€¶€¶I€¶€¶I€¶€¶I€¶€¶I€¶€¶I€¶€¶I€¶€¶I€¶€¶I€¶€¶I€¶€¶I€¶€¶I€¶€¶I€¶€¶I€¶€¶I€¶€¶I€¶€¶I€¶€¶I€¶€¶I€¶€¶I€¶€¶I€¶€¶I€¶€¶I€¶€¶I€¶€¶I€¶€¶I€¶€¶I€¶€¶I€¶€¶I€¶€¶I€¶€¶I€¶€¶I€¶€¶I€¶€¶I€¶€¶I€¶€¶I€¶€¶I€¶€¶I€¶€¶I€¶€¶I€¶€¶I€¶€¶I€¶€¶I€¶€¶I€¶€¶I€¶€¶I€¶€¶I€¶€¶I€¶€¶I€¶€¶I€¶€¶I€¶€¶I€¶€¶I€¶€¶I€¶€¶I€¶€¶I€¶€¶I€¶€¶I€¶€¶I€¶€¶I€¶€¶I€¶€¶I€¶€¶I€¶€¶I€¶€¶I€¶€¶I€¶€¶I€¶€¶I€¶€¶I€¶€¶I€¶€¶I€¶€¶I€¶€¶I€¶€¶I€¶€¶I€¶€¶I€¶€¶I€¶€¶I€¶€¶I€¶€¶I€¶€¶I€¶€¶I€¶€¶I€¶€¶I€¶€¶I€¶€¶I€¶€¶I€¶€¶I€¶€¶I€¶€¶I€¶€¶I€¶€¶I€¶€¶I€¶€¶I€¶€¶I€¶€¶I€¶€¶I€¶€¶I€¶€¶I€¶€¶I€¶€¶I€¶€¶I€¶€¶I€¶€¶I€¶€¶I€¶€¶I€¶€¶I€¶€¶I€¶€¶I€¶€¶I€¶€¶I€¶€¶I€¶€¶I€¶€¶I€¶€¶I€¶€¶I€¶€¶I€¶€¶I€¶€¶I€¶€¶I€¶€¶I€¶€¶I€¶€¶I€¶€¶I€¶€¶I€¶€¶I€¶€¶I€¶€¶I€¶€¶I€¶€¶I€¶€¶I€¶€¶I€¶€¶I€¶€¶I€¶€¶I€¶€¶I€¶€¶I€¶€¶I€¶€¶I€¶€¶I€¶€¶I€¶€¶I€¶€¶I€¶€¶I€¶€¶I€¶€¶I€¶€¶I€¶€¶I€¶€¶I€¶€¶I€¶€¶I€¶€¶I€¶€¶I€¶€¶I€¶€¶I€¶€¶I€¶€¶I€¶€¶I€¶€¶I€¶€¶I€¶€¶I€¶€¶I€¶€¶I€¶€¶I€¶€¶I€¶€¶I€¶€¶I€¶€¶I€¶€¶I€¶€¶I€¶€¶I€¶€¶I€¶€¶I€¶€¶I€¶€¶I€¶€¶I€¶€¶I€¶€¶I€¶€¶I€¶€¶I€¶€¶I€¶€¶I€¶€¶I€¶€¶I€¶€¶I€¶€¶I€¶€¶I€¶€¶I€¶€¶I€¶€¶I€¶€¶I€¶€¶I€¶€¶I€¶€¶I€¶€¶I€¶€¶I€¶€¶I€¶€¶I€¶€¶I€¶€¶I€¶']列，源：e26533b75ce45b1857f2be7f20ea7bc8 备：64255d74302b42c08e97a6d2adada0ae</t>
        </is>
      </c>
      <c r="DP18" t="inlineStr">
        <is>
          <t>['27', 'T', 'HELLOWORLD', 'HELLOWORLDTESTDATA']行 ['28',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c830d3f200fb69de06d70f5a51597ef 备：ee32379dea1c7adb04a464d9ca4fe854</t>
        </is>
      </c>
      <c r="DT18" t="inlineStr">
        <is>
          <t>['16', '', '', '', '', '', '', '', '', '', '', '', '', '', '', '123456789000000002003480098325095514112', '340282306073709652508363335590014353408', '123456.789', '1234.5678', '1']行 ['5', '0', '0', '0', '0', '', '', '', '', '', '', '', '', '', '', '', '', '', '', '']列，源：3438157f09e0f03dd18a5ed7d3b2efa2 备：61f2d024da6dc2a41105ba753fc689fe</t>
        </is>
      </c>
      <c r="DV18" t="inlineStr">
        <is>
          <t>['57', '12:30:45', '12:30:45.1', '12:30:45.12', '12:30:45.123', '12:30:45.123', '12:30:45.123', '12:30:45.123', '12:30:45.123']行 ['6', '2026-04-19 12:30:45', '2026-04-19 12:30:45.1', '2026-04-19 12:30:45.12', '2026-04-19 12:30:45.12', '2026-04-19 12:30:45.12', '2026-04-19 12:30:45.12', '2026-04-19 12:30:45.12', '2026-04-19 12:30:45.12']列，源：87fe339a2f53bab2c562a541e7b36819 备：0d78d5ad9e9aabb44dad5dadf55fdd23</t>
        </is>
      </c>
      <c r="DX18" t="inlineStr">
        <is>
          <t>['16', '18:10:06', '18:10:06.1', '18:10:06.12', '18:10:06.123', '18:10:06.1235', '18:10:06.12346', '18:10:06.123457', '18:10:06.123456']行 ['9', '2026-04-19 18:10:06', '2026-04-19 18:10:06.1', '2026-04-19 18:10:06.12', '2026-04-19 18:10:06.123', '2026-04-19 18:10:06.1235', '2026-04-19 18:10:06.12346', '2026-04-19 18:10:06.123457', '2026-04-19 18:10:06.123456']列，源：cb2cd7f46d11b1e5fc6797278ff6e535 备：b60d254630dd76e373318183a12b3367</t>
        </is>
      </c>
      <c r="DZ18" t="inlineStr">
        <is>
          <t>['16', '12:00:00', '05:44:11.1', '12:00:00.12', '05:44:11.123', '12:00:00.1235', '05:44:11.12346', '12:00:00.123457', '05:44:11.123456']行 ['9', '2026-04-19 12:30:45', '2026-04-19 12:30:45.1', '2026-04-19 12:30:45.12', '2026-04-19 12:30:45.123', '2026-04-19 12:30:45.1235', '2026-04-19 12:30:45.12345', '2026-04-19 12:30:45.12345', '2026-04-19 12:30:45.12345']列，源：8beaaa34262e810b5b3355be9f52a8dc 备：cc85285a2c5fce7382f015e65be5b09e</t>
        </is>
      </c>
      <c r="EB18" t="inlineStr">
        <is>
          <t>['16', '', '', '', '', '', '', '', '', '', '', '', '', '', '', '123456789000000002003480098325095514112', '340282306073709652508363335590014353408', '123456.789', '1234.5678', '1']行 ['113', '', '', '', '', '-457', '-123456780123456781234589012300000', '-0.4567890123479234567890145679', '-123456789012347890345678.9874', '-98743298765.4321', '-321', '-987654321096543210987654321100000000', '-0.1234569012345671234567890123', '-6543210976543287654321.098765', '-9876543210954.32', '', '', '', '', '']列，源：3438157f09e0f03dd18a5ed7d3b2efa2 备：1520ef6decf0e51364ee6f85eafca48f</t>
        </is>
      </c>
      <c r="EH18" t="inlineStr">
        <is>
          <t>['23', '1900-01-01 00:00:00']行 ['180', '2079-06-0523:59:00']列，源：31d6ee89b7541ebfeeb2ce5d49e3c90c 备：7e41ac676d7e667c0fcfd70f09ae9d96</t>
        </is>
      </c>
      <c r="EI18" t="inlineStr">
        <is>
          <t>['16', '', '', '', '', '', '', '', '', '', '', '', '', '', '', '123456789000000002003480098325095514112', '340282306073709652508363335590014353408', '123456.789', '1234.5678', '1']行 ['113', '', '', '', '', '-457', '-123456780123456781234589012300000', '-0.4567890123479234567890145679', '-123456789012347890345678.9874', '-98743298765.4321', '-321', '-987654321096543210987654321100000000', '-0.1234569012345671234567890123', '-6543210976543287654321.098765', '-9876543210954.32', '', '', '', '', '']列，源：3438157f09e0f03dd18a5ed7d3b2efa2 备：1520ef6decf0e51364ee6f85eafca48f</t>
        </is>
      </c>
      <c r="EJ18" t="inlineStr">
        <is>
          <t>['16', '', '', '', '', '', '', '', '', '', '', '', '', '', '', '123456789000000002003480098325095514112', '340282306073709652508363335590014353408', '123456.789', '1234.5678', '1']行 ['5', '0', '0', '0', '0', '', '', '', '', '', '', '', '', '', '', '', '', '', '', '']列，源：3438157f09e0f03dd18a5ed7d3b2efa2 备：61f2d024da6dc2a41105ba753fc689fe</t>
        </is>
      </c>
      <c r="EK18" t="inlineStr">
        <is>
          <t>['59', '*', '~!@#%^&amp;*', '~!@#%^&amp;*~!@#%^&amp;*~!@#%^&amp;*~!@#%^&amp;*~!@#%^&amp;*~!@#%^&amp;*~!@#%^&amp;*~!@#%^&amp;*~!@#%^&amp;*~!@#%^&amp;*~!@#%^&amp;*~!@#%^&amp;*~!@#%^&amp;*~!@#%^&amp;*~!@#%^&amp;*~!@#%^&amp;*~!@#%^&amp;*~!@#%^&amp;*~!@#%^&amp;*~!@#%^&amp;*']行 ['57', '54', '48656C6C6F576F726C64', '48656C6C6F576F726C645465737444617461']列，源：f130051e6c85c833d70406757bb0b951 备：fe18cf45f942cdc910ef9fbf7b521f39</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 xml:space="preserve"> NO!  	 c_ntext列源备映射错误，源端为ntext 2147483646位	期望更改为text	实际备端为ntext 2147483646位</t>
        </is>
      </c>
      <c r="Y19" t="inlineStr">
        <is>
          <t>['30', '2079-06-05 23:59:00']行 ['5', '2026-04-1717:16:00']列，源：080e1010419f12b0ee6166a6186e6b78 备：be6b23b6fba45bcdb910ba463af5fa65</t>
        </is>
      </c>
      <c r="AH19" t="inlineStr">
        <is>
          <t>['18', '100', '', '123456', '1000000', '', '', '', '', '-888888.22', '', '', '', '', '', '0', '0', '203685477.5808', '0.0001', '0']行 ['7', '100', '32767', '123456', '1000000', '', '', '', '', '-888888.22', '', '', '', '', '', '0', '0', '203685477.5808', '', '0']列，源：9acb512b23c7372422ea0e24e5de5074 备：ea3f520280a1280741e9d255690df641</t>
        </is>
      </c>
      <c r="AJ19" t="inlineStr">
        <is>
          <t>['18', '2004-12-24 23:59:59.99']行 ['3', '1753-01-0100:00:00.000']列，源：f3e582e7ca3490aebd76ed5e1f232325 备：1f4848cd916f07b757d44603eabcc57e</t>
        </is>
      </c>
      <c r="AL19" t="inlineStr">
        <is>
          <t>['18', '2004-12-24 23:59:59.99']行 ['161', '1997-04-0423:59:59.997']列，源：f3e582e7ca3490aebd76ed5e1f232325 备：cd65b48e4838c2047b62c11518faec63</t>
        </is>
      </c>
      <c r="AM19" t="inlineStr">
        <is>
          <t>['18', '2004-12-24 23:59:59.99']行 ['3', '1753-01-0100:00:00.000']列，源：f3e582e7ca3490aebd76ed5e1f232325 备：1f4848cd916f07b757d44603eabcc57e</t>
        </is>
      </c>
      <c r="AN19" t="inlineStr">
        <is>
          <t>['18', '100', '0', '0', '0', '', '', '', '', '-888888.22', '', '', '', '', '', '0', '0', '203685477.5808', '0.0001', '0']行 ['7', '100', '0', '0', '0', '', '', '', '', '-888888.22', '', '', '', '', '', '0', '0', '203685477.5808', '', '0']列，源：83298c732a6161b1801afa8e903c4ad4 备：ede9146a71413c91f87c3f532ef82c36</t>
        </is>
      </c>
      <c r="AO19" t="inlineStr">
        <is>
          <t>['18', '2004-12-24 23:59:59.99']行 ['12', '1998-05-0523:59:59.997']列，源：f3e582e7ca3490aebd76ed5e1f232325 备：65394b71d064d22da645116214f7e562</t>
        </is>
      </c>
      <c r="AP19" t="inlineStr">
        <is>
          <t>['17', '9999-12-31 23:59:59.997']行 ['24', '9999-12-3123:59:59.997']列，源：80cdf6dbacd64666b84b5d7a8126c32c 备：76f606026822d6766e4d12222fdf3a3d</t>
        </is>
      </c>
      <c r="AR19" t="inlineStr">
        <is>
          <t>['17', '2003-11-04 23:59:59.99']行 ['24', '2020-02-2919:27:31.123']列，源：02341580860e3a57bbc18b673f545bb1 备：1551e00c9adb5d4142e8d358baa64d7b</t>
        </is>
      </c>
      <c r="AZ19" t="inlineStr">
        <is>
          <t>['77', '2065-05-11 14:30:45', '2065-05-11 14:30:45.1', '2065-05-11 14:30:45.12', '2065-05-11 14:30:45.123', '2065-05-11 14:30:45.1235', '2065-05-11 14:30:45.12346', '2065-05-11 14:30:45.123457', '2065-05-11 14:30:45.123456']行 ['26', '1945-05-1114:30:45', '1945-05-1114:30:45.1', '1945-05-1114:30:45.12', '1945-05-1114:30:45.123', '1945-05-1114:30:45.1235', '1945-05-1114:30:45.12346', '1945-05-1114:30:45.123457', '1945-05-1114:30:45.1234567']列，源：ca08d62ab0ffb5d51003fbe8065111eb 备：f420198658c8a32364c4f7036568f881</t>
        </is>
      </c>
      <c r="BC19" t="inlineStr">
        <is>
          <t>['205', '9999-12-31 23:59:59', '9999-12-31 23:59:59.9', '9999-12-31 23:59:59.99', '9999-12-31 23:59:59.999', '9999-12-31 23:59:59.9999', '9999-12-31 23:59:59.99999', '9999-12-31 23:59:59.999999', '9999-12-31 23:59:59.999999']行 ['6', '1945-05-1114:30:45', '1945-05-1114:30:45.1', '1945-05-1114:30:45.12', '1945-05-1114:30:45.123', '1945-05-1114:30:45.1235', '1945-05-1114:30:45.12346', '1945-05-1114:30:45.123457', '1945-05-1114:30:45.1234567']列，源：ac5789b3f66365765401aace7e81c8de 备：0dde5b67e4b178c074601c932dfdb18e</t>
        </is>
      </c>
      <c r="BD19" t="inlineStr">
        <is>
          <t>['19', '', '', '', '', '', '', '', '', '', '', '', '', '', '', '340282346600000016151267322115014000640', '340282306073709652508363335590014353408', '922337203685477.5807', '214748.3647', '1']行 ['8', '0', '0', '0', '0', '99999', '', '', '', '-11111.34', '', '', '', '', '', '123.456789', '', '', '', '1']列，源：006afe1a87339ae24ba160a9084d0707 备：30443a3716874c1bf389761b9a5c5740</t>
        </is>
      </c>
      <c r="BG19" t="inlineStr">
        <is>
          <t>['72', '', '', '']行 ['7',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88a7c4e45003c36001966f7bb32b4ca4 备：7c1ca543e674eb963620327e44d2a28a</t>
        </is>
      </c>
      <c r="BK19"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['29',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fdb4645b4072da2909899283be63857d 备：160cbd251ef6fa62b658e6e46cf4129b</t>
        </is>
      </c>
      <c r="BS19" t="inlineStr">
        <is>
          <t>['25', '9999-12-3123:59:59+00:00', '9999-12-3123:59:59.9+00:00', '9999-12-3123:59:59.99+00:00', '9999-12-3123:59:59.999+00:00', '9999-12-3123:59:59.9999+00:00', '9999-12-3123:59:59.99999+00:00', '9999-12-3123:59:59.999999+00:00', '9999-12-3123:59:59.9999999+00:00']行 ['174', '0001-01-0100:00:00+00:00', '0001-01-0100:00:00.0+00:00', '0001-01-0100:00:00.00+00:00', '0001-01-0100:00:00.000+00:00', '0001-01-0100:00:00.0000+00:00', '0001-01-0100:00:00.00000+00:00', '0001-01-0100:00:00.000000+00:00', '0001-01-0100:00:00.0000000+00:00']列，源：d38c2babb7d0c88d8d414a54b371217c 备：5b4ed55984f4d43cb0f7ea05478afc52</t>
        </is>
      </c>
      <c r="BV19" t="inlineStr">
        <is>
          <t>['60', '*', '12345678901234567890', '12345678901234567890123456790000000000000000000000000000000000000000000000000000000000000000000000000000000000000000000000000000000000000000000000000000000000000000000000000000000000000000000000000000']行 ['56',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721f81f9f88460b7b0204efc33a3bbb5 备：c4f7b1bd87ca6813a5cffe89c912c1cb</t>
        </is>
      </c>
      <c r="BW19" t="inlineStr">
        <is>
          <t>['56', '2063-05-1110:30:45-04:00', '2063-05-1110:30:45.1-04:00', '2063-05-1110:30:45.12-04:00', '2063-05-1110:30:45.123-04:00', '2063-05-1110:30:45.1235-04:00', '2063-05-1110:30:45.12346-04:00', '2063-05-1110:30:45.123457-04:00', '2063-05-1110:30:45.1234567-04:00']行 ['205', '9999-12-3123:59:59+00:00', '9999-12-3123:59:59.9+00:00', '9999-12-3123:59:59.99+00:00', '9999-12-3123:59:59.999+00:00', '9999-12-3123:59:59.9999+00:00', '9999-12-3123:59:59.99999+00:00', '9999-12-3123:59:59.999999+00:00', '9999-12-3123:59:59.9999999+00:00']列，源：c37f4e4660345dcc79f8c31fc0c48492 备：a9223961ae3b2ccafbc8806de99b58fd</t>
        </is>
      </c>
      <c r="CB19" t="inlineStr">
        <is>
          <t>['27', '1970-01-01']行 ['229', '9999-12-30 00:00:00']列，源：15012b66545d3fcfc56f30de072ef063 备：8c4ed4d9fcd10ce3e1f540710852ba40</t>
        </is>
      </c>
      <c r="CH19" t="inlineStr">
        <is>
          <t>['103', '0001-01-01']行 ['57', '1970-01-01 00:00:00']列，源：90a9283f2186788d1a3e00163a3e1ff4 备：8d9c9d036ac7ac39714f9a0b34bd8c64</t>
        </is>
      </c>
      <c r="CK19" t="inlineStr">
        <is>
          <t>['17', '', '', '', '', '', '', '', '', '', '', '', '', '', '', '', '', '-0.01', '-0.01', '']行 ['3', '0', '0', '0', '0', '0', '0', '0', '0', '0', '0', '0', '0', '0', '0', '0', '0', '0', '0', '0']列，源：068cff75df7ed5a1f3895ed7aeb6f63f 备：94a38fb75b901313880508a383f37401</t>
        </is>
      </c>
      <c r="CV19" t="inlineStr">
        <is>
          <t>['18', '2004-12-24 23:59:59.99']行 ['3', '1753-01-0100:00:00.000']列，源：f3e582e7ca3490aebd76ed5e1f232325 备：1f4848cd916f07b757d44603eabcc57e</t>
        </is>
      </c>
      <c r="CW19" t="inlineStr">
        <is>
          <t>['21', '', '-22345', '', '', '', '', '', '', '', '', '', '', '', '', '', '', '', '', '']行 ['7', '', '', '', '', '', '', '-0.00000000000000000000000000000000000001', '', '', '', '', '', '', '', '', '', '', '', '']列，源：44cb956bc995ad5c2245a5c8b44e9bab 备：e15db39702c3b7aaab8f43796250abd1</t>
        </is>
      </c>
      <c r="DH19" t="inlineStr">
        <is>
          <t>['22', '00:00:00', '00:00:00', '00:00:00', '00:00:00', '00:00:00', '00:00:00', '00:00:00', '00:00:00']行 ['27', '2026-04-19 12:30:45', '2026-04-19 12:30:45.1', '2026-04-19 12:30:45.12', '2026-04-19 12:30:45.123', '2026-04-19 12:30:45.123', '2026-04-19 12:30:45.123', '2026-04-19 12:30:45.123', '2026-04-19 12:30:45.123']列，源：655d03f8180d9be87b2197f3a08d99d6 备：f70d4c41ed4f75d6270621137a54bb99</t>
        </is>
      </c>
      <c r="DK19" t="inlineStr">
        <is>
          <t>['72', '', '', '']行 ['7',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88a7c4e45003c36001966f7bb32b4ca4 备：7c1ca543e674eb963620327e44d2a28a</t>
        </is>
      </c>
      <c r="DP19" t="inlineStr">
        <is>
          <t>['28',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['29',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fdb4645b4072da2909899283be63857d 备：df3cb192b9ad25394db3b3bd7bc446ae</t>
        </is>
      </c>
      <c r="DT19" t="inlineStr">
        <is>
          <t>['17', '', '', '', '', '', '', '', '', '', '', '', '', '', '', '-123456789000000002003480098325095514112', '-340282306073709652508363335590014353408', '-123456.789', '-1234.5678', '0']行 ['6', '127', '255', '65535', '4294967295', '', '', '', '', '', '', '', '', '', '', '', '', '', '', '']列，源：9b47f6be506be3570e101da80534e058 备：d68f5721ae5db53f05856a030e641aba</t>
        </is>
      </c>
      <c r="DV19" t="inlineStr">
        <is>
          <t>['58', '12:30:45', '12:30:45.1', '12:30:45.12', '12:30:45.123', '12:30:45.1234', '12:30:45.1234', '12:30:45.1234', '12:30:45.1234']行 ['60', '2026-04-19 12:30:45', '2026-04-19 12:30:45.1', '2026-04-19 12:30:45.12', '2026-04-19 12:30:45.123', '2026-04-19 12:30:45.1235', '2026-04-19 12:30:45.12346', '2026-04-19 12:30:45.123456', '2026-04-19 12:30:45.123456']列，源：ae60d3616a36e7694c572d30b044c290 备：c768677317ee87534cbcf55de4a5e3e2</t>
        </is>
      </c>
      <c r="EB19" t="inlineStr">
        <is>
          <t>['17', '', '', '', '', '', '', '', '', '', '', '', '', '', '', '-123456789000000002003480098325095514112', '-340282306073709652508363335590014353408', '-123456.789', '-1234.5678', '0']行 ['114', '', '', '', '', '1000000000000000', '100000000000000000000000000000000', '1', '9999999999999999999999.999999', '999999999999.999', '100000000000000', '999999999999999999999', '0.999999999999999999999999999', '999999999999999999999.999999', '9999999999.99', '', '', '', '', '']列，源：9b47f6be506be3570e101da80534e058 备：25c08be186b753b29038abe16cc098a7</t>
        </is>
      </c>
      <c r="EH19" t="inlineStr">
        <is>
          <t>['24', '2079-06-06 23:59:00']行 ['183', '2025-05-1112:00:00']列，源：5304e9b51a1ddad335cb81519b275352 备：17c162e5c441c98518f7dde2b8ecf591</t>
        </is>
      </c>
      <c r="EI19" t="inlineStr">
        <is>
          <t>['17', '', '', '', '', '', '', '', '', '', '', '', '', '', '', '-123456789000000002003480098325095514112', '-340282306073709652508363335590014353408', '-123456.789', '-1234.5678', '0']行 ['114', '', '', '', '', '1000000000000000', '100000000000000000000000000000000', '1', '9999999999999999999999.999999', '999999999999.999', '100000000000000', '999999999999999999999', '0.999999999999999999999999999', '999999999999999999999.999999', '9999999999.99', '', '', '', '', '']列，源：9b47f6be506be3570e101da80534e058 备：25c08be186b753b29038abe16cc098a7</t>
        </is>
      </c>
      <c r="EJ19" t="inlineStr">
        <is>
          <t>['17', '', '', '', '', '', '', '', '', '', '', '', '', '', '', '-123456789000000002003480098325095514112', '-340282306073709652508363335590014353408', '-123456.789', '-1234.5678', '0']行 ['6', '127', '255', '65535', '4294967295', '', '', '', '', '', '', '', '', '', '', '', '', '', '', '']列，源：9b47f6be506be3570e101da80534e058 备：d68f5721ae5db53f05856a030e641aba</t>
        </is>
      </c>
      <c r="EK19" t="inlineStr">
        <is>
          <t>['60', '*', '12345678901234567890', '12345678901234567890123456790000000000000000000000000000000000000000000000000000000000000000000000000000000000000000000000000000000000000000000000000000000000000000000000000000000000000000000000000000']行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721f81f9f88460b7b0204efc33a3bbb5 备：a7b19777d528502d6b0c10fa105e373c</t>
        </is>
      </c>
    </row>
    <row r="20">
      <c r="A20" t="inlineStr">
        <is>
          <t>info_sdt_dml_batch2_pk_irp2</t>
        </is>
      </c>
      <c r="K20" t="inlineStr">
        <is>
          <t>[0;34m info_sdt_dml_batch2_pk_irp2 [0m源备字段数相同，源端字段：2 	备端字段2</t>
        </is>
      </c>
      <c r="W20" s="17">
        <f>HYPERLINK("#2026041919hbase0!Y2","NO 源备存在差异，共26个")</f>
        <v/>
      </c>
      <c r="X20">
        <f>A20</f>
        <v/>
      </c>
      <c r="Y20" t="inlineStr">
        <is>
          <t>['31', '1900-01-02 00:00:00']行 ['57', '2000-05-1114:30:00']列，源：e2281dc42997e2b4b4170835acc8a9c0 备：08e79de6ac8d27641921ff49e369178e</t>
        </is>
      </c>
      <c r="AH20" t="inlineStr">
        <is>
          <t>['19', '100', '', '123456', '1000000', '', '', '', '', '-888888.22', '', '', '', '', '', '0', '0', '203685477.5808', '214748.3647', '0']行 ['8', '100', '-32768', '123456', '1000000', '', '', '', '', '-888888.22', '', '', '', '', '', '0', '0', '203685477.5808', '', '0']列，源：223db9483e565be3bd9c49f919bca35a 备：701d239451c617250db375a08a417287</t>
        </is>
      </c>
      <c r="AJ20" t="inlineStr">
        <is>
          <t>['19', '1753-01-02 00:00:00']行 ['4', '9999-12-3123:59:59.997']列，源：783f56c5b29ea28647f9c698a9f9fb6a 备：85ad9edaf63f846e871418852039161f</t>
        </is>
      </c>
      <c r="AL20" t="inlineStr">
        <is>
          <t>['19', '1753-01-02 00:00:00']行 ['162', '1998-05-0523:59:59.997']列，源：783f56c5b29ea28647f9c698a9f9fb6a 备：fbfc55c29bfd7528190ea2c0f625555f</t>
        </is>
      </c>
      <c r="AM20" t="inlineStr">
        <is>
          <t>['19', '1753-01-02 00:00:00']行 ['4', '9999-12-3123:59:59.997']列，源：783f56c5b29ea28647f9c698a9f9fb6a 备：85ad9edaf63f846e871418852039161f</t>
        </is>
      </c>
      <c r="AN20" t="inlineStr">
        <is>
          <t>['19', '100', '0', '0', '0', '99999', '', '', '', '-11111.34', '', '', '', '', '', '123.456789', '0', '203685477.5808', '214748.3647', '1']行 ['8', '100', '0', '0', '0', '99999', '', '', '', '-11111.34', '', '', '', '', '', '123.456789', '0', '203685477.5808', '', '1']列，源：8f0d6007fe877a199ae935644af1052e 备：9b241547c3caabd069604d7eede0bbfe</t>
        </is>
      </c>
      <c r="AO20" t="inlineStr">
        <is>
          <t>['19', '1753-01-02 00:00:00']行 ['121', '2023-05-1100:00:00.123']列，源：783f56c5b29ea28647f9c698a9f9fb6a 备：ba8e8b7e46461a1752d5488eb5990a32</t>
        </is>
      </c>
      <c r="AP20" t="inlineStr">
        <is>
          <t>['18', '9999-12-31 23:59:59.997']行 ['3', '9999-12-3123:59:59.997']列，源：bc0b4094d0e3ffb41ae6912ca8a78e3b 备：bbe24d12a7cb118fe6a6e85a77e88b88</t>
        </is>
      </c>
      <c r="AR20" t="inlineStr">
        <is>
          <t>['18', '2004-12-24 23:59:59.99']行 ['3', '1753-01-0100:00:00.000']列，源：f3e582e7ca3490aebd76ed5e1f232325 备：1f4848cd916f07b757d44603eabcc57e</t>
        </is>
      </c>
      <c r="AZ20" t="inlineStr">
        <is>
          <t>['123', '2026-04-17 17:17:25', '2026-04-17 17:17:24.6', '2026-04-17 17:17:24.63', '2026-04-17 17:17:24.631', '2026-04-17 17:17:24.6306', '2026-04-17 17:17:24.63065', '2026-04-17 17:17:24.630647', '2026-04-17 17:17:24.630646']行 ['27', '2065-05-1114:30:45', '2065-05-1114:30:45.1', '2065-05-1114:30:45.12', '2065-05-1114:30:45.123', '2065-05-1114:30:45.1235', '2065-05-1114:30:45.12346', '2065-05-1114:30:45.123457', '2065-05-1114:30:45.1234567']列，源：c3f9fcada177d300549e3453378dba41 备：51e0c357b447686ebbacd6c67240483b</t>
        </is>
      </c>
      <c r="BC20" t="inlineStr">
        <is>
          <t>['207', '2065-05-11 14:30:45', '2065-05-11 14:30:45.1', '2065-05-11 14:30:45.12', '2065-05-11 14:30:45.123', '2065-05-11 14:30:45.1235', '2065-05-11 14:30:45.12346', '2065-05-11 14:30:45.123457', '2065-05-11 14:30:45.123456']行 ['7', '2065-05-1114:30:45', '2065-05-1114:30:45.1', '2065-05-1114:30:45.12', '2065-05-1114:30:45.123', '2065-05-1114:30:45.1235', '2065-05-1114:30:45.12346', '2065-05-1114:30:45.123457', '2065-05-1114:30:45.1234567']列，源：1c808d51d8f32ceda11c9c288df7ef2c 备：f6b1120e7d9c8b20be933fee4ab4d63b</t>
        </is>
      </c>
      <c r="BD20" t="inlineStr">
        <is>
          <t>['20', '', '', '', '', '', '', '', '', '', '', '', '', '', '', '-340282346600000016151267322115014000640', '-340282306073709652508363335590014353408', '-922337203685477.5808', '-214748.3648', '0']行 ['9', '42', '0', '0', '0', '99999', '', '', '', '-11111.34', '', '', '', '', '', '123.456789', '', '', '', '1']列，源：741e189a437c3bb338106470ab813776 备：d06bc89a5507e56b246dc210172e752b</t>
        </is>
      </c>
      <c r="BG20" t="inlineStr">
        <is>
          <t>['73',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['71', '', '', '']列，源：dbf3d193e8be3593baaf4ceff87e5f32 备：e26533b75ce45b1857f2be7f20ea7bc8</t>
        </is>
      </c>
      <c r="BK20" t="inlineStr">
        <is>
          <t>['29', '*', '~!@#%^&amp;*\x00\x00\x00\x00\x00\x00\x00\x00\x00\x00', '~!@#%^&amp;*~!@#%^&amp;*~!@#%^&amp;*~!@#%^&amp;*~!@#%^&amp;*~!@#%^&amp;*~!@#%^&amp;*~!@#%^&amp;*~!@#%^&amp;*~!@#%^&amp;*~!@#%^&amp;*~!@#%^&amp;*~!@#%^&amp;*~!@#%^&amp;*~!@#%^&amp;*~!@#%^&amp;*~!@#%^&amp;*~!@#%^&amp;*~!@#%^&amp;*~!@#%^&amp;*']行 ['3', '0', '0', '0']列，源：79b5da75ceab82ee7f3f350fdff61de5 备：33d78c2e485ebefc19151eea3b123459</t>
        </is>
      </c>
      <c r="BS20" t="inlineStr">
        <is>
          <t>['26', '2063-05-1110:30:45-04:00', '2063-05-1110:30:45.1-04:00', '2063-05-1110:30:45.12-04:00', '2063-05-1110:30:45.123-04:00', '2063-05-1110:30:45.1235-04:00', '2063-05-1110:30:45.12346-04:00', '2063-05-1110:30:45.123457-04:00', '2063-05-1110:30:45.1234567-04:00']行 ['177', '1933-05-1115:30:45+01:00', '1933-05-1115:30:45.1+01:00', '1933-05-1115:30:45.12+01:00', '1933-05-1115:30:45.123+01:00', '1933-05-1115:30:45.1235+01:00', '1933-05-1115:30:45.12346+01:00', '1933-05-1115:30:45.123457+01:00', '1933-05-1115:30:45.1234567+01:00']列，源：8c39f31d2c1ab2711cffe6260d7951c2 备：0aa78b290424301752b92f6686f31d71</t>
        </is>
      </c>
      <c r="BV20" t="inlineStr">
        <is>
          <t>['103',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['57',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8270ab8df75deaa52f1ece97c809d7b 备：824aed471b191c1e49546f1e09d60d64</t>
        </is>
      </c>
      <c r="BW20" t="inlineStr">
        <is>
          <t>['57', '1933-05-1115:30:45+01:00', '1933-05-1115:30:45.1+01:00', '1933-05-1115:30:45.12+01:00', '1933-05-1115:30:45.123+01:00', '1933-05-1115:30:45.1235+01:00', '1933-05-1115:30:45.12346+01:00', '1933-05-1115:30:45.123457+01:00', '1933-05-1115:30:45.1234567+01:00']行 ['206', '2063-05-1110:30:45-04:00', '2063-05-1110:30:45.1-04:00', '2063-05-1110:30:45.12-04:00', '2063-05-1110:30:45.123-04:00', '2063-05-1110:30:45.1235-04:00', '2063-05-1110:30:45.12346-04:00', '2063-05-1110:30:45.123457-04:00', '2063-05-1110:30:45.1234567-04:00']列，源：afbb6892727bcf5b3d350cbc35a702ee 备：7c12d00fe9de28e4295bfe8a0dfc30b6</t>
        </is>
      </c>
      <c r="CB20" t="inlineStr">
        <is>
          <t>['28', '0001-01-02']行 ['23', '0001-01-01 00:00:00']列，源：6fc7e648439931248ef787afeb663d71 备：fbe58eff865d8d4d0577af89f132377f</t>
        </is>
      </c>
      <c r="CH20" t="inlineStr">
        <is>
          <t>['106', '2020-02-29']行 ['58', '0001-01-02 00:00:00']列，源：0570f574ff867a1cc9fa1632df0ff7f1 备：90a9dc8a68fdfb56701a22a674bcd11b</t>
        </is>
      </c>
      <c r="CK20" t="inlineStr">
        <is>
          <t>['18', '', '', '', '', '', '', '', '', '', '', '', '', '', '', '', '', '-150.75', '-49.95', '']行 ['4', '', '', '', '', '', '', '', '', '', '', '', '', '', '', '', '', '', '', '']列，源：80caadae3ac31d4ecce4a0717dad902a 备：9884ede22802278acf6587e72be391c2</t>
        </is>
      </c>
      <c r="CV20" t="inlineStr">
        <is>
          <t>['19', '1753-01-02 00:00:00']行 ['4', '9999-12-3123:59:59.997']列，源：783f56c5b29ea28647f9c698a9f9fb6a 备：85ad9edaf63f846e871418852039161f</t>
        </is>
      </c>
      <c r="CW20" t="inlineStr">
        <is>
          <t>['23', '', '', '', '-223456789012', '', '', '', '', '', '', '', '', '', '', '', '', '', '', '']行 ['8', '', '', '', '', '', '', '', '0.0000000001', '', '', '', '', '', '', '', '', '', '', '']列，源：d20380855db30a8a452fc6a6576f8409 备：ed05300411ee9d84b81e4de3b6032e34</t>
        </is>
      </c>
      <c r="DH20" t="inlineStr">
        <is>
          <t>['23', '23:59:59', '23:59:59.9', '23:59:59.99', '23:59:59.999', '23:59:59.9999', '23:59:59.99999', '23:59:59.999999', '23:59:59.999999']行 ['28', '2026-04-19 12:30:45', '2026-04-19 12:30:45.1', '2026-04-19 12:30:45.12', '2026-04-19 12:30:45.123', '2026-04-19 12:30:45.1234', '2026-04-19 12:30:45.1234', '2026-04-19 12:30:45.1234', '2026-04-19 12:30:45.1234']列，源：d4f87cce44b630c0207c12ac9cd44f51 备：c85604b8598b24a918e8221eeddc7dd4</t>
        </is>
      </c>
      <c r="DK20" t="inlineStr">
        <is>
          <t>['73',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行 ['71', '', '', '']列，源：dbf3d193e8be3593baaf4ceff87e5f32 备：e26533b75ce45b1857f2be7f20ea7bc8</t>
        </is>
      </c>
      <c r="DP20" t="inlineStr">
        <is>
          <t>['29', '*', '~!@#%^&amp;*', '~!@#%^&amp;*~!@#%^&amp;*~!@#%^&amp;*~!@#%^&amp;*~!@#%^&amp;*~!@#%^&amp;*~!@#%^&amp;*~!@#%^&amp;*~!@#%^&amp;*~!@#%^&amp;*~!@#%^&amp;*~!@#%^&amp;*~!@#%^&amp;*~!@#%^&amp;*~!@#%^&amp;*~!@#%^&amp;*~!@#%^&amp;*~!@#%^&amp;*~!@#%^&amp;*~!@#%^&amp;*']行 ['3', '', '', '']列，源：b71c46bf39047930e9f61fff18d02f47 备：0b6be33b0c5115aa8db935a501447fdb</t>
        </is>
      </c>
      <c r="DT20" t="inlineStr">
        <is>
          <t>['18', '', '', '', '', '', '', '', '', '', '', '', '', '', '', '0', '0', '0.0001', '0.0001', '1']行 ['7', '255', '32767', '2147483647', '9223372036854775807', '', '', '', '', '', '', '', '', '', '', '', '', '', '', '']列，源：26edf2ac14a9b6c0b5c5fe4f69312474 备：40913b37c5e68ffe3e0791ff7ffc2253</t>
        </is>
      </c>
      <c r="DV20" t="inlineStr">
        <is>
          <t>['59', '12:30:45', '12:30:45.1', '12:30:45.12', '12:30:45.123', '12:30:45.1235', '12:30:45.12345', '12:30:45.12345', '12:30:45.12345']行 ['61', '2026-04-19 12:30:45', '2026-04-19 12:30:45.1', '2026-04-19 12:30:45.12', '2026-04-19 12:30:45.123', '2026-04-19 12:30:45.1235', '2026-04-19 12:30:45.12346', '2026-04-19 12:30:45.123457', '2026-04-19 12:30:45.123456']列，源：66c75c135e99943959eb6746c19c994e 备：623c137d16cea9aef80533590eb60b3d</t>
        </is>
      </c>
      <c r="EB20" t="inlineStr">
        <is>
          <t>['18', '', '', '', '', '', '', '', '', '', '', '', '', '', '', '0', '0', '0.0001', '0.0001', '1']行 ['115', '', '', '', '', '0', '1', '0.000000000000000000000000001', '0.000000001', '0.0001', '0', '1', '0.000000000000000000000000000001', '0.000001', '0.01', '', '', '', '', '']列，源：26edf2ac14a9b6c0b5c5fe4f69312474 备：d3c8af8c236c1f213d018163703d53f2</t>
        </is>
      </c>
      <c r="EH20" t="inlineStr">
        <is>
          <t>['25', '2026-04-17 17:15:00']行 ['184', '2023-12-2523:59:00']列，源：c3747f2e95a04b02c591ea5638bd3b4f 备：82224270c95d30ab39639c9c24736ada</t>
        </is>
      </c>
      <c r="EI20" t="inlineStr">
        <is>
          <t>['18', '', '', '', '', '', '', '', '', '', '', '', '', '', '', '0', '0', '0.0001', '0.0001', '1']行 ['115', '', '', '', '', '0', '1', '0.000000000000000000000000001', '0.000000001', '0.0001', '0', '1', '0.000000000000000000000000000001', '0.000001', '0.01', '', '', '', '', '']列，源：26edf2ac14a9b6c0b5c5fe4f69312474 备：d3c8af8c236c1f213d018163703d53f2</t>
        </is>
      </c>
      <c r="EJ20" t="inlineStr">
        <is>
          <t>['18', '', '', '', '', '', '', '', '', '', '', '', '', '', '', '0', '0', '0.0001', '0.0001', '1']行 ['7', '255', '32767', '2147483647', '9223372036854775807', '', '', '', '', '', '', '', '', '', '', '', '', '', '', '']列，源：26edf2ac14a9b6c0b5c5fe4f69312474 备：40913b37c5e68ffe3e0791ff7ffc2253</t>
        </is>
      </c>
      <c r="EK20" t="inlineStr">
        <is>
          <t>['103', '', '', '']行 ['59',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00bfa3d0cb3871c495026963a48e4bca 备：a8c63b42cce2f86d0dd42aa967ba1622</t>
        </is>
      </c>
    </row>
    <row r="21">
      <c r="B21" t="inlineStr">
        <is>
          <t>YES</t>
        </is>
      </c>
      <c r="C21" t="inlineStr">
        <is>
          <t>NULL</t>
        </is>
      </c>
      <c r="D21" t="inlineStr">
        <is>
          <t>NULL</t>
        </is>
      </c>
      <c r="E21" t="inlineStr">
        <is>
          <t>NULL</t>
        </is>
      </c>
      <c r="F21" t="inlineStr">
        <is>
          <t>NULL</t>
        </is>
      </c>
      <c r="G21" t="inlineStr">
        <is>
          <t>NULL</t>
        </is>
      </c>
      <c r="H21" t="inlineStr">
        <is>
          <t>NULL</t>
        </is>
      </c>
      <c r="I21" t="inlineStr">
        <is>
          <t>YES!PK__info_sdt__3213E83F81481F05</t>
        </is>
      </c>
      <c r="J21" t="inlineStr">
        <is>
          <t>YES! 主键相关索引</t>
        </is>
      </c>
      <c r="K21" t="inlineStr">
        <is>
          <t xml:space="preserve"> NO!  	 id列源备映射错误，源端为int None位	期望更改为text	实际备端为int None位</t>
        </is>
      </c>
      <c r="Y21" t="inlineStr">
        <is>
          <t>['32', '1990-11-26 00:01:00']行 ['58', '2068-05-1114:31:00']列，源：ac9552e18a826719a4625b3a7086207d 备：259967d6d632d22bd9e3fd1257dc8805</t>
        </is>
      </c>
      <c r="AH21" t="inlineStr">
        <is>
          <t>['20', '100', '', '123456', '1000000', '', '', '', '', '-888888.22', '', '', '', '', '', '0', '0', '203685477.5808', '-214748.3648', '0']行 ['9', '100', '12345', '123456', '1000000', '', '', '', '', '-888888.22', '', '', '', '', '', '0', '0', '203685477.5808', '', '0']列，源：373db987a4a42ed9312f088030a43178 备：a4c1a6fe4e0842d1de33eacac45c75c4</t>
        </is>
      </c>
      <c r="AJ21" t="inlineStr">
        <is>
          <t>['20', '9999-12-30 23:59:59.997']行 ['5', '2026-04-1717:16:23.090']列，源：a4da7fd3f9d91263ee39f94c275b1ad2 备：8fb665b227add33ce48428002c3e4e96</t>
        </is>
      </c>
      <c r="AL21" t="inlineStr">
        <is>
          <t>['20', '9999-12-30 23:59:59.997']行 ['163', '1999-06-0623:59:59.997']列，源：a4da7fd3f9d91263ee39f94c275b1ad2 备：e589fdf6200c6d5e9118902e32a8a519</t>
        </is>
      </c>
      <c r="AM21" t="inlineStr">
        <is>
          <t>['20', '9999-12-30 23:59:59.997']行 ['5', '2026-04-1717:16:32.183']列，源：a4da7fd3f9d91263ee39f94c275b1ad2 备：27dc104123b40c2b4b747b9cd11aff3e</t>
        </is>
      </c>
      <c r="AN21" t="inlineStr">
        <is>
          <t>['20', '100', '0', '0', '0', '', '', '', '', '-888888.22', '', '', '', '', '', '0', '0', '203685477.5808', '-214748.3648', '0']行 ['9', '100', '0', '0', '0', '', '', '', '', '-888888.22', '', '', '', '', '', '0', '0', '203685477.5808', '', '0']列，源：03fccbe7bba7e28cdeb2a2a8ab103399 备：5587e6cbcaef8f1d48eab25bf9df7991</t>
        </is>
      </c>
      <c r="AO21" t="inlineStr">
        <is>
          <t>['20', '9999-12-30 23:59:59.997']行 ['122', '2024-05-1112:00:00.567']列，源：a4da7fd3f9d91263ee39f94c275b1ad2 备：2a99798f5efd07d412c84b84933b42c8</t>
        </is>
      </c>
      <c r="AP21" t="inlineStr">
        <is>
          <t>['19', '9999-12-31 23:59:59.997']行 ['4', '9999-12-3123:59:59.997']列，源：ea01302ca210dd5331374812f11bf695 备：85ad9edaf63f846e871418852039161f</t>
        </is>
      </c>
      <c r="AR21" t="inlineStr">
        <is>
          <t>['19', '1753-01-02 00:00:00']行 ['4', '1753-01-0100:00:00.000']列，源：783f56c5b29ea28647f9c698a9f9fb6a 备：e366b2238eceb902b926491de87d902e</t>
        </is>
      </c>
      <c r="AZ21" t="inlineStr">
        <is>
          <t>['125', '9999-12-31 23:59:59', '9999-12-31 23:59:59.9', '9999-12-31 23:59:59.99', '9999-12-31 23:59:59.999', '9999-12-31 23:59:59.9999', '9999-12-31 23:59:59.99999', '9999-12-31 23:59:59.999999', '9999-12-31 23:59:59.999999']行 ['275', '9999-12-3123:59:59', '9999-12-3123:59:59.9', '9999-12-3123:59:59.99', '9999-12-3123:59:59.999', '9999-12-3123:59:59.9999', '9999-12-3123:59:59.99999', '9999-12-3123:59:59.999999', '9999-12-3123:59:59.9999999']列，源：ffc2618483fff9a5970eab20a7fae875 备：825e01aa3007af7888d52a0a0da75a5e</t>
        </is>
      </c>
      <c r="BG21" t="inlineStr">
        <is>
          <t>['74',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['72', '', '', '']列，源：2705577fcacd46f4130a3a8674655234 备：88a7c4e45003c36001966f7bb32b4ca4</t>
        </is>
      </c>
      <c r="BK21" t="inlineStr">
        <is>
          <t>['30', '*', '12345678901234567890', '12345678901234567890123456790000000000000000000000000000000000000000000000000000000000000000000000000000000000000000000000000000000000000000000000000000000000000000000000000000000000000000000000000000']行 ['30',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6416b11a6ad211b8769d7d072c4e4 备：3945c7b61e5c8c7bfaa7c189299c5789</t>
        </is>
      </c>
      <c r="BS21" t="inlineStr">
        <is>
          <t>['27', '1933-05-1115:30:45+01:00', '1933-05-1115:30:45.1+01:00', '1933-05-1115:30:45.12+01:00', '1933-05-1115:30:45.123+01:00', '1933-05-1115:30:45.1235+01:00', '1933-05-1115:30:45.12346+01:00', '1933-05-1115:30:45.123457+01:00', '1933-05-1115:30:45.1234567+01:00']行 ['178', '2000-05-1100:30:45+09:00', '2000-05-1100:30:45.1+09:00', '2000-05-1100:30:45.12+09:00', '2000-05-1100:30:45.123+09:00', '2000-05-1100:30:45.1235+09:00', '2000-05-1100:30:45.12346+09:00', '2000-05-1100:30:45.123457+09:00', '2000-05-1100:30:45.1234567+09:00']列，源：a5010756b7b397e6d40fda43a17484ec 备：d020e7f3165fa8933307912361fbf457</t>
        </is>
      </c>
      <c r="BV21" t="inlineStr">
        <is>
          <t>['104', '', '', '']行 ['58',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15569248a92b514107585a745802d2ff 备：a7b19777d528502d6b0c10fa105e373c</t>
        </is>
      </c>
      <c r="BW21" t="inlineStr">
        <is>
          <t>['58', '2000-05-1100:30:45+09:00', '2000-05-1100:30:45.1+09:00', '2000-05-1100:30:45.12+09:00', '2000-05-1100:30:45.123+09:00', '2000-05-1100:30:45.1235+09:00', '2000-05-1100:30:45.12346+09:00', '2000-05-1100:30:45.123457+09:00', '2000-05-1100:30:45.1234567+09:00']行 ['3', '2026-04-1717:18:32+08:00', '2026-04-1717:18:31.5+08:00', '2026-04-1717:18:31.54+08:00', '2026-04-1717:18:31.537+08:00', '2026-04-1717:18:31.5370+08:00', '2026-04-1717:18:31.53698+08:00', '2026-04-1717:18:31.536981+08:00', '2026-04-1717:18:31.5369809+08:00']列，源：43df157c9a94d9b0ca1b6325f211e985 备：0efec4c4a33512935b692ea911746a9a</t>
        </is>
      </c>
      <c r="CB21" t="inlineStr">
        <is>
          <t>['29', '9999-12-30']行 ['231', '2068-06-01 00:00:00']列，源：f5823ef0b0ebe62961d78822b85bc196 备：9e5ab4df36481aeeebd6c105e1b73a17</t>
        </is>
      </c>
      <c r="CH21" t="inlineStr">
        <is>
          <t>['107', '1970-01-01']行 ['59', '9999-12-30 00:00:00']列，源：44d96d948bb1d44d7bf2a424e56ce0c6 备：68f2d1cf6ffa9d23c87b2bb335b1d86d</t>
        </is>
      </c>
      <c r="CK21" t="inlineStr">
        <is>
          <t>['19', '', '', '', '', '', '', '', '', '', '', '', '', '', '', '', '', '-500000', '-20000', '']行 ['5',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'1']列，源：ed94d0f128ddb403a48e117129bc9019 备：ca65e23965cd27b2c92221f252fcbc2c</t>
        </is>
      </c>
      <c r="CV21" t="inlineStr">
        <is>
          <t>['20', '9999-12-30 23:59:59.997']行 ['5', '2026-04-1716:53:49.210']列，源：a4da7fd3f9d91263ee39f94c275b1ad2 备：28dab9eefb228bc93baeafa89b25c6c5</t>
        </is>
      </c>
      <c r="CW21" t="inlineStr">
        <is>
          <t>['24', '', '', '', '', '', '', '', '', '', '', '', '', '', '', '', '', '', '', '1']行 ['9', '', '', '', '', '', '', '', '-0.0000000001', '', '', '', '', '', '', '', '', '', '', '']列，源：f555b656fed067d5becb83431f770618 备：a3fad7ea8e5ea60f0a4b941f41897462</t>
        </is>
      </c>
      <c r="DH21" t="inlineStr">
        <is>
          <t>['24', '12:30:45', '12:30:45', '12:30:45', '12:30:45', '12:30:45', '12:30:45', '12:30:45', '12:30:45']行 ['29', '2026-04-19 12:30:45', '2026-04-19 12:30:45.1', '2026-04-19 12:30:45.12', '2026-04-19 12:30:45.123', '2026-04-19 12:30:45.1235', '2026-04-19 12:30:45.12345', '2026-04-19 12:30:45.12345', '2026-04-19 12:30:45.12345']列，源：c01ae5e5261c5c0ae25d66341eee91de 备：bf1c7697a5ace4b7364674a3d2bd23e7</t>
        </is>
      </c>
      <c r="DK21" t="inlineStr">
        <is>
          <t>['74',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行 ['72', '', '', '']列，源：2705577fcacd46f4130a3a8674655234 备：88a7c4e45003c36001966f7bb32b4ca4</t>
        </is>
      </c>
      <c r="DP21" t="inlineStr">
        <is>
          <t>['30', '*', '12345678901234567890', '12345678901234567890123456790000000000000000000000000000000000000000000000000000000000000000000000000000000000000000000000000000000000000000000000000000000000000000000000000000000000000000000000000000']行 ['30',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6416b11a6ad211b8769d7d072c4e4 备：3945c7b61e5c8c7bfaa7c189299c5789</t>
        </is>
      </c>
      <c r="DT21" t="inlineStr">
        <is>
          <t>['19', '', '', '', '', '', '', '', '', '', '', '', '', '', '', '340282346600000016151267322115014000640', '340282306073709652508363335590014353408', '922337203685477.5807', '214748.3647', '1']行 ['8', '0', '-32768', '-2147483648', '-9223372036854775808', '', '', '', '', '', '', '', '', '', '', '', '', '', '', '']列，源：006afe1a87339ae24ba160a9084d0707 备：1edc4e058b537207b894fced26cb6684</t>
        </is>
      </c>
      <c r="DV21" t="inlineStr">
        <is>
          <t>['60', '12:30:45', '12:30:45.1', '12:30:45.12', '12:30:45.123', '12:30:45.1235', '12:30:45.12346', '12:30:45.123456', '12:30:45.123456']行 ['62', '2026-04-19 23:59:59', '2026-04-19 23:59:59.1', '2026-04-19 23:59:59.12', '2026-04-19 23:59:59.123', '2026-04-19 23:59:59.1235', '2026-04-19 23:59:59.12346', '2026-04-19 23:59:59.123457', '2026-04-19 23:59:59.123456']列，源：6855130b8c1fd5d997144d6ad8550ecc 备：74d306664f443f550b0da796a7aae8c5</t>
        </is>
      </c>
      <c r="EB21" t="inlineStr">
        <is>
          <t>['19', '', '', '', '', '', '', '', '', '', '', '', '', '', '', '340282346600000016151267322115014000640', '340282306073709652508363335590014353408', '922337203685477.5807', '214748.3647', '1']行 ['116', '', '', '', '', '', '', '', '', '', '', '', '', '', '', '', '', '', '', '']列，源：006afe1a87339ae24ba160a9084d0707 备：182e8cb07fc0623c0476a440f94b8108</t>
        </is>
      </c>
      <c r="EH21" t="inlineStr">
        <is>
          <t>['26', '2020-03-01 00:00:00']行 ['2', '1900-01-0100:00:00']列，源：b88ca7354e4355bcd2176ec1570b3042 备：8a27d30f89932093302399e7f8998c9c</t>
        </is>
      </c>
      <c r="EI21" t="inlineStr">
        <is>
          <t>['19', '', '', '', '', '', '', '', '', '', '', '', '', '', '', '340282346600000016151267322115014000640', '340282306073709652508363335590014353408', '922337203685477.5807', '214748.3647', '1']行 ['116', '', '', '', '', '', '', '', '', '', '', '', '', '', '', '', '', '', '', '']列，源：006afe1a87339ae24ba160a9084d0707 备：182e8cb07fc0623c0476a440f94b8108</t>
        </is>
      </c>
      <c r="EJ21" t="inlineStr">
        <is>
          <t>['19', '', '', '', '', '', '', '', '', '', '', '', '', '', '', '340282346600000016151267322115014000640', '340282306073709652508363335590014353408', '922337203685477.5807', '214748.3647', '1']行 ['8', '0', '-32768', '-2147483648', '-9223372036854775808', '', '', '', '', '', '', '', '', '', '', '', '', '', '', '']列，源：006afe1a87339ae24ba160a9084d0707 备：1edc4e058b537207b894fced26cb6684</t>
        </is>
      </c>
      <c r="EK21" t="inlineStr">
        <is>
          <t>['104', '', '', '']行 ['6', '5C',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列，源：15569248a92b514107585a745802d2ff 备：7c6bda8ac607acd38287cfdc6198af48</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c_sdt列源备映射错误，源端为smalldatetime None位	期望更改为text	实际备端为smalldatetime None位</t>
        </is>
      </c>
      <c r="Y22" t="inlineStr">
        <is>
          <t>['33', '2025-05-11 12:00:00']行 ['6', '2020-03-0100:00:00']列，源：40669dbf49c38674630f04623d04a9a1 备：41de459b8773593bb76d513eb095eeff</t>
        </is>
      </c>
      <c r="AJ22" t="inlineStr">
        <is>
          <t>['21', '2023-05-11 00:00:00.123']行 ['6', '2020-02-2919:27:31.123']列，源：770b4b27a8cca201e907cf9fd17c5229 备：f2c01baff4fc04ec34920a33b33fd327</t>
        </is>
      </c>
      <c r="AL22" t="inlineStr">
        <is>
          <t>['21', '2023-05-11 00:00:00.123']行 ['164', '2000-05-0123:59:59.993']列，源：770b4b27a8cca201e907cf9fd17c5229 备：2dfd9dfe4ae3b7ed21e9bb8c789084d0</t>
        </is>
      </c>
      <c r="AM22" t="inlineStr">
        <is>
          <t>['21', '2023-05-11 00:00:00.123']行 ['6', '2020-02-2919:27:31.123']列，源：770b4b27a8cca201e907cf9fd17c5229 备：f2c01baff4fc04ec34920a33b33fd327</t>
        </is>
      </c>
      <c r="AO22" t="inlineStr">
        <is>
          <t>['21', '2023-05-11 00:00:00.123']行 ['123', '2025-01-0100:00:00.233']列，源：770b4b27a8cca201e907cf9fd17c5229 备：83dd1133f2760f7a73bd7a4a9fd2bb0f</t>
        </is>
      </c>
      <c r="AP22" t="inlineStr">
        <is>
          <t>['20', '9999-12-31 23:59:59.997']行 ['5', '9999-12-3123:59:59.997']列，源：b5a7bb48867db741a7e147c30a797b80 备：ba119a8fb381541b3d4a22e2e1ba3a17</t>
        </is>
      </c>
      <c r="AR22" t="inlineStr">
        <is>
          <t>['20', '2020-02-29 19:27:31.123']行 ['5', '2020-02-2919:27:31.123']列，源：e9be89f45315a2b91c8434adfa4c99e4 备：18f95b36b51b92e657fb9b4441f8264a</t>
        </is>
      </c>
      <c r="AZ22" t="inlineStr">
        <is>
          <t>['126', '1945-05-11 14:30:45', '1945-05-11 14:30:45.1', '1945-05-11 14:30:45.12', '1945-05-11 14:30:45.123', '1945-05-11 14:30:45.1235', '1945-05-11 14:30:45.12346', '1945-05-11 14:30:45.123457', '1945-05-11 14:30:45.123456']行 ['277', '2065-05-1114:30:45', '2065-05-1114:30:45.1', '2065-05-1114:30:45.12', '2065-05-1114:30:45.123', '2065-05-1114:30:45.1235', '2065-05-1114:30:45.12346', '2065-05-1114:30:45.123457', '2065-05-1114:30:45.1234567']列，源：b9e684853e76ff7f982abd972b8bb15e 备：c935eff208a82e3ab6687b2302936035</t>
        </is>
      </c>
      <c r="BG22" t="inlineStr">
        <is>
          <t>['75',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ed6e0ba3698c6eb4ba2da0db8c94cdd1 备：dbf3d193e8be3593baaf4ceff87e5f32</t>
        </is>
      </c>
      <c r="BK22" t="inlineStr">
        <is>
          <t>['73',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84694f2697c67c40a999750845d4d90f 备：93a836a020252b5c4541d8e6afd2f7f1</t>
        </is>
      </c>
      <c r="BS22" t="inlineStr">
        <is>
          <t>['28', '2000-05-1100:30:45+09:00', '2000-05-1100:30:45.1+09:00', '2000-05-1100:30:45.12+09:00', '2000-05-1100:30:45.123+09:00', '2000-05-1100:30:45.1235+09:00', '2000-05-1100:30:45.12346+09:00', '2000-05-1100:30:45.123457+09:00', '2000-05-1100:30:45.1234567+09:00']行 ['179', '1999-05-1601:30:45+10:15', '1999-05-1601:30:45.1+10:15', '1999-05-1601:30:45.12+10:15', '1999-05-1601:30:45.123+10:15', '1999-05-1601:30:45.1235+10:15', '1999-05-1601:30:45.12346+10:15', '1999-05-1601:30:45.123457+10:15', '1999-05-1601:30:45.1234567+10:15']列，源：08395a3b62487df03f1e3a3e1dedca0b 备：8e0f46561b60791395c5a58788b726cc</t>
        </is>
      </c>
      <c r="BV22" t="inlineStr">
        <is>
          <t>['105', 'A', 'VARIABLELENGTHBINA', 'TESTTESTTESTTESTTESTTESTTESTTESTTESTTESTTESTTESTTESTTESTTESTTESTTESTTESTTESTTESTTESTTESTTESTTESTTESTTESTTESTTESTTESTTESTTESTTESTTESTTESTTESTTESTTESTTESTTESTTESTTESTTESTTESTTESTTESTTESTTESTTESTTESTTEST']行 ['59',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e5d8670ff1f3d64456240b9c294942d2 备：fdc5e51e25231aea2f12b5c852dc71d9</t>
        </is>
      </c>
      <c r="BW22" t="inlineStr">
        <is>
          <t>['59', '1999-05-1601:30:45+10:15', '1999-05-1601:30:45.1+10:15', '1999-05-1601:30:45.12+10:15', '1999-05-1601:30:45.123+10:15', '1999-05-1601:30:45.1235+10:15', '1999-05-1601:30:45.12346+10:15', '1999-05-1601:30:45.123457+10:15', '1999-05-1601:30:45.1234567+10:15']行 ['4', '0001-01-0100:00:00+00:00', '0001-01-0100:00:00.0+00:00', '0001-01-0100:00:00.00+00:00', '0001-01-0100:00:00.000+00:00', '0001-01-0100:00:00.0000+00:00', '0001-01-0100:00:00.00000+00:00', '0001-01-0100:00:00.000000+00:00', '0001-01-0100:00:00.0000000+00:00']列，源：217b35a869d2c55a9341b4c589bc8410 备：4a48b7d61029c98b539430ef104a9ec1</t>
        </is>
      </c>
      <c r="CB22" t="inlineStr">
        <is>
          <t>['30', '1990-05-11']行 ['24', '9999-12-31 00:00:00']列，源：9a331ede26e6a2557c4b68502078fbd6 备：8de13682086eac7a3e73fddbf78680fd</t>
        </is>
      </c>
      <c r="CH22" t="inlineStr">
        <is>
          <t>['108', '0001-01-02']行 ['6', '2020-02-29 00:00:00']列，源：d6efec82925546377b4a8a5f57ac21e6 备：f324cab36a986b21a06d8f275a7e31a9</t>
        </is>
      </c>
      <c r="CK22" t="inlineStr">
        <is>
          <t>['20', '222', '', '', '', '', '', '', '', '', '', '', '', '', '', '', '', '', '', '']行 ['6', '', '', '', '', '123456789012345678', '', '0.00000000000000000000000000000000000001', '', '', '', '', '', '', '', '', '', '', '', '']列，源：e8a293f3a806272c8d3f6829dcb8a08f 备：74f03c74dc89bcca96116f0c863c73cf</t>
        </is>
      </c>
      <c r="CV22" t="inlineStr">
        <is>
          <t>['21', '2023-05-11 00:00:00.123']行 ['6', '2020-02-2919:27:31.123']列，源：770b4b27a8cca201e907cf9fd17c5229 备：f2c01baff4fc04ec34920a33b33fd327</t>
        </is>
      </c>
      <c r="DH22" t="inlineStr">
        <is>
          <t>['25', '12:30:45', '12:30:45.1', '12:30:45.1', '12:30:45.1', '12:30:45.1', '12:30:45.1', '12:30:45.1', '12:30:45.1']行 ['3', '2026-04-19 23:59:59', '2026-04-19 23:59:59.9', '2026-04-19 23:59:59.99', '2026-04-19 23:59:59.999', '2026-04-19 23:59:59.9999', '2026-04-19 23:59:59.99999', '2026-04-19 23:59:59.999999', '2026-04-19 23:59:59.999999']列，源：b9f3f76a7838f178d29506ba187a9132 备：0662bda6b156cc182a5358aac7780e95</t>
        </is>
      </c>
      <c r="DK22" t="inlineStr">
        <is>
          <t>['75',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行 ['73', 'A', 'THISISATESTCASEYF',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列，源：ed6e0ba3698c6eb4ba2da0db8c94cdd1 备：dbf3d193e8be3593baaf4ceff87e5f32</t>
        </is>
      </c>
      <c r="DP22" t="inlineStr">
        <is>
          <t>['73', '', '', '']行 ['4',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f460f8ea3e8dea40fa50fd8d199b6d7 备：77636774fd81b7cbc6697623a0a56dec</t>
        </is>
      </c>
      <c r="DT22" t="inlineStr">
        <is>
          <t>['20', '', '', '', '', '', '', '', '', '', '', '', '', '', '', '-340282346600000016151267322115014000640', '-340282306073709652508363335590014353408', '-922337203685477.5808', '-214748.3648', '0']行 ['9', '42', '12345', '123456789', '123456789012345', '', '', '', '', '', '', '', '', '', '', '', '', '', '', '']列，源：741e189a437c3bb338106470ab813776 备：cb1f41c38c4f51a51f38f3f6572afb83</t>
        </is>
      </c>
      <c r="DV22" t="inlineStr">
        <is>
          <t>['61', '12:30:45', '12:30:45.1', '12:30:45.12', '12:30:45.123', '12:30:45.1235', '12:30:45.12346', '12:30:45.123457', '12:30:45.123456']行 ['63', '', '2026-04-19 00:00:01.1', '', '2026-04-19 00:00:01.123', '', '2026-04-19 00:00:01.12346', '', '2026-04-19 00:00:01.123456']列，源：5e525688baf8020b32e13e9e760868ac 备：7b520829c37af710b733d19e91886807</t>
        </is>
      </c>
      <c r="EB22" t="inlineStr">
        <is>
          <t>['20', '', '', '', '', '', '', '', '', '', '', '', '', '', '', '-340282346600000016151267322115014000640', '-340282306073709652508363335590014353408', '-922337203685477.5808', '-214748.3648', '0']行 ['117', '', '', '', '', '', '', '', '', '', '', '', '', '', '', '', '', '', '', '']列，源：741e189a437c3bb338106470ab813776 备：204a9fced1fdb4dc3e39e0dbf3a1553d</t>
        </is>
      </c>
      <c r="EH22" t="inlineStr">
        <is>
          <t>['27', '2000-05-11 14:30:00']行 ['21', '']列，源：d560c55b4b409d75502aee77334d4b29 备：5f115c1225a9f62220f5bb9720947ad4</t>
        </is>
      </c>
      <c r="EI22" t="inlineStr">
        <is>
          <t>['20', '', '', '', '', '', '', '', '', '', '', '', '', '', '', '-340282346600000016151267322115014000640', '-340282306073709652508363335590014353408', '-922337203685477.5808', '-214748.3648', '0']行 ['117', '', '', '', '', '', '', '', '', '', '', '', '', '', '', '', '', '', '', '']列，源：741e189a437c3bb338106470ab813776 备：204a9fced1fdb4dc3e39e0dbf3a1553d</t>
        </is>
      </c>
      <c r="EJ22" t="inlineStr">
        <is>
          <t>['20', '', '', '', '', '', '', '', '', '', '', '', '', '', '', '-340282346600000016151267322115014000640', '-340282306073709652508363335590014353408', '-922337203685477.5808', '-214748.3648', '0']行 ['9', '42', '12345', '123456789', '123456789012345', '', '', '', '', '', '', '', '', '', '', '', '', '', '', '']列，源：741e189a437c3bb338106470ab813776 备：cb1f41c38c4f51a51f38f3f6572afb83</t>
        </is>
      </c>
      <c r="EK22" t="inlineStr">
        <is>
          <t>['105', 'A', 'VARIABLELENGTHBINA', 'TESTTESTTESTTESTTESTTESTTESTTESTTESTTESTTESTTESTTESTTESTTESTTESTTESTTESTTESTTESTTESTTESTTESTTESTTESTTESTTESTTESTTESTTESTTESTTESTTESTTESTTESTTESTTESTTESTTESTTESTTESTTESTTESTTESTTESTTESTTESTTESTTESTTEST']行 ['60',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e5d8670ff1f3d64456240b9c294942d2 备：954cc26eb5a8158cf6d98915a52c6e8a</t>
        </is>
      </c>
    </row>
    <row r="23">
      <c r="A23" t="inlineStr">
        <is>
          <t>info_sdt_dml_batch1_pk_urp1</t>
        </is>
      </c>
      <c r="K23" t="inlineStr">
        <is>
          <t>[0;34m info_sdt_dml_batch1_pk_urp1 [0m源备字段数相同，源端字段：2 	备端字段2</t>
        </is>
      </c>
      <c r="W23" s="17">
        <f>HYPERLINK("#2026041919hbase0!Z2","NO 源备存在差异，共14个")</f>
        <v/>
      </c>
      <c r="X23">
        <f>A23</f>
        <v/>
      </c>
      <c r="Y23" t="inlineStr">
        <is>
          <t>['34', '2023-12-25 23:59:00']行 ['60', '2079-06-0523:59:00']列，源：be737bbb42eae9854ec30a73713da140 备：0e1a01f73c7860fbb3052ab1a2c82677</t>
        </is>
      </c>
      <c r="AJ23" t="inlineStr">
        <is>
          <t>['22', '2024-05-11 12:00:00.567']行 ['7', '2000-05-1114:30:29.000']列，源：2849352901c927f3ccb491dc6ebd91fa 备：1f1873d69c431d509f1d59937dc1a8e7</t>
        </is>
      </c>
      <c r="AL23" t="inlineStr">
        <is>
          <t>['22', '2024-05-11 12:00:00.567']行 ['165', '2001-04-0923:59:59.993']列，源：2849352901c927f3ccb491dc6ebd91fa 备：9126334171790d7cf00f0f4f898dfe54</t>
        </is>
      </c>
      <c r="AM23" t="inlineStr">
        <is>
          <t>['22', '2024-05-11 12:00:00.567']行 ['7', '2000-05-1114:30:29.000']列，源：2849352901c927f3ccb491dc6ebd91fa 备：1f1873d69c431d509f1d59937dc1a8e7</t>
        </is>
      </c>
      <c r="AO23" t="inlineStr">
        <is>
          <t>['22', '2024-05-11 12:00:00.567']行 ['13', '1999-06-0623:59:59.997']列，源：2849352901c927f3ccb491dc6ebd91fa 备：f65f121e6afd79c01ba62004ffb1ad9b</t>
        </is>
      </c>
      <c r="AP23" t="inlineStr">
        <is>
          <t>['21', '9999-12-31 23:59:59.997']行 ['6', '9999-12-3123:59:59.997']列，源：00ac184e9bd2df76a8dc98dc57b4aaec 备：98f63f037ab5c03f2310463bdde2feb7</t>
        </is>
      </c>
      <c r="AR23" t="inlineStr">
        <is>
          <t>['21', '2020-02-29 19:27:31.123']行 ['6', '2020-02-2919:27:31.123']列，源：397fae13487702e8d88d76c8257b25e0 备：f2c01baff4fc04ec34920a33b33fd327</t>
        </is>
      </c>
      <c r="AZ23" t="inlineStr">
        <is>
          <t>['127', '2065-05-11 14:30:45', '2065-05-11 14:30:45.1', '2065-05-11 14:30:45.12', '2065-05-11 14:30:45.123', '2065-05-11 14:30:45.1235', '2065-05-11 14:30:45.12346', '2065-05-11 14:30:45.123457', '2065-05-11 14:30:45.123456']行 ['3', '2026-04-1717:17:25', '2026-04-1717:17:24.6', '2026-04-1717:17:24.63', '2026-04-1717:17:24.631', '2026-04-1717:17:24.6306', '2026-04-1717:17:24.63065', '2026-04-1717:17:24.630647', '2026-04-1717:17:24.6306467']列，源：a0bd7b745d4d6a3226e15edae9f39d55 备：6328024523e5f081cd99ec679c136d2f</t>
        </is>
      </c>
      <c r="BG23" t="inlineStr">
        <is>
          <t>['76', 'Y', '€¶I€¶', '€¶I€¶€¶I€¶€¶I€¶€¶I€¶€¶I€¶€¶I€¶€¶I€¶€¶I€¶€¶I€¶€¶I€¶€¶I€¶€¶I€¶€¶I€¶€¶I€¶€¶I€¶€¶I€¶€¶I€¶€¶I€¶€¶I€¶€¶I€¶€¶I€¶€¶I€¶€¶I€¶€¶I€¶€¶I€¶€¶I€¶€¶I€¶€¶I€¶€¶I€¶€¶I€¶€¶I€¶€¶I€¶€¶I€¶€¶I€¶€¶I€¶€¶I€¶€¶I€¶€¶I€¶€¶I€¶€¶I€¶€¶I€¶€¶I€¶€¶I€¶€¶I€¶€¶I€¶€¶I€¶€¶I€¶€¶I€¶€¶I€¶€¶I€¶€¶I€¶€¶I€¶€¶I€¶€¶I€¶€¶I€¶€¶I€¶€¶I€¶€¶I€¶€¶I€¶€¶I€¶€¶I€¶€¶I€¶€¶I€¶€¶I€¶€¶I€¶€¶I€¶€¶I€¶€¶I€¶€¶I€¶€¶I€¶€¶I€¶€¶I€¶€¶I€¶€¶I€¶€¶I€¶€¶I€¶€¶I€¶€¶I€¶€¶I€¶€¶I€¶€¶I€¶€¶I€¶€¶I€¶€¶I€¶€¶I€¶€¶I€¶€¶I€¶€¶I€¶€¶I€¶€¶I€¶€¶I€¶€¶I€¶€¶I€¶€¶I€¶€¶I€¶€¶I€¶€¶I€¶€¶I€¶€¶I€¶€¶I€¶€¶I€¶€¶I€¶€¶I€¶€¶I€¶€¶I€¶€¶I€¶€¶I€¶€¶I€¶€¶I€¶€¶I€¶€¶I€¶€¶I€¶€¶I€¶€¶I€¶€¶I€¶€¶I€¶€¶I€¶€¶I€¶€¶I€¶€¶I€¶€¶I€¶€¶I€¶€¶I€¶€¶I€¶€¶I€¶€¶I€¶€¶I€¶€¶I€¶€¶I€¶€¶I€¶€¶I€¶€¶I€¶€¶I€¶€¶I€¶€¶I€¶€¶I€¶€¶I€¶€¶I€¶€¶I€¶€¶I€¶€¶I€¶€¶I€¶€¶I€¶€¶I€¶€¶I€¶€¶I€¶€¶I€¶€¶I€¶€¶I€¶€¶I€¶€¶I€¶€¶I€¶€¶I€¶€¶I€¶€¶I€¶€¶I€¶€¶I€¶€¶I€¶€¶I€¶€¶I€¶€¶I€¶€¶I€¶€¶I€¶€¶I€¶€¶I€¶€¶I€¶€¶I€¶€¶I€¶€¶I€¶€¶I€¶€¶I€¶€¶I€¶€¶I€¶€¶I€¶€¶I€¶€¶I€¶€¶I€¶€¶I€¶€¶I€¶€¶I€¶€¶I€¶€¶I€¶€¶I€¶€¶I€¶€¶I€¶€¶I€¶€¶I€¶€¶I€¶€¶I€¶€¶I€¶€¶I€¶€¶I€¶€¶I€¶€¶I€¶€¶I€¶€¶I€¶€¶I€¶€¶I€¶€¶I€¶€¶I€¶']行 ['74',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a33502817262b29fcd860110a65a581 备：2705577fcacd46f4130a3a8674655234</t>
        </is>
      </c>
      <c r="BK23" t="inlineStr">
        <is>
          <t>['74', '', '', '']行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d0a035b539e1429edb562f552efd6fc0 备：846658c6426c8aad960fbac5e9014739</t>
        </is>
      </c>
      <c r="BS23" t="inlineStr">
        <is>
          <t>['29', '1999-05-1601:30:45+10:15', '1999-05-1601:30:45.1+10:15', '1999-05-1601:30:45.12+10:15', '1999-05-1601:30:45.123+10:15', '1999-05-1601:30:45.1235+10:15', '1999-05-1601:30:45.12346+10:15', '1999-05-1601:30:45.123457+10:15', '1999-05-1601:30:45.1234567+10:15']行 ['180', '2013-03-1202:00:00-04:25', '2013-03-1202:00:00.0-04:25', '2013-03-1202:00:00.00-04:25', '2013-03-1202:00:00.000-04:25', '2013-03-1202:00:00.0000-04:25', '2013-03-1202:00:00.00000-04:25', '2013-03-1202:00:00.000000-04:25', '2013-03-1202:00:00.0000000-04:25']列，源：ed5201b54d07453149f52d59ff705b6a 备：5d0e9bcbf3c7710f80193a411f8749ed</t>
        </is>
      </c>
      <c r="BV23" t="inlineStr">
        <is>
          <t>['106',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行 ['6', 'AF', '680085CB87DD92BB179E447D9F53B7341C5E6480', '4AC64C296192F7862ECEC6EBCDCD0AFAC974CEC1440D2276920489C5E7265EC9FEA7E1527262377B34A5EE70DC1EF231C792131D7F6274102D80A6527C94D0B9D876021117AC5AEDC75C5DBC3356BD7D44563BE62FE431CC9ED3610FB65C31DA4508149F1C1EFCF16AF09A73E3A4BEF6BC1F15F00FDB27D0272D0CC8EE21AEEC9A9229904E2A665EB88F54506E6954EA1697B20A7698F95D5EDCCB219410D1D3A474E572CA30041B0FEBAC7ABC6CBA47CFD523B194B1238DA8A066FA0CAB9D6639D4AE66E012D0A6']列，源：68acc59d209b7b0cf1b898ddb7c4a998 备：e5002a894769fb99aa1f5dee0f011224</t>
        </is>
      </c>
      <c r="BW23" t="inlineStr">
        <is>
          <t>['60', '2013-03-1202:00:00-04:25', '2013-03-1202:00:00.0-04:25', '2013-03-1202:00:00.00-04:25', '2013-03-1202:00:00.000-04:25', '2013-03-1202:00:00.0000-04:25', '2013-03-1202:00:00.00000-04:25', '2013-03-1202:00:00.000000-04:25', '2013-03-1202:00:00.0000000-04:25']行 ['5', '9999-12-3123:59:59+00:00', '9999-12-3123:59:59.9+00:00', '9999-12-3123:59:59.99+00:00', '9999-12-3123:59:59.999+00:00', '9999-12-3123:59:59.9999+00:00', '9999-12-3123:59:59.99999+00:00', '9999-12-3123:59:59.999999+00:00', '9999-12-3123:59:59.9999999+00:00']列，源：5ac941404911e63d6bdbfbb1e36d17ba 备：e9913af2ede92ca2dee8e158b5f6391f</t>
        </is>
      </c>
      <c r="CB23" t="inlineStr">
        <is>
          <t>['31', '2068-06-01']行 ['25', '2026-04-17 00:00:00']列，源：d3ed1693bb0272538a49dae49a47b88f 备：c096b1b5acc64f511eb11dc113bd3c14</t>
        </is>
      </c>
      <c r="CH23" t="inlineStr">
        <is>
          <t>['110', '1990-05-11']行 ['60', '1990-05-11 00:00:00']列，源：87461fa66ac477f27b6e0c97732af35c 备：37e2bd574a64efcff7f80209c2694f11</t>
        </is>
      </c>
      <c r="CK23" t="inlineStr">
        <is>
          <t>['21', '', '-22345', '', '', '', '', '', '', '', '', '', '', '', '', '', '', '', '', '']行 ['7', '', '', '', '', '', '', '-0.00000000000000000000000000000000000001', '', '', '', '', '', '', '', '', '', '', '', '']列，源：44cb956bc995ad5c2245a5c8b44e9bab 备：e15db39702c3b7aaab8f43796250abd1</t>
        </is>
      </c>
      <c r="CV23" t="inlineStr">
        <is>
          <t>['22', '2024-05-11 12:00:00.567']行 ['7', '2000-05-1114:30:29.000']列，源：2849352901c927f3ccb491dc6ebd91fa 备：1f1873d69c431d509f1d59937dc1a8e7</t>
        </is>
      </c>
      <c r="DH23" t="inlineStr">
        <is>
          <t>['26', '12:30:45', '12:30:45.1', '12:30:45.12', '12:30:45.12', '12:30:45.12', '12:30:45.12', '12:30:45.12', '12:30:45.12']行 ['30', '2026-04-19 12:30:45', '2026-04-19 12:30:45.1', '2026-04-19 12:30:45.12', '2026-04-19 12:30:45.123', '2026-04-19 12:30:45.1235', '2026-04-19 12:30:45.12346', '2026-04-19 12:30:45.123456', '2026-04-19 12:30:45.123456']列，源：899bdd6cea1351040eec9eb7c7ddf9ea 备：0c21081fe1e97a25954092cf677df603</t>
        </is>
      </c>
      <c r="DK23" t="inlineStr">
        <is>
          <t>['76', 'Y', '€¶I€¶', '€¶I€¶€¶I€¶€¶I€¶€¶I€¶€¶I€¶€¶I€¶€¶I€¶€¶I€¶€¶I€¶€¶I€¶€¶I€¶€¶I€¶€¶I€¶€¶I€¶€¶I€¶€¶I€¶€¶I€¶€¶I€¶€¶I€¶€¶I€¶€¶I€¶€¶I€¶€¶I€¶€¶I€¶€¶I€¶€¶I€¶€¶I€¶€¶I€¶€¶I€¶€¶I€¶€¶I€¶€¶I€¶€¶I€¶€¶I€¶€¶I€¶€¶I€¶€¶I€¶€¶I€¶€¶I€¶€¶I€¶€¶I€¶€¶I€¶€¶I€¶€¶I€¶€¶I€¶€¶I€¶€¶I€¶€¶I€¶€¶I€¶€¶I€¶€¶I€¶€¶I€¶€¶I€¶€¶I€¶€¶I€¶€¶I€¶€¶I€¶€¶I€¶€¶I€¶€¶I€¶€¶I€¶€¶I€¶€¶I€¶€¶I€¶€¶I€¶€¶I€¶€¶I€¶€¶I€¶€¶I€¶€¶I€¶€¶I€¶€¶I€¶€¶I€¶€¶I€¶€¶I€¶€¶I€¶€¶I€¶€¶I€¶€¶I€¶€¶I€¶€¶I€¶€¶I€¶€¶I€¶€¶I€¶€¶I€¶€¶I€¶€¶I€¶€¶I€¶€¶I€¶€¶I€¶€¶I€¶€¶I€¶€¶I€¶€¶I€¶€¶I€¶€¶I€¶€¶I€¶€¶I€¶€¶I€¶€¶I€¶€¶I€¶€¶I€¶€¶I€¶€¶I€¶€¶I€¶€¶I€¶€¶I€¶€¶I€¶€¶I€¶€¶I€¶€¶I€¶€¶I€¶€¶I€¶€¶I€¶€¶I€¶€¶I€¶€¶I€¶€¶I€¶€¶I€¶€¶I€¶€¶I€¶€¶I€¶€¶I€¶€¶I€¶€¶I€¶€¶I€¶€¶I€¶€¶I€¶€¶I€¶€¶I€¶€¶I€¶€¶I€¶€¶I€¶€¶I€¶€¶I€¶€¶I€¶€¶I€¶€¶I€¶€¶I€¶€¶I€¶€¶I€¶€¶I€¶€¶I€¶€¶I€¶€¶I€¶€¶I€¶€¶I€¶€¶I€¶€¶I€¶€¶I€¶€¶I€¶€¶I€¶€¶I€¶€¶I€¶€¶I€¶€¶I€¶€¶I€¶€¶I€¶€¶I€¶€¶I€¶€¶I€¶€¶I€¶€¶I€¶€¶I€¶€¶I€¶€¶I€¶€¶I€¶€¶I€¶€¶I€¶€¶I€¶€¶I€¶€¶I€¶€¶I€¶€¶I€¶€¶I€¶€¶I€¶€¶I€¶€¶I€¶€¶I€¶€¶I€¶€¶I€¶€¶I€¶€¶I€¶€¶I€¶€¶I€¶€¶I€¶€¶I€¶€¶I€¶€¶I€¶€¶I€¶€¶I€¶€¶I€¶€¶I€¶€¶I€¶€¶I€¶€¶I€¶€¶I€¶€¶I€¶€¶I€¶€¶I€¶']行 ['74', '6', '12345678901234567890', '1234567123456712345671234567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7a33502817262b29fcd860110a65a581 备：2705577fcacd46f4130a3a8674655234</t>
        </is>
      </c>
      <c r="DP23" t="inlineStr">
        <is>
          <t>['74', '', '', '']行 ['5',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d0a035b539e1429edb562f552efd6fc0 备：846658c6426c8aad960fbac5e9014739</t>
        </is>
      </c>
      <c r="DV23" t="inlineStr">
        <is>
          <t>['62', '23:59:59', '23:59:59.1', '23:59:59.12', '23:59:59.123', '23:59:59.1235', '23:59:59.12346', '23:59:59.123457', '23:59:59.123456']行 ['64', '', '2026-04-19 12:00:00.1', '', '2026-04-19 12:00:00.123', '', '2026-04-19 12:00:00.12346', '', '2026-04-19 12:00:00.123456']列，源：8183d9a6f6ee9f4c840b4244701214b0 备：c616dfa68816bcec8097475b4e77e151</t>
        </is>
      </c>
      <c r="EB23" t="inlineStr">
        <is>
          <t>['51', '0', '-32768', '-2147483648', '-9223372036854775808', '', '', '', '', '', '', '', '', '', '', '', '', '', '', '']行 ['118', '', '', '', '', '', '', '', '', '', '', '', '', '', '', '', '', '', '', '']列，源：f655f07bc207e1893067d44a901d5d5a 备：b0f69e382d9b9708bf5b289d21e54f7b</t>
        </is>
      </c>
      <c r="EH23" t="inlineStr">
        <is>
          <t>['28', '2068-05-11 14:31:00']行 ['22', '1900-01-0100:00:00']列，源：2f341148ff878d871d2ed15b6452bc09 备：e5317599b6ea2529e1531460050a1241</t>
        </is>
      </c>
      <c r="EI23" t="inlineStr">
        <is>
          <t>['51', '0', '-32768', '-2147483648', '-9223372036854775808', '', '', '', '', '', '', '', '', '', '', '', '', '', '', '']行 ['118', '', '', '', '', '', '', '', '', '', '', '', '', '', '', '', '', '', '', '']列，源：f655f07bc207e1893067d44a901d5d5a 备：b0f69e382d9b9708bf5b289d21e54f7b</t>
        </is>
      </c>
      <c r="EK23" t="inlineStr">
        <is>
          <t>['106', '\\', '6D43AC05C60829CB35A65D48C355AEA1031AD766E6F65C49CE4D2CBEE49D104E3AC8C87D4D6ACE7AD61DF14F0EC02A2414AAC51D3FF9AD5D711E71DA9BF7A5A16FAC3BCB542A12C82CC1E5FE1B8F4E1476C6D977DAC6FA4678C8C33D6BB677AEBD65F62C', 'CDFE2AA5C8D5BDCDD664BD201B97085587DF1950C251B9EB5A0D53C48791AE22882903C4674C275D55115B8FF5B676B522D66227B1C30E46BA36515771A2D958176163734E1955758475803E29D62D6E9625F5F5CE9C7B16D06B3C80BB2AB680D106C54CA9B5AEE8FD281B4DD8286F5D6417197D8C5AC0489E64AE0A12D2ABF616028AB33304094DFA9F0F54E7AAFEA75685D0424EECDA615E3FEEDFAF4C7B20D08B64FF82A2046D175D1D808D0AD85159AFD44652D6FD87E3D152FD327B8D37ECA657D0F8914CFF']行 ['7', '54', '48656C6C6F576F726C64', '48656C6C6F576F726C645465737444617461']列，源：62595d3bb9af426bfc8550b99887f3b4 备：b1e35a32cb0d92e9c785414822a0a3a6</t>
        </is>
      </c>
    </row>
    <row r="24">
      <c r="B24" t="inlineStr">
        <is>
          <t>YES</t>
        </is>
      </c>
      <c r="C24" t="inlineStr">
        <is>
          <t>NULL</t>
        </is>
      </c>
      <c r="D24" t="inlineStr">
        <is>
          <t>NULL</t>
        </is>
      </c>
      <c r="E24" t="inlineStr">
        <is>
          <t>NULL</t>
        </is>
      </c>
      <c r="F24" t="inlineStr">
        <is>
          <t>NULL</t>
        </is>
      </c>
      <c r="G24" t="inlineStr">
        <is>
          <t>NULL</t>
        </is>
      </c>
      <c r="H24" t="inlineStr">
        <is>
          <t>NULL</t>
        </is>
      </c>
      <c r="I24" t="inlineStr">
        <is>
          <t>YES!PK__info_sdt__3213E83F2F056759</t>
        </is>
      </c>
      <c r="J24" t="inlineStr">
        <is>
          <t>YES! 主键相关索引</t>
        </is>
      </c>
      <c r="K24" t="inlineStr">
        <is>
          <t xml:space="preserve"> NO!  	 id列源备映射错误，源端为int None位	期望更改为text	实际备端为int None位</t>
        </is>
      </c>
      <c r="Y24" t="inlineStr">
        <is>
          <t>['57', '2000-05-11 14:30:00']行 ['63', '2025-05-1112:00:00']列，源：823514801b70f525cba9487ecfdad9b3 备：64f8e47573207f9e2c0337b970753f8e</t>
        </is>
      </c>
      <c r="AJ24" t="inlineStr">
        <is>
          <t>['23', '2025-01-01 00:00:00.233']行 ['8', '2068-05-1114:30:30.000']列，源：1fd7bd783beb81c5b9475f1c25e46298 备：482b5b963ecc050b6221a7b239669a9b</t>
        </is>
      </c>
      <c r="AL24" t="inlineStr">
        <is>
          <t>['23', '2025-01-01 00:00:00.233']行 ['166', '2002-06-1123:59:59.993']列，源：1fd7bd783beb81c5b9475f1c25e46298 备：4c4bf68b94777a420623e9dfd78a00f2</t>
        </is>
      </c>
      <c r="AM24" t="inlineStr">
        <is>
          <t>['23', '2025-01-01 00:00:00.233']行 ['8', '2068-05-1114:30:30.000']列，源：1fd7bd783beb81c5b9475f1c25e46298 备：482b5b963ecc050b6221a7b239669a9b</t>
        </is>
      </c>
      <c r="AO24" t="inlineStr">
        <is>
          <t>['23', '2025-01-01 00:00:00.233']行 ['14', '2000-05-0123:59:59.993']列，源：1fd7bd783beb81c5b9475f1c25e46298 备：2457f0c00657efcd02ebb7fd48eef12a</t>
        </is>
      </c>
      <c r="AP24" t="inlineStr">
        <is>
          <t>['22', '9999-12-31 23:59:59.997']行 ['7', '9999-12-3123:59:59.997']列，源：f505da7a5e893fa8e33da719c6d9ff14 备：af1c952763bf182ee323aed1a975740a</t>
        </is>
      </c>
      <c r="AR24" t="inlineStr">
        <is>
          <t>['22', '2020-02-29 19:27:31.123']行 ['7', '2020-02-2919:27:31.123']列，源：e365acdd3ec297fe7e55fe9c04392bf8 备：bcd2c39196f5efeeb3c8d31bd4750f0c</t>
        </is>
      </c>
      <c r="AZ24" t="inlineStr">
        <is>
          <t>['175', '9999-12-31 23:59:59', '9999-12-31 23:59:59.9', '9999-12-31 23:59:59.99', '9999-12-31 23:59:59.999', '9999-12-31 23:59:59.9999', '9999-12-31 23:59:59.99999', '9999-12-31 23:59:59.999999', '9999-12-31 23:59:59.999999']行 ['323', '2026-04-1717:17:25', '2026-04-1717:17:24.6', '2026-04-1717:17:24.63', '2026-04-1717:17:24.631', '2026-04-1717:17:24.6306', '2026-04-1717:17:24.63065', '2026-04-1717:17:24.630647', '2026-04-1717:17:24.6306467']列，源：78d7899446730ea422e7d40dcb9b97c6 备：d334ec5c79eec3f41e224df105bb29b5</t>
        </is>
      </c>
      <c r="BG24" t="inlineStr">
        <is>
          <t>['77',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579a909bdeb642ab6c6e90bea7965234 备：ed6e0ba3698c6eb4ba2da0db8c94cdd1</t>
        </is>
      </c>
      <c r="BK24" t="inlineStr">
        <is>
          <t>['75', 'A', 'VARIABLELENGTHBINA', 'TESTTESTTESTTESTTESTTESTTESTTESTTESTTESTTESTTESTTESTTESTTESTTESTTESTTESTTESTTESTTESTTESTTESTTESTTESTTESTTESTTESTTESTTESTTESTTESTTESTTESTTESTTESTTESTTESTTESTTESTTESTTESTTESTTESTTESTTESTTESTTESTTESTTEST']行 ['6',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dadbfb55fb57ed9bc3d38f19ea3ff878 备：2495f5edf73542762ca141228d32323a</t>
        </is>
      </c>
      <c r="BS24" t="inlineStr">
        <is>
          <t>['30', '2013-03-1202:00:00-04:25', '2013-03-1202:00:00.0-04:25', '2013-03-1202:00:00.00-04:25', '2013-03-1202:00:00.000-04:25', '2013-03-1202:00:00.0000-04:25', '2013-03-1202:00:00.00000-04:25', '2013-03-1202:00:00.000000-04:25', '2013-03-1202:00:00.0000000-04:25']行 ['181', '2003-11-0502:00:00-05:10', '2003-11-0502:00:00.0-05:10', '2003-11-0502:00:00.00-05:10', '2003-11-0502:00:00.000-05:10', '2003-11-0502:00:00.0000-05:10', '2003-11-0502:00:00.00000-05:10', '2003-11-0502:00:00.000000-05:10', '2003-11-0502:00:00.0000000-05:10']列，源：edf8de15725a6c64d34f9239ae68e369 备：659a25c7981ad3a72b0debe2c08f152a</t>
        </is>
      </c>
      <c r="BV24" t="inlineStr">
        <is>
          <t>['107',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['60',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1c0e1a41bdf5f879cf66457dd68e4baf 备：954cc26eb5a8158cf6d98915a52c6e8a</t>
        </is>
      </c>
      <c r="BW24" t="inlineStr">
        <is>
          <t>['61', '2003-11-0502:00:00-05:10', '2003-11-0502:00:00.0-05:10', '2003-11-0502:00:00.00-05:10', '2003-11-0502:00:00.000-05:10', '2003-11-0502:00:00.0000-05:10', '2003-11-0502:00:00.00000-05:10', '2003-11-0502:00:00.000000-05:10', '2003-11-0502:00:00.0000000-05:10']行 ['52', '1900-01-0100:00:00+00:00', '1900-01-0100:00:00.0+00:00', '1900-01-0100:00:00.00+00:00', '1900-01-0100:00:00.000+00:00', '1900-01-0100:00:00.0000+00:00', '1900-01-0100:00:00.00000+00:00', '1900-01-0100:00:00.000000+00:00', '1900-01-0100:00:00.0000000+00:00']列，源：e83419d25a97188cbade827fe575c85e 备：7a59d93131da594e148bcecad03c9632</t>
        </is>
      </c>
      <c r="CB24" t="inlineStr">
        <is>
          <t>['77', '1970-01-01']行 ['26', '2020-02-29 00:00:00']列，源：c0c8c51c4ee845d5056f616d45c74a4a 备：3078dec5b91df022cd68e34240b3c228</t>
        </is>
      </c>
      <c r="CH24" t="inlineStr">
        <is>
          <t>['204', '9999-12-31']行 ['61', '2068-06-01 00:00:00']列，源：2a19f6de26df9ee575b4881134097936 备：0e5eea4292f7fa7222ba859aba87391a</t>
        </is>
      </c>
      <c r="CK24" t="inlineStr">
        <is>
          <t>['23', '', '', '', '-223456789012', '', '', '', '', '', '', '', '', '', '', '', '', '', '', '']行 ['8', '', '', '', '', '', '', '', '0.0000000001', '', '', '', '', '', '', '', '', '', '', '']列，源：d20380855db30a8a452fc6a6576f8409 备：ed05300411ee9d84b81e4de3b6032e34</t>
        </is>
      </c>
      <c r="CV24" t="inlineStr">
        <is>
          <t>['23', '2025-01-01 00:00:00.233']行 ['8', '2068-05-1114:30:30.000']列，源：1fd7bd783beb81c5b9475f1c25e46298 备：482b5b963ecc050b6221a7b239669a9b</t>
        </is>
      </c>
      <c r="DH24" t="inlineStr">
        <is>
          <t>['27', '12:30:45', '12:30:45.1', '12:30:45.12', '12:30:45.123', '12:30:45.123', '12:30:45.123', '12:30:45.123', '12:30:45.123']行 ['31', '2026-04-19 12:30:45', '2026-04-19 12:30:45.1', '2026-04-19 12:30:45.12', '2026-04-19 12:30:45.123', '2026-04-19 12:30:45.1235', '2026-04-19 12:30:45.12346', '2026-04-19 12:30:45.123457', '2026-04-19 12:30:45.123456']列，源：8277c1a87544c3b79daeee80bdcbc503 备：e341c69213a0b7e68e6e7bb2cd92aed5</t>
        </is>
      </c>
      <c r="DK24" t="inlineStr">
        <is>
          <t>['77',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行 ['75', 'X', 'THISISANCHARSTRI', '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THISISANCHARSTRI']列，源：579a909bdeb642ab6c6e90bea7965234 备：ed6e0ba3698c6eb4ba2da0db8c94cdd1</t>
        </is>
      </c>
      <c r="DP24" t="inlineStr">
        <is>
          <t>['75', 'A', 'VARIABLELENGTHBINA', 'TESTTESTTESTTESTTESTTESTTESTTESTTESTTESTTESTTESTTESTTESTTESTTESTTESTTESTTESTTESTTESTTESTTESTTESTTESTTESTTESTTESTTESTTESTTESTTESTTESTTESTTESTTESTTESTTESTTESTTESTTESTTESTTESTTESTTESTTESTTESTTESTTESTTEST']行 ['6',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dadbfb55fb57ed9bc3d38f19ea3ff878 备：fa83515158c4c8824377e897432d3433</t>
        </is>
      </c>
      <c r="DV24" t="inlineStr">
        <is>
          <t>['63', '', '00:00:01.1', '', '00:00:01.123', '', '00:00:01.12346', '', '00:00:01.123456']行 ['65', '2026-04-19 00:00:01', '', '2026-04-19 00:00:01.12', '', '2026-04-19 00:00:01.1235', '', '2026-04-19 00:00:01.123457', '']列，源：4600a52ecf6cca4315a2f687813f01b1 备：7a52a7d0517f21a8bf9e8927c245c38f</t>
        </is>
      </c>
      <c r="EB24" t="inlineStr">
        <is>
          <t>['52', '255', '32767', '2147483647', '9223372036854775808', '', '', '', '', '', '', '', '', '', '', '', '', '', '', '']行 ['119', '', '', '', '', '', '', '', '', '', '', '', '', '', '', '', '', '', '', '']列，源：9edd1ec9c2018553f7a3ba187eeb0c8e 备：85a78685d6ad09987cee279a57c8ffe6</t>
        </is>
      </c>
      <c r="EH24" t="inlineStr">
        <is>
          <t>['29', '1981-05-11 14:31:00']行 ['23', '1900-01-0100:00:00']列，源：df9075a2d2be4a7a7164fe0cf8f3ce9d 备：8be7c6c6a4a387b04f12c6de8ac95688</t>
        </is>
      </c>
      <c r="EI24" t="inlineStr">
        <is>
          <t>['52', '255', '32767', '2147483647', '9223372036854775808', '', '', '', '', '', '', '', '', '', '', '', '', '', '', '']行 ['119', '', '', '', '', '', '', '', '', '', '', '', '', '', '', '', '', '', '', '']列，源：9edd1ec9c2018553f7a3ba187eeb0c8e 备：85a78685d6ad09987cee279a57c8ffe6</t>
        </is>
      </c>
      <c r="EK24" t="inlineStr">
        <is>
          <t>['107', 'T', 'HELLOWORLD', 'HELLOWORLDTESTDATA']行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d2fc01e901274366c06cca23e2afe8b3 备：0a104d284ac01e1025345effbe0db7c2</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 xml:space="preserve"> NO!  	 c_sdt列源备映射错误，源端为smalldatetime None位	期望更改为text	实际备端为smalldatetime None位</t>
        </is>
      </c>
      <c r="Y25" t="inlineStr">
        <is>
          <t>['58', '2068-05-11 14:31:00']行 ['64', '2023-12-2523:59:00']列，源：87c9f4453bfb6efdbf4aca696145f427 备：3b2f6d8f8d8fa6b0ad578c23c2074bb8</t>
        </is>
      </c>
      <c r="AJ25" t="inlineStr">
        <is>
          <t>['24', '2040-12-25 23:59:59.997']行 ['9', '1981-05-1114:30:59.000']列，源：fa768966e32e6c99295d5807309868c7 备：a56640e72f7bdf2350334a7020405913</t>
        </is>
      </c>
      <c r="AL25" t="inlineStr">
        <is>
          <t>['24', '2040-12-25 23:59:59.997']行 ['167', '2003-11-0423:59:59.990']列，源：fa768966e32e6c99295d5807309868c7 备：255707a2815be8bdb82e4baa714e91c3</t>
        </is>
      </c>
      <c r="AM25" t="inlineStr">
        <is>
          <t>['24', '2040-12-25 23:59:59.997']行 ['9', '1981-05-1114:30:59.000']列，源：fa768966e32e6c99295d5807309868c7 备：a56640e72f7bdf2350334a7020405913</t>
        </is>
      </c>
      <c r="AO25" t="inlineStr">
        <is>
          <t>['24', '2040-12-25 23:59:59.997']行 ['15', '2001-04-0923:59:59.993']列，源：fa768966e32e6c99295d5807309868c7 备：72c850940e18c1fefbfcc8955f523a0b</t>
        </is>
      </c>
      <c r="AP25" t="inlineStr">
        <is>
          <t>['23', '9999-12-31 23:59:59.997']行 ['8', '9999-12-3123:59:59.997']列，源：aa9c960a47dbd373b1f72e4cac71ff4c 备：1d7098d04cb308a2128f996a59194850</t>
        </is>
      </c>
      <c r="AR25" t="inlineStr">
        <is>
          <t>['23', '2020-02-29 19:27:31.123']行 ['8', '2020-02-2919:27:31.123']列，源：3a63bdd4ccd8386faa16d792793745c1 备：50f291ae7637488e423a0ab318518a4b</t>
        </is>
      </c>
      <c r="AZ25" t="inlineStr">
        <is>
          <t>['176', '1945-05-11 14:30:45', '1945-05-11 14:30:45.1', '1945-05-11 14:30:45.12', '1945-05-11 14:30:45.123', '1945-05-11 14:30:45.1235', '1945-05-11 14:30:45.12346', '1945-05-11 14:30:45.123457', '1945-05-11 14:30:45.123456']行 ['325', '9999-12-3123:59:59', '9999-12-3123:59:59.9', '9999-12-3123:59:59.99', '9999-12-3123:59:59.999', '9999-12-3123:59:59.9999', '9999-12-3123:59:59.99999', '9999-12-3123:59:59.999999', '9999-12-3123:59:59.9999999']列，源：ba0de8f51e61b90edfa9c2fd2532e602 备：172cd560842ce8a100c43bf956dc1329</t>
        </is>
      </c>
      <c r="BG25" t="inlineStr">
        <is>
          <t>['78',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['76', 'Y', '€¶I€¶', '€¶I€¶€¶I€¶€¶I€¶€¶I€¶€¶I€¶€¶I€¶€¶I€¶€¶I€¶€¶I€¶€¶I€¶€¶I€¶€¶I€¶€¶I€¶€¶I€¶€¶I€¶€¶I€¶€¶I€¶€¶I€¶€¶I€¶€¶I€¶€¶I€¶€¶I€¶€¶I€¶€¶I€¶€¶I€¶€¶I€¶€¶I€¶€¶I€¶€¶I€¶€¶I€¶€¶I€¶€¶I€¶€¶I€¶€¶I€¶€¶I€¶€¶I€¶€¶I€¶€¶I€¶€¶I€¶€¶I€¶€¶I€¶€¶I€¶€¶I€¶€¶I€¶€¶I€¶€¶I€¶€¶I€¶€¶I€¶€¶I€¶€¶I€¶€¶I€¶€¶I€¶€¶I€¶€¶I€¶€¶I€¶€¶I€¶€¶I€¶€¶I€¶€¶I€¶€¶I€¶€¶I€¶€¶I€¶€¶I€¶€¶I€¶€¶I€¶€¶I€¶€¶I€¶€¶I€¶€¶I€¶€¶I€¶€¶I€¶€¶I€¶€¶I€¶€¶I€¶€¶I€¶€¶I€¶€¶I€¶€¶I€¶€¶I€¶€¶I€¶€¶I€¶€¶I€¶€¶I€¶€¶I€¶€¶I€¶€¶I€¶€¶I€¶€¶I€¶€¶I€¶€¶I€¶€¶I€¶€¶I€¶€¶I€¶€¶I€¶€¶I€¶€¶I€¶€¶I€¶€¶I€¶€¶I€¶€¶I€¶€¶I€¶€¶I€¶€¶I€¶€¶I€¶€¶I€¶€¶I€¶€¶I€¶€¶I€¶€¶I€¶€¶I€¶€¶I€¶€¶I€¶€¶I€¶€¶I€¶€¶I€¶€¶I€¶€¶I€¶€¶I€¶€¶I€¶€¶I€¶€¶I€¶€¶I€¶€¶I€¶€¶I€¶€¶I€¶€¶I€¶€¶I€¶€¶I€¶€¶I€¶€¶I€¶€¶I€¶€¶I€¶€¶I€¶€¶I€¶€¶I€¶€¶I€¶€¶I€¶€¶I€¶€¶I€¶€¶I€¶€¶I€¶€¶I€¶€¶I€¶€¶I€¶€¶I€¶€¶I€¶€¶I€¶€¶I€¶€¶I€¶€¶I€¶€¶I€¶€¶I€¶€¶I€¶€¶I€¶€¶I€¶€¶I€¶€¶I€¶€¶I€¶€¶I€¶€¶I€¶€¶I€¶€¶I€¶€¶I€¶€¶I€¶€¶I€¶€¶I€¶€¶I€¶€¶I€¶€¶I€¶€¶I€¶€¶I€¶€¶I€¶€¶I€¶€¶I€¶€¶I€¶€¶I€¶€¶I€¶€¶I€¶€¶I€¶€¶I€¶€¶I€¶€¶I€¶€¶I€¶€¶I€¶€¶I€¶€¶I€¶€¶I€¶€¶I€¶€¶I€¶€¶I€¶€¶I€¶€¶I€¶€¶I€¶€¶I€¶€¶I€¶€¶I€¶€¶I€¶€¶I€¶€¶I€¶€¶I€¶']列，源：ca864a664752bf14629b1ec7843955df 备：7a33502817262b29fcd860110a65a581</t>
        </is>
      </c>
      <c r="BK25" t="inlineStr">
        <is>
          <t>['76',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c79564be4fc3e9df6be0a420398d4630 备：86fc697c4f402aefe34e23269138d429</t>
        </is>
      </c>
      <c r="BS25" t="inlineStr">
        <is>
          <t>['31', '2003-11-0502:00:00-05:10', '2003-11-0502:00:00.0-05:10', '2003-11-0502:00:00.00-05:10', '2003-11-0502:00:00.000-05:10', '2003-11-0502:00:00.0000-05:10', '2003-11-0502:00:00.00000-05:10', '2003-11-0502:00:00.000000-05:10', '2003-11-0502:00:00.0000000-05:10']行 ['182', '2025-05-1200:00:00-14:00', '2025-05-1200:00:00.0-14:00', '2025-05-1200:00:00.00-14:00', '2025-05-1200:00:00.000-14:00', '2025-05-1200:00:00.0000-14:00', '2025-05-1200:00:00.00000-14:00', '2025-05-1200:00:00.000000-14:00', '2025-05-1123:59:59.9999999-14:00']列，源：167672aa3873be7bdae67f329bbf8875 备：17700d437be6c6ec2ab9cc7936b0f2fc</t>
        </is>
      </c>
      <c r="BV25"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4ac89e94128c101046c2ebe1cda31ebf 备：86fc697c4f402aefe34e23269138d429</t>
        </is>
      </c>
      <c r="BW25" t="inlineStr">
        <is>
          <t>['62', '2025-05-1200:00:00-14:00', '2025-05-1200:00:00.0-14:00', '2025-05-1200:00:00.00-14:00', '2025-05-1200:00:00.000-14:00', '2025-05-1200:00:00.0000-14:00', '2025-05-1200:00:00.00000-14:00', '2025-05-1200:00:00.000000-14:00', '2025-05-1123:59:59.9999999-14:00']行 ['53', '2026-04-1717:18:32+08:00', '2026-04-1717:18:31.5+08:00', '2026-04-1717:18:31.54+08:00', '2026-04-1717:18:31.537+08:00', '2026-04-1717:18:31.5370+08:00', '2026-04-1717:18:31.53698+08:00', '2026-04-1717:18:31.536981+08:00', '2026-04-1717:18:31.5369809+08:00']列，源：7b3ff5643faa5f66de262d4d67356cda 备：5019971dc95c81fd744c63c1b720dd17</t>
        </is>
      </c>
      <c r="CB25" t="inlineStr">
        <is>
          <t>['78', '0001-01-02']行 ['27', '1970-01-01 00:00:00']列，源：2f4f02415cc45a763485cabd9879739c 备：0f8e02f15cd1bae262c7f12d0fd47b47</t>
        </is>
      </c>
      <c r="CH25" t="inlineStr">
        <is>
          <t>['205', '2026-04-17']行 ['7', '1970-01-01 00:00:00']列，源：54a055df3d0cff5c21fdcbf0d585344c 备：a15de1fe9e4c8bc16f66f0c7b8c0635f</t>
        </is>
      </c>
      <c r="CK25" t="inlineStr">
        <is>
          <t>['24', '', '', '', '', '', '', '', '', '', '', '', '', '', '', '', '', '', '', '1']行 ['9', '', '', '', '', '', '', '', '-0.0000000001', '', '', '', '', '', '', '', '', '', '', '']列，源：f555b656fed067d5becb83431f770618 备：a3fad7ea8e5ea60f0a4b941f41897462</t>
        </is>
      </c>
      <c r="CV25" t="inlineStr">
        <is>
          <t>['24', '2040-12-25 23:59:59.997']行 ['9', '1981-05-1114:30:59.000']列，源：fa768966e32e6c99295d5807309868c7 备：a56640e72f7bdf2350334a7020405913</t>
        </is>
      </c>
      <c r="DH25" t="inlineStr">
        <is>
          <t>['28', '12:30:45', '12:30:45.1', '12:30:45.12', '12:30:45.123', '12:30:45.1234', '12:30:45.1234', '12:30:45.1234', '12:30:45.1234']行 ['32', '2026-04-19 23:59:59', '2026-04-19 23:59:59.1', '2026-04-19 23:59:59.12', '2026-04-19 23:59:59.123', '2026-04-19 23:59:59.1235', '2026-04-19 23:59:59.12346', '2026-04-19 23:59:59.123457', '2026-04-19 23:59:59.123456']列，源：b2895a7ee64a60173ba5ffb0e5a08522 备：6a2c750bdaa2884e739a8b574fb7262a</t>
        </is>
      </c>
      <c r="DK25" t="inlineStr">
        <is>
          <t>['78',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['76', 'Y', '€¶I€¶', '€¶I€¶€¶I€¶€¶I€¶€¶I€¶€¶I€¶€¶I€¶€¶I€¶€¶I€¶€¶I€¶€¶I€¶€¶I€¶€¶I€¶€¶I€¶€¶I€¶€¶I€¶€¶I€¶€¶I€¶€¶I€¶€¶I€¶€¶I€¶€¶I€¶€¶I€¶€¶I€¶€¶I€¶€¶I€¶€¶I€¶€¶I€¶€¶I€¶€¶I€¶€¶I€¶€¶I€¶€¶I€¶€¶I€¶€¶I€¶€¶I€¶€¶I€¶€¶I€¶€¶I€¶€¶I€¶€¶I€¶€¶I€¶€¶I€¶€¶I€¶€¶I€¶€¶I€¶€¶I€¶€¶I€¶€¶I€¶€¶I€¶€¶I€¶€¶I€¶€¶I€¶€¶I€¶€¶I€¶€¶I€¶€¶I€¶€¶I€¶€¶I€¶€¶I€¶€¶I€¶€¶I€¶€¶I€¶€¶I€¶€¶I€¶€¶I€¶€¶I€¶€¶I€¶€¶I€¶€¶I€¶€¶I€¶€¶I€¶€¶I€¶€¶I€¶€¶I€¶€¶I€¶€¶I€¶€¶I€¶€¶I€¶€¶I€¶€¶I€¶€¶I€¶€¶I€¶€¶I€¶€¶I€¶€¶I€¶€¶I€¶€¶I€¶€¶I€¶€¶I€¶€¶I€¶€¶I€¶€¶I€¶€¶I€¶€¶I€¶€¶I€¶€¶I€¶€¶I€¶€¶I€¶€¶I€¶€¶I€¶€¶I€¶€¶I€¶€¶I€¶€¶I€¶€¶I€¶€¶I€¶€¶I€¶€¶I€¶€¶I€¶€¶I€¶€¶I€¶€¶I€¶€¶I€¶€¶I€¶€¶I€¶€¶I€¶€¶I€¶€¶I€¶€¶I€¶€¶I€¶€¶I€¶€¶I€¶€¶I€¶€¶I€¶€¶I€¶€¶I€¶€¶I€¶€¶I€¶€¶I€¶€¶I€¶€¶I€¶€¶I€¶€¶I€¶€¶I€¶€¶I€¶€¶I€¶€¶I€¶€¶I€¶€¶I€¶€¶I€¶€¶I€¶€¶I€¶€¶I€¶€¶I€¶€¶I€¶€¶I€¶€¶I€¶€¶I€¶€¶I€¶€¶I€¶€¶I€¶€¶I€¶€¶I€¶€¶I€¶€¶I€¶€¶I€¶€¶I€¶€¶I€¶€¶I€¶€¶I€¶€¶I€¶€¶I€¶€¶I€¶€¶I€¶€¶I€¶€¶I€¶€¶I€¶€¶I€¶€¶I€¶€¶I€¶€¶I€¶€¶I€¶€¶I€¶€¶I€¶€¶I€¶€¶I€¶€¶I€¶€¶I€¶€¶I€¶€¶I€¶€¶I€¶€¶I€¶€¶I€¶€¶I€¶€¶I€¶€¶I€¶€¶I€¶€¶I€¶€¶I€¶€¶I€¶€¶I€¶€¶I€¶€¶I€¶€¶I€¶€¶I€¶€¶I€¶€¶I€¶€¶I€¶€¶I€¶€¶I€¶']列，源：ca864a664752bf14629b1ec7843955df 备：7a33502817262b29fcd860110a65a581</t>
        </is>
      </c>
      <c r="DP25" t="inlineStr">
        <is>
          <t>['76',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['7', '54', '48656C6C6F576F726C64', '48656C6C6F576F726C645465737444617461']列，源：0cb34a7aec32a744aed00f6d7d171a4c 备：b1e35a32cb0d92e9c785414822a0a3a6</t>
        </is>
      </c>
      <c r="DV25" t="inlineStr">
        <is>
          <t>['64', '', '12:00:00.1', '', '12:00:00.123', '', '12:00:00.12346', '', '12:00:00.123456']行 ['66', '2026-04-19 12:00:00', '', '2026-04-19 12:00:00.12', '', '2026-04-19 12:00:00.1235', '', '2026-04-19 12:00:00.123457', '']列，源：59421c0e01db795bf7b835e36cf7ec8b 备：f7f7e38352e1476fb149b6bdda9250ad</t>
        </is>
      </c>
      <c r="EB25" t="inlineStr">
        <is>
          <t>['53', '', '', '', '', '', '', '', '', '', '', '', '', '', '', '', '', '', '', '']行 ['12', '', '', '', '', '123', '12345678901234567890123789010000000', '0.1234567890123459012345678901', '123456789012367012345678.1246', '123456712345.6789', '988', '987654321098765410987654321100000000', '0.9876543210987432109876543211', '987654321098765432105432.1099', '1234567012456.78', '', '', '', '', '']列，源：c189f39668df72e4a9429ba4b84f81df 备：b48d758f4e5aa3334c133bdfb1c74b7d</t>
        </is>
      </c>
      <c r="EH25" t="inlineStr">
        <is>
          <t>['30', '2079-06-05 23:59:00']行 ['24', '2079-06-0623:59:00']列，源：080e1010419f12b0ee6166a6186e6b78 备：b94b3829a7326a3784fb0589987feea8</t>
        </is>
      </c>
      <c r="EI25" t="inlineStr">
        <is>
          <t>['53', '', '', '', '', '', '', '', '', '', '', '', '', '', '', '', '', '', '', '']行 ['12', '', '', '', '', '123', '12345678901234567890123789010000000', '0.1234567890123459012345678901', '123456789012367012345678.1246', '123456712345.6789', '988', '987654321098765410987654321100000000', '0.9876543210987432109876543211', '987654321098765432105432.1099', '1234567012456.78', '', '', '', '', '']列，源：c189f39668df72e4a9429ba4b84f81df 备：b48d758f4e5aa3334c133bdfb1c74b7d</t>
        </is>
      </c>
      <c r="EK25" t="inlineStr">
        <is>
          <t>['108',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4ac89e94128c101046c2ebe1cda31ebf 备：3512be2cbb0c2333a84e373020b4f43c</t>
        </is>
      </c>
    </row>
    <row r="26">
      <c r="A26" t="inlineStr">
        <is>
          <t>info_varchar_dml_batch1_pk_drp1</t>
        </is>
      </c>
      <c r="K26" t="inlineStr">
        <is>
          <t>[0;34m info_varchar_dml_batch1_pk_drp1 [0m源备字段数相同，源端字段：4 	备端字段4</t>
        </is>
      </c>
      <c r="W26" t="inlineStr">
        <is>
          <t>YES 源备无差异</t>
        </is>
      </c>
      <c r="X26">
        <f>A26</f>
        <v/>
      </c>
      <c r="Y26" t="inlineStr">
        <is>
          <t>['60', '2079-06-05 23:59:00']行 ['7', '2000-05-1114:30:00']列，源：9127670930dd3a5ced41e03c6617a98e 备：4458fa2ea1bccc5c0ccf21d95fff7c93</t>
        </is>
      </c>
      <c r="AL26" t="inlineStr">
        <is>
          <t>['51', '']行 ['168', '2004-12-2423:59:59.990']列，源：bd5924d621af046c64766d03ad5b2244 备：5dc13d83e7d0da6d0dcdcf44e3183553</t>
        </is>
      </c>
      <c r="AO26" t="inlineStr">
        <is>
          <t>['103', '1753-01-01 00:00:00']行 ['16', '2002-06-1123:59:59.993']列，源：ff19ec9dc43ad33505a54b0308562a65 备：dd95e5ac1573694c264ae980ec79cc8e</t>
        </is>
      </c>
      <c r="AP26" t="inlineStr">
        <is>
          <t>['24', '9999-12-31 23:59:59.997']行 ['9', '9999-12-3123:59:59.997']列，源：93cad341c385a7361e935a51394301b4 备：669c0adf9771cb18b1cf886e40e9b9d0</t>
        </is>
      </c>
      <c r="AR26" t="inlineStr">
        <is>
          <t>['24', '2020-02-29 19:27:31.123']行 ['9', '2020-02-2919:27:31.123']列，源：14a2515d62e78e9d56ac0ed749537a66 备：6f0f1b76df068283b2a744d599b5f6bf</t>
        </is>
      </c>
      <c r="AZ26" t="inlineStr">
        <is>
          <t>['177', '2065-05-11 14:30:45', '2065-05-11 14:30:45.1', '2065-05-11 14:30:45.12', '2065-05-11 14:30:45.123', '2065-05-11 14:30:45.1235', '2065-05-11 14:30:45.12346', '2065-05-11 14:30:45.123457', '2065-05-11 14:30:45.123456']行 ['327', '2065-05-1114:30:45', '2065-05-1114:30:45.1', '2065-05-1114:30:45.12', '2065-05-1114:30:45.123', '2065-05-1114:30:45.1235', '2065-05-1114:30:45.12346', '2065-05-1114:30:45.123457', '2065-05-1114:30:45.1234567']列，源：15057f53337666def09820a9f8e4156e 备：1f9ecfb88b4b7a6b09787d9a4032a389</t>
        </is>
      </c>
      <c r="BG26" t="inlineStr">
        <is>
          <t>['128',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b0a35070226bb000777c7836783531d7 备：579a909bdeb642ab6c6e90bea7965234</t>
        </is>
      </c>
      <c r="BK26" t="inlineStr">
        <is>
          <t>['77',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['73', '0', '0', '0']列，源：4b4fbb6eb7121a50009e50c989f8cbe6 备：22c27291ddb4a9c23bf9feb961c0165f</t>
        </is>
      </c>
      <c r="BS26" t="inlineStr">
        <is>
          <t>['32', '2025-05-1200:00:00-14:00', '2025-05-1200:00:00.0-14:00', '2025-05-1200:00:00.00-14:00', '2025-05-1200:00:00.000-14:00', '2025-05-1200:00:00.0000-14:00', '2025-05-1200:00:00.00000-14:00', '2025-05-1200:00:00.000000-14:00', '2025-05-1123:59:59.9999999-14:00']行 ['183', '1971-05-1100:00:00+14:00', '1971-05-1100:00:00.0+14:00', '1971-05-1100:00:00.00+14:00', '1971-05-1100:00:00.000+14:00', '1971-05-1100:00:00.0000+14:00', '1971-05-1100:00:00.00000+14:00', '1971-05-1100:00:00.000000+14:00', '1971-05-1100:00:00.0000001+14:00']列，源：77edf13b7c41f0403e2ac283d6538a69 备：b062d97af764194fa0c195f8f1507064</t>
        </is>
      </c>
      <c r="BV26" t="inlineStr">
        <is>
          <t>['109', '*', '~!@#%^&amp;*\x00\x00\x00\x00\x00\x00\x00\x00\x00\x00', '~!@#%^&amp;*~!@#%^&amp;*~!@#%^&amp;*~!@#%^&amp;*~!@#%^&amp;*~!@#%^&amp;*~!@#%^&amp;*~!@#%^&amp;*~!@#%^&amp;*~!@#%^&amp;*~!@#%^&amp;*~!@#%^&amp;*~!@#%^&amp;*~!@#%^&amp;*~!@#%^&amp;*~!@#%^&amp;*~!@#%^&amp;*~!@#%^&amp;*~!@#%^&amp;*~!@#%^&amp;*']行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b5b420901c18238317d86a9ef7505076 备：0a104d284ac01e1025345effbe0db7c2</t>
        </is>
      </c>
      <c r="BW26" t="inlineStr">
        <is>
          <t>['63', '1971-05-1100:00:00+14:00', '1971-05-1100:00:00.0+14:00', '1971-05-1100:00:00.00+14:00', '1971-05-1100:00:00.000+14:00', '1971-05-1100:00:00.0000+14:00', '1971-05-1100:00:00.00000+14:00', '1971-05-1100:00:00.000000+14:00', '1971-05-1100:00:00.0000001+14:00']行 ['54', '0001-01-0100:00:00+00:00', '0001-01-0100:00:00.0+00:00', '0001-01-0100:00:00.00+00:00', '0001-01-0100:00:00.000+00:00', '0001-01-0100:00:00.0000+00:00', '0001-01-0100:00:00.00000+00:00', '0001-01-0100:00:00.000000+00:00', '0001-01-0100:00:00.0000000+00:00']列，源：3ef57ea97a3adfd08f948fd75cb1806e 备：64a4d74b27edbf055a31880b334d5497</t>
        </is>
      </c>
      <c r="CB26" t="inlineStr">
        <is>
          <t>['79', '9999-12-30']行 ['279', '9999-12-30 00:00:00']列，源：8e5bb8f61857cd4bdeee6dd5c8cca1c6 备：9fd2333e9ecda03b326d34f722a538ed</t>
        </is>
      </c>
      <c r="CH26" t="inlineStr">
        <is>
          <t>['209', '9999-12-30']行 ['8', '0001-01-02 00:00:00']列，源：80e4da860ace1202341f30f1e84c386b 备：6fa67fdbd162c694f276285f59a50544</t>
        </is>
      </c>
      <c r="DH26" t="inlineStr">
        <is>
          <t>['29', '12:30:45', '12:30:45.1', '12:30:45.12', '12:30:45.123', '12:30:45.1235', '12:30:45.12345', '12:30:45.12345', '12:30:45.12345']行 ['33', '', '2026-04-19 00:00:01.1', '', '2026-04-19 00:00:01.123', '', '2026-04-19 00:00:01.12346', '', '2026-04-19 00:00:01.123456']列，源：f686be1ec403fede74c46e50c3958995 备：9d567a2976d14a08fa36c8d92cb83487</t>
        </is>
      </c>
      <c r="DK26" t="inlineStr">
        <is>
          <t>['128',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['77', '测', '这是一个长字符串', '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这是一个长中文']列，源：b0a35070226bb000777c7836783531d7 备：579a909bdeb642ab6c6e90bea7965234</t>
        </is>
      </c>
      <c r="DP26" t="inlineStr">
        <is>
          <t>['77', 'T', 'HELLOWORLD', 'HELLOWORLDTESTDATA']行 ['73', '', '', '']列，源：37fec9ff0598837ad82cde748ffa6cb9 备：4f460f8ea3e8dea40fa50fd8d199b6d7</t>
        </is>
      </c>
      <c r="DV26" t="inlineStr">
        <is>
          <t>['65', '00:00:01', '', '00:00:01.12', '', '00:00:01.1235', '', '00:00:01.123457', '']行 ['7', '2026-04-19 12:30:45', '2026-04-19 12:30:45.1', '2026-04-19 12:30:45.12', '2026-04-19 12:30:45.123', '2026-04-19 12:30:45.123', '2026-04-19 12:30:45.123', '2026-04-19 12:30:45.123', '2026-04-19 12:30:45.123']列，源：45e95bdea2d225c52452691b9c81b207 备：b217520f2cf410799933541ced01d776</t>
        </is>
      </c>
      <c r="EB26" t="inlineStr">
        <is>
          <t>['54', '123', '12345', '1234567890', '1234567890123456', '', '', '', '', '', '', '', '', '', '', '', '', '', '', '']行 ['120', '', '', '', '', '', '', '', '', '', '', '', '', '', '', '', '', '', '', '']列，源：8a03894f3c8b6e670dd146c34d5fc4a6 备：a4e144906f00c970f1d65ac6f060d6c5</t>
        </is>
      </c>
      <c r="EH26" t="inlineStr">
        <is>
          <t>['31', '1900-01-02 00:00:00']行 ['25', '2026-04-1717:15:00']列，源：e2281dc42997e2b4b4170835acc8a9c0 备：44f542edf0a5328585153a7d97d6a2dc</t>
        </is>
      </c>
      <c r="EI26" t="inlineStr">
        <is>
          <t>['54', '123', '12345', '1234567890', '1234567890123456', '', '', '', '', '', '', '', '', '', '', '', '', '', '', '']行 ['120', '', '', '', '', '', '', '', '', '', '', '', '', '', '', '', '', '', '', '']列，源：8a03894f3c8b6e670dd146c34d5fc4a6 备：a4e144906f00c970f1d65ac6f060d6c5</t>
        </is>
      </c>
    </row>
    <row r="27">
      <c r="B27" t="inlineStr">
        <is>
          <t>YES</t>
        </is>
      </c>
      <c r="C27" t="inlineStr">
        <is>
          <t>NULL</t>
        </is>
      </c>
      <c r="D27" t="inlineStr">
        <is>
          <t>NULL</t>
        </is>
      </c>
      <c r="E27" t="inlineStr">
        <is>
          <t>NULL</t>
        </is>
      </c>
      <c r="F27" t="inlineStr">
        <is>
          <t>NULL</t>
        </is>
      </c>
      <c r="G27" t="inlineStr">
        <is>
          <t>NULL</t>
        </is>
      </c>
      <c r="H27" t="inlineStr">
        <is>
          <t>NULL</t>
        </is>
      </c>
      <c r="I27" t="inlineStr">
        <is>
          <t>YES!PK__info_var__3213E83FF228FCD7</t>
        </is>
      </c>
      <c r="J27" t="inlineStr">
        <is>
          <t>YES! 主键相关索引</t>
        </is>
      </c>
      <c r="K27" t="inlineStr">
        <is>
          <t xml:space="preserve"> NO!  	 id列源备映射错误，源端为int None位	期望更改为text	实际备端为int None位</t>
        </is>
      </c>
      <c r="Y27" t="inlineStr">
        <is>
          <t>['63', '2025-05-11 12:00:00']行 ['8', '2068-05-1114:31:00']列，源：0de992147823e787722e70764456bee1 备：ce20a4e427faf031e896199a8e3144b5</t>
        </is>
      </c>
      <c r="AL27" t="inlineStr">
        <is>
          <t>['52', '1900-01-01 00:00:00']行 ['169', '1753-01-0200:00:00.000']列，源：1023a95512666618a349592688dcb802 备：c9bae9e56379a835e5c02dbdab8925cf</t>
        </is>
      </c>
      <c r="AO27" t="inlineStr">
        <is>
          <t>['106', '2020-02-29 19:27:31.123']行 ['17', '2003-11-0423:59:59.990']列，源：811fea2a0f548333d74575acf65f149b 备：f6a0bc59d839acb488f1957d839f4f02</t>
        </is>
      </c>
      <c r="AZ27" t="inlineStr">
        <is>
          <t>['223', '2026-04-17 17:17:25', '2026-04-17 17:17:24.6', '2026-04-17 17:17:24.63', '2026-04-17 17:17:24.631', '2026-04-17 17:17:24.6306', '2026-04-17 17:17:24.63065', '2026-04-17 17:17:24.630647', '2026-04-17 17:17:24.630646']行 ['375', '9999-12-3123:59:59', '9999-12-3123:59:59.9', '9999-12-3123:59:59.99', '9999-12-3123:59:59.999', '9999-12-3123:59:59.9999', '9999-12-3123:59:59.99999', '9999-12-3123:59:59.999999', '9999-12-3123:59:59.9999999']列，源：62b92b0bb30d45654db470bf87c261b1 备：959bf78b1093770b6c9549dda4e6deeb</t>
        </is>
      </c>
      <c r="BG27" t="inlineStr">
        <is>
          <t>['158',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0bbcedfc715bfbd530fa77d478cdfe55 备：ca864a664752bf14629b1ec7843955df</t>
        </is>
      </c>
      <c r="BK27"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['74', '20', '2020202020202020202020202020000000000000',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570842b9369243434cf91f3a531cf7d0 备：a9c53339281ebe0e949322ef4846b3ac</t>
        </is>
      </c>
      <c r="BS27" t="inlineStr">
        <is>
          <t>['33', '1971-05-1100:00:00+14:00', '1971-05-1100:00:00.0+14:00', '1971-05-1100:00:00.00+14:00', '1971-05-1100:00:00.000+14:00', '1971-05-1100:00:00.0000+14:00', '1971-05-1100:00:00.00000+14:00', '1971-05-1100:00:00.000000+14:00', '1971-05-1100:00:00.0000001+14:00']行 ['2', '1900-01-0100:00:00+00:00', '1900-01-0100:00:00.0+00:00', '1900-01-0100:00:00.00+00:00', '1900-01-0100:00:00.000+00:00', '1900-01-0100:00:00.0000+00:00', '1900-01-0100:00:00.00000+00:00', '1900-01-0100:00:00.000000+00:00', '1900-01-0100:00:00.0000000+00:00']列，源：e283999138a027d105e1a8f53f5c9851 备：a90945644d7e627bd23eb4243cc8ac03</t>
        </is>
      </c>
      <c r="BV27" t="inlineStr">
        <is>
          <t>['110', '*', '12345678901234567890', '12345678901234567890123456790000000000000000000000000000000000000000000000000000000000000000000000000000000000000000000000000000000000000000000000000000000000000000000000000000000000000000000000000000']行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daf322f0f18b4df33f16874824ea3400 备：34b7ed63247f47087617490d69f49e9c</t>
        </is>
      </c>
      <c r="BW27" t="inlineStr">
        <is>
          <t>['102', '1900-01-0100:00:00+00:00', '1900-01-0100:00:00.0+00:00', '1900-01-0100:00:00.00+00:00', '1900-01-0100:00:00.000+00:00', '1900-01-0100:00:00.0000+00:00', '1900-01-0100:00:00.00000+00:00', '1900-01-0100:00:00.000000+00:00', '1900-01-0100:00:00.0000000+00:00']行 ['55', '9999-12-3123:59:59+00:00', '9999-12-3123:59:59.9+00:00', '9999-12-3123:59:59.99+00:00', '9999-12-3123:59:59.999+00:00', '9999-12-3123:59:59.9999+00:00', '9999-12-3123:59:59.99999+00:00', '9999-12-3123:59:59.999999+00:00', '9999-12-3123:59:59.9999999+00:00']列，源：425a3155bc50bd57fe2dc5dfb5ca2f2a 备：f6cdfdfb36f4df57796c9524ee07ff8d</t>
        </is>
      </c>
      <c r="CB27" t="inlineStr">
        <is>
          <t>['80', '1990-05-11']行 ['28', '0001-01-02 00:00:00']列，源：2a42d0c385922c306caa18cf92514ad8 备：a25e139c528a45abb5996526763daf00</t>
        </is>
      </c>
      <c r="CH27" t="inlineStr">
        <is>
          <t>['211', '2068-06-01']行 ['9', '9999-12-30 00:00:00']列，源：dc346dc82b06e945561eba788c931d09 备：9984c1d9358c3ef40f8e1c3abd41d70e</t>
        </is>
      </c>
      <c r="DH27" t="inlineStr">
        <is>
          <t>['30', '12:30:45', '12:30:45.1', '12:30:45.12', '12:30:45.123', '12:30:45.1235', '12:30:45.12346', '12:30:45.123456', '12:30:45.123456']行 ['34', '', '2026-04-19 12:00:00.1', '', '2026-04-19 12:00:00.123', '', '2026-04-19 12:00:00.12346', '', '2026-04-19 12:00:00.123456']列，源：088d951cf9472cd949b40582e9187833 备：89399e046e76d1bc3d68eeed0b63994d</t>
        </is>
      </c>
      <c r="DK27" t="inlineStr">
        <is>
          <t>['158',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0bbcedfc715bfbd530fa77d478cdfe55 备：ca864a664752bf14629b1ec7843955df</t>
        </is>
      </c>
      <c r="DP27" t="inlineStr">
        <is>
          <t>['78',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['74', '20', '20202020202020202020', '20202020202020202020202020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570842b9369243434cf91f3a531cf7d0 备：c0192e17572aa3cbafedbb742146634d</t>
        </is>
      </c>
      <c r="DV27" t="inlineStr">
        <is>
          <t>['66', '12:00:00', '', '12:00:00.12', '', '12:00:00.1235', '', '12:00:00.123457', '']行 ['8', '2026-04-19 12:30:45', '2026-04-19 12:30:45.1', '2026-04-19 12:30:45.12', '2026-04-19 12:30:45.123', '2026-04-19 12:30:45.1234', '2026-04-19 12:30:45.1234', '2026-04-19 12:30:45.1234', '2026-04-19 12:30:45.1234']列，源：6a23e2d84a673ea572bea213419b26ca 备：ea173bcb3f398beaa3adfe55f9fc31c5</t>
        </is>
      </c>
      <c r="EB27" t="inlineStr">
        <is>
          <t>['55', '0', '0', '0', '0', '', '', '', '', '', '', '', '', '', '', '', '', '', '', '']行 ['13', '', '', '', '', '-457', '-123456780123456781234589012300000', '-0.4567890123479234567890145679', '-123456789012347890345678.9874', '-98743298765.4321', '-321', '-987654321096543210987654321100000000', '-0.1234569012345671234567890123', '-6543210976543287654321.098765', '-9876543210954.32', '', '', '', '', '']列，源：98b081846a1e1227e41ac042fc20cd28 备：a44b5811c634b93da05bdec7da53ebf7</t>
        </is>
      </c>
      <c r="EH27" t="inlineStr">
        <is>
          <t>['32', '1990-11-26 00:01:00']行 ['26', '2020-03-0100:00:00']列，源：ac9552e18a826719a4625b3a7086207d 备：c8eaa2d5d9d31f7476e8a3762afa832e</t>
        </is>
      </c>
      <c r="EI27" t="inlineStr">
        <is>
          <t>['55', '0', '0', '0', '0', '', '', '', '', '', '', '', '', '', '', '', '', '', '', '']行 ['13', '', '', '', '', '-457', '-123456780123456781234589012300000', '-0.4567890123479234567890145679', '-123456789012347890345678.9874', '-98743298765.4321', '-321', '-987654321096543210987654321100000000', '-0.1234569012345671234567890123', '-6543210976543287654321.098765', '-9876543210954.32', '', '', '', '', '']列，源：98b081846a1e1227e41ac042fc20cd28 备：a44b5811c634b93da05bdec7da53ebf7</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 xml:space="preserve"> NO!  	 c_varchar列源备映射错误，源端为varchar 1位	期望更改为text	实际备端为varchar 1位</t>
        </is>
      </c>
      <c r="Y28" t="inlineStr">
        <is>
          <t>['64', '2023-12-25 23:59:00']行 ['9', '1981-05-1114:31:00']列，源：538c758c3592f5ba51a53ed6456ea650 备：935b5b35ef9c0a6a8a85fa748df68946</t>
        </is>
      </c>
      <c r="AL28" t="inlineStr">
        <is>
          <t>['53', '1753-01-01 00:00:00']行 ['17', '2003-11-0423:59:59.990']列，源：118d798c5b445604ce9dbcd0c4f55f8d 备：f6a0bc59d839acb488f1957d839f4f02</t>
        </is>
      </c>
      <c r="AO28" t="inlineStr">
        <is>
          <t>['107', '2000-05-11 14:30:29']行 ['18', '2004-12-2423:59:59.990']列，源：b54541f1658f9a02d3dfbb36a1f9ae5d 备：f42b752525aabf0bcdf23e82a8a8608c</t>
        </is>
      </c>
      <c r="AZ28" t="inlineStr">
        <is>
          <t>['225', '9999-12-31 23:59:59', '9999-12-31 23:59:59.9', '9999-12-31 23:59:59.99', '9999-12-31 23:59:59.999', '9999-12-31 23:59:59.9999', '9999-12-31 23:59:59.99999', '9999-12-31 23:59:59.999999', '9999-12-31 23:59:59.999999']行 ['377', '2065-05-1114:30:45', '2065-05-1114:30:45.1', '2065-05-1114:30:45.12', '2065-05-1114:30:45.123', '2065-05-1114:30:45.1235', '2065-05-1114:30:45.12346', '2065-05-1114:30:45.123457', '2065-05-1114:30:45.1234567']列，源：2c1bbbbe5e6c1ba6101f758f35422f02 备：484d74a32d74f8675ce00f80230a566b</t>
        </is>
      </c>
      <c r="BG28" t="inlineStr">
        <is>
          <t>['178',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263116367a90948e2d0f40b9f0341300 备：65d227311e1c455ebd46b97f13e46ae9</t>
        </is>
      </c>
      <c r="BK28" t="inlineStr">
        <is>
          <t>['79', '*', '~!@#%^&amp;*\x00\x00\x00\x00\x00\x00\x00\x00\x00\x00', '~!@#%^&amp;*~!@#%^&amp;*~!@#%^&amp;*~!@#%^&amp;*~!@#%^&amp;*~!@#%^&amp;*~!@#%^&amp;*~!@#%^&amp;*~!@#%^&amp;*~!@#%^&amp;*~!@#%^&amp;*~!@#%^&amp;*~!@#%^&amp;*~!@#%^&amp;*~!@#%^&amp;*~!@#%^&amp;*~!@#%^&amp;*~!@#%^&amp;*~!@#%^&amp;*~!@#%^&amp;*']行 ['75',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9b6a217474f0ce7e3b7e9ff9b2e5da7 备：65c56cb0dea8a2cbc884c58810844a47</t>
        </is>
      </c>
      <c r="BS28" t="inlineStr">
        <is>
          <t>['72', '1900-01-0100:00:00+00:00', '1900-01-0100:00:00.0+00:00', '1900-01-0100:00:00.00+00:00', '1900-01-0100:00:00.000+00:00', '1900-01-0100:00:00.0000+00:00', '1900-01-0100:00:00.00000+00:00', '1900-01-0100:00:00.000000+00:00', '1900-01-0100:00:00.0000000+00:00']行 ['21', '', '', '', '', '', '', '', '']列，源：718357efb457ed01479a808b2400aea8 备：cc069b0555b1f248fd524f9713174ec2</t>
        </is>
      </c>
      <c r="BW28" t="inlineStr">
        <is>
          <t>['103', '2026-04-1717:18:32+08:00', '2026-04-1717:18:31.5+08:00', '2026-04-1717:18:31.54+08:00', '2026-04-1717:18:31.537+08:00', '2026-04-1717:18:31.5370+08:00', '2026-04-1717:18:31.53698+08:00', '2026-04-1717:18:31.536981+08:00', '2026-04-1717:18:31.5369809+08:00']行 ['56', '2063-05-1110:30:45-04:00', '2063-05-1110:30:45.1-04:00', '2063-05-1110:30:45.12-04:00', '2063-05-1110:30:45.123-04:00', '2063-05-1110:30:45.1235-04:00', '2063-05-1110:30:45.12346-04:00', '2063-05-1110:30:45.123457-04:00', '2063-05-1110:30:45.1234567-04:00']列，源：04dec387cec344504a7bab1982651e05 备：c37f4e4660345dcc79f8c31fc0c48492</t>
        </is>
      </c>
      <c r="CB28" t="inlineStr">
        <is>
          <t>['81', '2068-06-01']行 ['281', '2068-06-01 00:00:00']列，源：f6d4efe4582280ba0c520a70e98af770 备：4d13934f9822df7a2364f378da9db108</t>
        </is>
      </c>
      <c r="DH28" t="inlineStr">
        <is>
          <t>['31', '12:30:45', '12:30:45.1', '12:30:45.12', '12:30:45.123', '12:30:45.1235', '12:30:45.12346', '12:30:45.123457', '12:30:45.123456']行 ['35', '2026-04-19 00:00:01', '', '2026-04-19 00:00:01.12', '', '2026-04-19 00:00:01.1235', '', '2026-04-19 00:00:01.123457', '']列，源：7fe654f477b8b394ce99407b0e8f5238 备：e7bb2ba63e3b10d0cf880dffd20b1f24</t>
        </is>
      </c>
      <c r="DK28" t="inlineStr">
        <is>
          <t>['178',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行 ['8', '试', '更新生僻字', '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更新生僻字']列，源：263116367a90948e2d0f40b9f0341300 备：65d227311e1c455ebd46b97f13e46ae9</t>
        </is>
      </c>
      <c r="DP28" t="inlineStr">
        <is>
          <t>['79', '*', '~!@#%^&amp;*', '~!@#%^&amp;*~!@#%^&amp;*~!@#%^&amp;*~!@#%^&amp;*~!@#%^&amp;*~!@#%^&amp;*~!@#%^&amp;*~!@#%^&amp;*~!@#%^&amp;*~!@#%^&amp;*~!@#%^&amp;*~!@#%^&amp;*~!@#%^&amp;*~!@#%^&amp;*~!@#%^&amp;*~!@#%^&amp;*~!@#%^&amp;*~!@#%^&amp;*~!@#%^&amp;*~!@#%^&amp;*']行 ['75', '41', '5661726961626C65206C656E6774682062696E61', '5465737454657374546573745466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d5f022f0c3bbc642049d27b551b3ec4f 备：65c56cb0dea8a2cbc884c58810844a47</t>
        </is>
      </c>
      <c r="DV28" t="inlineStr">
        <is>
          <t>['109', '12:30:45', '12:30:45.1', '12:30:45.12', '12:30:45.123', '12:30:45.1235', '12:30:45.12345', '12:30:45.12345', '12:30:45.12345']行 ['9', '2026-04-19 12:30:45', '2026-04-19 12:30:45.1', '2026-04-19 12:30:45.12', '2026-04-19 12:30:45.123', '2026-04-19 12:30:45.1235', '2026-04-19 12:30:45.12345', '2026-04-19 12:30:45.12345', '2026-04-19 12:30:45.12345']列，源：f5595cbb2b9eaab04f05126a483d4910 备：cc85285a2c5fce7382f015e65be5b09e</t>
        </is>
      </c>
      <c r="EB28" t="inlineStr">
        <is>
          <t>['56', '127', '255', '65535', '4294967295', '', '', '', '', '', '', '', '', '', '', '', '', '', '', '']行 ['14', '', '', '', '', '1000000000000000', '100000000000000000000000000000000', '1', '9999999999999999999999.999999', '999999999999.999', '100000000000000', '999999999999999999999', '0.999999999999999999999999999', '999999999999999999999.999999', '9999999999.99', '', '', '', '', '']列，源：c0a8c8bdb59959471b71fb739ed1691f 备：b197c452aea238e9c6c5e0c19446e315</t>
        </is>
      </c>
      <c r="EH28" t="inlineStr">
        <is>
          <t>['33', '2025-05-11 12:00:00']行 ['27', '2000-05-1114:30:00']列，源：40669dbf49c38674630f04623d04a9a1 备：d784892a5dca36b05db5f39c4330fc8e</t>
        </is>
      </c>
      <c r="EI28" t="inlineStr">
        <is>
          <t>['56', '127', '255', '65535', '4294967295', '', '', '', '', '', '', '', '', '', '', '', '', '', '', '']行 ['14', '', '', '', '', '1000000000000000', '100000000000000000000000000000000', '1', '9999999999999999999999.999999', '999999999999.999', '100000000000000', '999999999999999999999', '0.999999999999999999999999999', '999999999999999999999.999999', '9999999999.99', '', '', '', '', '']列，源：c0a8c8bdb59959471b71fb739ed1691f 备：b197c452aea238e9c6c5e0c19446e315</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c_varchar20列源备映射错误，源端为varchar 20位	期望更改为text	实际备端为varchar 20位</t>
        </is>
      </c>
      <c r="AL29" t="inlineStr">
        <is>
          <t>['54', '9999-12-31 23:59:59.997']行 ['171', '2023-05-1100:00:00.123']列，源：c671120965980c79c1e74173d5e139d8 备：5b4cc293af3bf6663d7ae575ae42daed</t>
        </is>
      </c>
      <c r="AO29" t="inlineStr">
        <is>
          <t>['109', '1981-05-11 14:30:59']行 ['19', '1753-01-0200:00:00.000']列，源：d286a6c7b54fdd3d0c77aee190f960c5 备：736c2e259e88dc84b0eb356212ee62c8</t>
        </is>
      </c>
      <c r="AZ29" t="inlineStr">
        <is>
          <t>['227', '2065-05-11 14:30:45', '2065-05-11 14:30:45.1', '2065-05-11 14:30:45.12', '2065-05-11 14:30:45.123', '2065-05-11 14:30:45.1235', '2065-05-11 14:30:45.12346', '2065-05-11 14:30:45.123457', '2065-05-11 14:30:45.123456']行 ['4', '0001-01-0100:00:00', '0001-01-0100:00:00.0', '0001-01-0100:00:00.00', '0001-01-0100:00:00.000', '0001-01-0100:00:00.0000', '0001-01-0100:00:00.00000', '0001-01-0100:00:00.000000', '0001-01-0100:00:00.0000000']列，源：058dc8ae950c33db4f5564f4ec463570 备：f0d99e817229c3587ffa73fc700c18e7</t>
        </is>
      </c>
      <c r="BK29" t="inlineStr">
        <is>
          <t>['80', '*', '12345678901234567890', '12345678901234567890123456790000000000000000000000000000000000000000000000000000000000000000000000000000000000000000000000000000000000000000000000000000000000000000000000000000000000000000000000000000']行 ['76', '70',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列，源：14be03409f264dc6b9e3c28a0af17e06 备：be71a6efe96d13e63ec5cf0e9cbc67c2</t>
        </is>
      </c>
      <c r="BS29" t="inlineStr">
        <is>
          <t>['73', '2026-04-1717:18:23+08:00', '2026-04-1717:18:22.8+08:00', '2026-04-1717:18:22.75+08:00', '2026-04-1717:18:22.755+08:00', '2026-04-1717:18:22.7550+08:00', '2026-04-1717:18:22.75495+08:00', '2026-04-1717:18:22.754952+08:00', '2026-04-1717:18:22.7549521+08:00']行 ['22', '1900-01-0100:00:00+00:00', '1900-01-0100:00:00.0+00:00', '1900-01-0100:00:00.00+00:00', '1900-01-0100:00:00.000+00:00', '1900-01-0100:00:00.0000+00:00', '1900-01-0100:00:00.00000+00:00', '1900-01-0100:00:00.000000+00:00', '1900-01-0100:00:00.0000000+00:00']列，源：93892d71bd9aaf6b17094a0d029de9a6 备：0cb5667dac6486cd62ed57fd967839e5</t>
        </is>
      </c>
      <c r="BW29" t="inlineStr">
        <is>
          <t>['104', '0001-01-0100:00:00+00:00', '0001-01-0100:00:00.0+00:00', '0001-01-0100:00:00.00+00:00', '0001-01-0100:00:00.000+00:00', '0001-01-0100:00:00.0000+00:00', '0001-01-0100:00:00.00000+00:00', '0001-01-0100:00:00.000000+00:00', '0001-01-0100:00:00.0000000+00:00']行 ['57', '1933-05-1115:30:45+01:00', '1933-05-1115:30:45.1+01:00', '1933-05-1115:30:45.12+01:00', '1933-05-1115:30:45.123+01:00', '1933-05-1115:30:45.1235+01:00', '1933-05-1115:30:45.12346+01:00', '1933-05-1115:30:45.123457+01:00', '1933-05-1115:30:45.1234567+01:00']列，源：a93678e702bc326acd38debfc912d4fc 备：afbb6892727bcf5b3d350cbc35a702ee</t>
        </is>
      </c>
      <c r="CB29" t="inlineStr">
        <is>
          <t>['122', '1900-01-01']行 ['29', '9999-12-30 00:00:00']列，源：790cde9fa57671157ea76a628a323790 备：16d1bfa03b09a4b0615a7dcf3106713e</t>
        </is>
      </c>
      <c r="DH29" t="inlineStr">
        <is>
          <t>['32', '23:59:59', '23:59:59.1', '23:59:59.12', '23:59:59.123', '23:59:59.1235', '23:59:59.12346', '23:59:59.123457', '23:59:59.123456']行 ['36', '2026-04-19 12:00:00', '', '2026-04-19 12:00:00.12', '', '2026-04-19 12:00:00.1235', '', '2026-04-19 12:00:00.123457', '']列，源：0692e75492872b5e9641743f4ecbeeee 备：ca5739cf71300440b79cc990f22fb075</t>
        </is>
      </c>
      <c r="DP29" t="inlineStr">
        <is>
          <t>['80', '*', '12345678901234567890', '12345678901234567890123456790000000000000000000000000000000000000000000000000000000000000000000000000000000000000000000000000000000000000000000000000000000000000000000000000000000000000000000000000000']行 ['76',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列，源：14be03409f264dc6b9e3c28a0af17e06 备：0cb34a7aec32a744aed00f6d7d171a4c</t>
        </is>
      </c>
      <c r="EB29" t="inlineStr">
        <is>
          <t>['57', '255', '32767', '2147483647', '9223372036854775808', '', '', '', '', '', '', '', '', '', '', '', '', '', '', '']行 ['15', '', '', '', '', '0', '1', '0.000000000000000000000000001', '0.000000001', '0.0001', '0', '1', '0.000000000000000000000000000001', '0.000001', '0.01', '', '', '', '', '']列，源：251b6f3f24ba2b7b6dff7af682630b57 备：221d65c70706de8fe2f4d798e2ad9782</t>
        </is>
      </c>
      <c r="EH29" t="inlineStr">
        <is>
          <t>['34', '2023-12-25 23:59:00']行 ['28', '2068-05-1114:31:00']列，源：be737bbb42eae9854ec30a73713da140 备：a5c60b0259f93c64a0dc9525fcc845d7</t>
        </is>
      </c>
      <c r="EI29" t="inlineStr">
        <is>
          <t>['57', '255', '32767', '2147483647', '9223372036854775808', '', '', '', '', '', '', '', '', '', '', '', '', '', '', '']行 ['15', '', '', '', '', '0', '1', '0.000000000000000000000000001', '0.000000001', '0.0001', '0', '1', '0.000000000000000000000000000001', '0.000001', '0.01', '', '', '', '', '']列，源：251b6f3f24ba2b7b6dff7af682630b57 备：221d65c70706de8fe2f4d798e2ad9782</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 xml:space="preserve"> NO!  	 c_varchar7000列源备映射错误，源端为varchar 7000位	期望更改为text	实际备端为varchar 7000位</t>
        </is>
      </c>
      <c r="AL30" t="inlineStr">
        <is>
          <t>['55', '2026-04-17 17:16:25.287']行 ['172', '2024-05-1112:00:00.567']列，源：bb7d1e3bab4f66b6c3e94289a4cdcac7 备：9323ce343d795935eafd2a32eaae3fd8</t>
        </is>
      </c>
      <c r="AO30" t="inlineStr">
        <is>
          <t>['110', '1996-03-03 23:59:59.997']行 ['2', '1900-01-0100:00:00.000']列，源：46f4859b02402a27f48cfdd3f934dc78 备：45889ccd7f579f618648c03afae6ff25</t>
        </is>
      </c>
      <c r="AZ30" t="inlineStr">
        <is>
          <t>['275', '9999-12-31 23:59:59', '9999-12-31 23:59:59.9', '9999-12-31 23:59:59.99', '9999-12-31 23:59:59.999', '9999-12-31 23:59:59.9999', '9999-12-31 23:59:59.99999', '9999-12-31 23:59:59.999999', '9999-12-31 23:59:59.999999']行 ['5', '9999-12-3123:59:59', '9999-12-3123:59:59.9', '9999-12-3123:59:59.99', '9999-12-3123:59:59.999', '9999-12-3123:59:59.9999', '9999-12-3123:59:59.99999', '9999-12-3123:59:59.999999', '9999-12-3123:59:59.9999999']列，源：37f1d4e229e38824fc8f7c5d905ab5cb 备：8473e1310886de44e542ee71af3d2919</t>
        </is>
      </c>
      <c r="BK30" t="inlineStr">
        <is>
          <t>['123', '\x00', '\x00\x00\x00\x00\x00\x00\x00\x00\x00\x00\x00\x00\x00\x00\x00\x00\x00\x00\x00\x00', '\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['77', '54', '48656C6C6F576F726C6400000000000000000000', '48656C6C6F576F726C645465737444617461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7626d34c3ccbdccf905a7363a44c485 备：1d7fa5865c1b1c353a9620f0af934484</t>
        </is>
      </c>
      <c r="BS30" t="inlineStr">
        <is>
          <t>['74', '0001-01-0100:00:00+00:00', '0001-01-0100:00:00.0+00:00', '0001-01-0100:00:00.00+00:00', '0001-01-0100:00:00.000+00:00', '0001-01-0100:00:00.0000+00:00', '0001-01-0100:00:00.00000+00:00', '0001-01-0100:00:00.000000+00:00', '0001-01-0100:00:00.0000000+00:00']行 ['223', '2026-04-1717:18:23+08:00', '2026-04-1717:18:22.8+08:00', '2026-04-1717:18:22.75+08:00', '2026-04-1717:18:22.755+08:00', '2026-04-1717:18:22.7550+08:00', '2026-04-1717:18:22.75495+08:00', '2026-04-1717:18:22.754952+08:00', '2026-04-1717:18:22.7549521+08:00']列，源：e4eebb9fb77e3923bd5005bc27a11268 备：1af69026e45bf9ddadfffc2a77a30f31</t>
        </is>
      </c>
      <c r="BW30" t="inlineStr">
        <is>
          <t>['107', '1933-05-1115:30:45+01:00', '1933-05-1115:30:45.1+01:00', '1933-05-1115:30:45.12+01:00', '1933-05-1115:30:45.123+01:00', '1933-05-1115:30:45.1235+01:00', '1933-05-1115:30:45.12346+01:00', '1933-05-1115:30:45.123457+01:00', '1933-05-1115:30:45.1234567+01:00']行 ['58', '2000-05-1100:30:45+09:00', '2000-05-1100:30:45.1+09:00', '2000-05-1100:30:45.12+09:00', '2000-05-1100:30:45.123+09:00', '2000-05-1100:30:45.1235+09:00', '2000-05-1100:30:45.12346+09:00', '2000-05-1100:30:45.123457+09:00', '2000-05-1100:30:45.1234567+09:00']列，源：e3d8d67b759476fb3e3d593d422d338a 备：43df157c9a94d9b0ca1b6325f211e985</t>
        </is>
      </c>
      <c r="CB30" t="inlineStr">
        <is>
          <t>['123', '0001-01-01']行 ['3', '0001-01-01 00:00:00']列，源：8b7cc9c557957c1ae3e27c3b679db817 备：fadb3754d1a5a0d09eeb5a8a5472077a</t>
        </is>
      </c>
      <c r="DH30" t="inlineStr">
        <is>
          <t>['33', '', '00:00:01.1', '', '00:00:01.123', '', '00:00:01.12346', '', '00:00:01.123456']行 ['4', '2026-04-19 12:30:45', '2026-04-19 12:30:45', '2026-04-19 12:30:45', '2026-04-19 12:30:45', '2026-04-19 12:30:45', '2026-04-19 12:30:45', '2026-04-19 12:30:45', '2026-04-19 12:30:45']列，源：7b88053e080b5f27eeab73c7a776c611 备：f0e35773e06e59e836bbc9d40fa5feed</t>
        </is>
      </c>
      <c r="DP30" t="inlineStr">
        <is>
          <t>['123', '', '', '']行 ['77', '54', '48656C6C6F576F726C64', '48656C6C6F576F726C645465737444617461']列，源：8d23b4b2eb75a725cc7fa321666f20a1 备：617742348b06331bf193530a3114bd57</t>
        </is>
      </c>
      <c r="EB30" t="inlineStr">
        <is>
          <t>['58', '0', '-32768', '-2147483648', '-9223372036854775808', '', '', '', '', '', '', '', '', '', '', '', '', '', '', '']行 ['151', '', '', '', '', '', '', '', '', '', '', '', '', '', '', '', '', '', '', '']列，源：0a30a8f0b40639ad928b4b844d1c2f38 备：6f06f1c233c216d03dd769afa7b0ba71</t>
        </is>
      </c>
      <c r="EH30" t="inlineStr">
        <is>
          <t>['77', '2000-05-11 14:30:00']行 ['29', '1981-05-1114:31:00']列，源：bf44be3f441be2c05069d364365584b2 备：197d830636a6b75fe1f1eb02a5ba4ffa</t>
        </is>
      </c>
      <c r="EI30" t="inlineStr">
        <is>
          <t>['58', '0', '-32768', '-2147483648', '-9223372036854775808', '', '', '', '', '', '', '', '', '', '', '', '', '', '', '']行 ['16', '', '', '', '', '', '', '', '', '', '', '', '', '', '', '123456789000000002003480098300000000000', '340282306073709652508363335600000000000', '123456.789', '1234.5678', '1']列，源：0a30a8f0b40639ad928b4b844d1c2f38 备：bd2a48339d77dbd935f5a501c060bab3</t>
        </is>
      </c>
    </row>
    <row r="31">
      <c r="K31" t="inlineStr">
        <is>
          <t>~ 空表</t>
        </is>
      </c>
      <c r="AL31" t="inlineStr">
        <is>
          <t>['56', '2020-02-29 19:27:31.123']行 ['173', '2025-01-0100:00:00.233']列，源：9f4f03ac4b09ce6d58b31be4e5a8f88a 备：9add7337d7cc19a2a2fa4529daa13346</t>
        </is>
      </c>
      <c r="AO31" t="inlineStr">
        <is>
          <t>['111', '1997-04-04 23:59:59.997']行 ['20', '9999-12-3023:59:59.997']列，源：83e54d8bab933cd0b583c7628d66d9c2 备：210370a03b764bdf4085f23164377333</t>
        </is>
      </c>
      <c r="AZ31" t="inlineStr">
        <is>
          <t>['277', '2065-05-11 14:30:45', '2065-05-11 14:30:45.1', '2065-05-11 14:30:45.12', '2065-05-11 14:30:45.123', '2065-05-11 14:30:45.1235', '2065-05-11 14:30:45.12346', '2065-05-11 14:30:45.123457', '2065-05-11 14:30:45.123456']行 ['6', '1945-05-1114:30:45', '1945-05-1114:30:45.1', '1945-05-1114:30:45.12', '1945-05-1114:30:45.123', '1945-05-1114:30:45.1235', '1945-05-1114:30:45.12346', '1945-05-1114:30:45.123457', '1945-05-1114:30:45.1234567']列，源：318e78e6fa1f9fa7755ed7cc37a37c9b 备：0dde5b67e4b178c074601c932dfdb18e</t>
        </is>
      </c>
      <c r="BK31" t="inlineStr">
        <is>
          <t>['124', '', '', '']行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59a261570ac32d4e7f95c4672b855352 备：7a777113ef09080bdb607e020b8fcaca</t>
        </is>
      </c>
      <c r="BS31" t="inlineStr">
        <is>
          <t>['75', '9999-12-3123:59:59+00:00', '9999-12-3123:59:59.9+00:00', '9999-12-3123:59:59.99+00:00', '9999-12-3123:59:59.999+00:00', '9999-12-3123:59:59.9999+00:00', '9999-12-3123:59:59.99999+00:00', '9999-12-3123:59:59.999999+00:00', '9999-12-3123:59:59.9999999+00:00']行 ['225', '9999-12-3123:59:59+00:00', '9999-12-3123:59:59.9+00:00', '9999-12-3123:59:59.99+00:00', '9999-12-3123:59:59.999+00:00', '9999-12-3123:59:59.9999+00:00', '9999-12-3123:59:59.99999+00:00', '9999-12-3123:59:59.999999+00:00', '9999-12-3123:59:59.9999999+00:00']列，源：1eab99595882036f55a64d079d3abe7b 备：d025e8b516e1637aed68b1c436bac4ae</t>
        </is>
      </c>
      <c r="BW31" t="inlineStr">
        <is>
          <t>['108', '2000-05-1100:30:45+09:00', '2000-05-1100:30:45.1+09:00', '2000-05-1100:30:45.12+09:00', '2000-05-1100:30:45.123+09:00', '2000-05-1100:30:45.1235+09:00', '2000-05-1100:30:45.12346+09:00', '2000-05-1100:30:45.123457+09:00', '2000-05-1100:30:45.1234567+09:00']行 ['59', '1999-05-1601:30:45+10:15', '1999-05-1601:30:45.1+10:15', '1999-05-1601:30:45.12+10:15', '1999-05-1601:30:45.123+10:15', '1999-05-1601:30:45.1235+10:15', '1999-05-1601:30:45.12346+10:15', '1999-05-1601:30:45.123457+10:15', '1999-05-1601:30:45.1234567+10:15']列，源：0923b81be6e22f2b58fb644a4f0ddba6 备：217b35a869d2c55a9341b4c589bc8410</t>
        </is>
      </c>
      <c r="CB31" t="inlineStr">
        <is>
          <t>['126', '2020-02-29']行 ['30', '1990-05-11 00:00:00']列，源：5fbc80519b48c675116d9e47e15d9c77 备：07dfb6ad72611b8daa5ed03292d7d928</t>
        </is>
      </c>
      <c r="DH31" t="inlineStr">
        <is>
          <t>['34', '', '12:00:00.1', '', '12:00:00.123', '', '12:00:00.12346', '', '12:00:00.123456']行 ['5', '2026-04-19 12:30:45', '2026-04-19 12:30:45.1', '2026-04-19 12:30:45.1', '2026-04-19 12:30:45.1', '2026-04-19 12:30:45.1', '2026-04-19 12:30:45.1', '2026-04-19 12:30:45.1', '2026-04-19 12:30:45.1']列，源：b899f85026aab0ea90c61fab206f230a 备：814c00c2b661c4163822fd3bd55da09a</t>
        </is>
      </c>
      <c r="DP31" t="inlineStr">
        <is>
          <t>['124', '', '', '']行 ['78',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59a261570ac32d4e7f95c4672b855352 备：7a777113ef09080bdb607e020b8fcaca</t>
        </is>
      </c>
      <c r="EB31" t="inlineStr">
        <is>
          <t>['59', '42', '12345', '123456789', '123456789012345', '', '', '', '', '', '', '', '', '', '', '', '', '', '', '']行 ['152', '', '', '', '', '', '', '', '', '', '', '', '', '', '', '', '', '', '', '']列，源：d9f76ffa75e30ef98d84989886814ea9 备：ca38a270ff736dbf6662baf8c3d9fcc9</t>
        </is>
      </c>
      <c r="EH31" t="inlineStr">
        <is>
          <t>['78', '2068-05-11 14:31:00']行 ['3', '1900-01-0100:00:00']列，源：382abfac9b32431843d334e0f5a7acb3 备：449b2e7b6f6994ef232bacd1e349deb5</t>
        </is>
      </c>
      <c r="EI31" t="inlineStr">
        <is>
          <t>['59', '42', '12345', '123456789', '123456789012345', '', '', '', '', '', '', '', '', '', '', '', '', '', '', '']行 ['17', '', '', '', '', '', '', '', '', '', '', '', '', '', '', '-123456789000000002003480098300000000000', '-340282306073709652508363335600000000000', '-123456.789', '-1234.5678', '0']列，源：d9f76ffa75e30ef98d84989886814ea9 备：7147e084238ecd6123743b4b9a65290e</t>
        </is>
      </c>
    </row>
    <row r="32">
      <c r="A32" t="inlineStr">
        <is>
          <t>info_xml_dml_single_pk_irp</t>
        </is>
      </c>
      <c r="K32" t="inlineStr">
        <is>
          <t>[0;34m info_xml_dml_single_pk_irp [0m源备字段数相同，源端字段：2 	备端字段2</t>
        </is>
      </c>
      <c r="W32" t="inlineStr">
        <is>
          <t>YES 源备无差异</t>
        </is>
      </c>
      <c r="X32">
        <f>A32</f>
        <v/>
      </c>
      <c r="AL32" t="inlineStr">
        <is>
          <t>['57', '2000-05-11 14:30:29']行 ['18', '2004-12-2423:59:59.990']列，源：1550220b3de9659d37fafd478974c23a 备：f42b752525aabf0bcdf23e82a8a8608c</t>
        </is>
      </c>
      <c r="AO32" t="inlineStr">
        <is>
          <t>['112', '1998-05-05 23:59:59.997']行 ['21', '2023-05-1100:00:00.123']列，源：5acbf1deb5d76d42861e9b9efbfa241b 备：bda623b4f4de1edcfde47a9b3befc9de</t>
        </is>
      </c>
      <c r="AZ32" t="inlineStr">
        <is>
          <t>['323', '2026-04-17 17:17:25', '2026-04-17 17:17:24.6', '2026-04-17 17:17:24.63', '2026-04-17 17:17:24.631', '2026-04-17 17:17:24.6306', '2026-04-17 17:17:24.63065', '2026-04-17 17:17:24.630647', '2026-04-17 17:17:24.630646']行 ['7', '2065-05-1114:30:45', '2065-05-1114:30:45.1', '2065-05-1114:30:45.12', '2065-05-1114:30:45.123', '2065-05-1114:30:45.1235', '2065-05-1114:30:45.12346', '2065-05-1114:30:45.123457', '2065-05-1114:30:45.1234567']列，源：325bb5c2a36902401bcf29eabf092d4c 备：f6b1120e7d9c8b20be933fee4ab4d63b</t>
        </is>
      </c>
      <c r="BK32" t="inlineStr">
        <is>
          <t>['125', 'A', 'VARIABLELENGTHBINA', 'TESTTESTTESTTESTTESTTESTTESTTESTTESTTESTTESTTESTTESTTESTTESTTESTTESTTESTTESTTESTTESTTESTTESTTESTTESTTESTTESTTESTTESTTESTTESTTESTTESTTESTTESTTESTTESTTESTTESTTESTTESTTESTTESTTESTTESTTESTTESTTESTTESTTEST']行 ['79',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84ce2c853d16df098dda2700ea427368 备：3632e2690e1fa3097ffffcfd78711670</t>
        </is>
      </c>
      <c r="BS32" t="inlineStr">
        <is>
          <t>['76', '2063-05-1110:30:45-04:00', '2063-05-1110:30:45.1-04:00', '2063-05-1110:30:45.12-04:00', '2063-05-1110:30:45.123-04:00', '2063-05-1110:30:45.1235-04:00', '2063-05-1110:30:45.12346-04:00', '2063-05-1110:30:45.123457-04:00', '2063-05-1110:30:45.1234567-04:00']行 ['226', '2063-05-1110:30:45-04:00', '2063-05-1110:30:45.1-04:00', '2063-05-1110:30:45.12-04:00', '2063-05-1110:30:45.123-04:00', '2063-05-1110:30:45.1235-04:00', '2063-05-1110:30:45.12346-04:00', '2063-05-1110:30:45.123457-04:00', '2063-05-1110:30:45.1234567-04:00']列，源：10b6efb6761c47910e2216a0825455ef 备：bfec0f04942e4f91bd1a87dfb1ab4906</t>
        </is>
      </c>
      <c r="BW32" t="inlineStr">
        <is>
          <t>['109', '1999-05-1601:30:45+10:15', '1999-05-1601:30:45.1+10:15', '1999-05-1601:30:45.12+10:15', '1999-05-1601:30:45.123+10:15', '1999-05-1601:30:45.1235+10:15', '1999-05-1601:30:45.12346+10:15', '1999-05-1601:30:45.123457+10:15', '1999-05-1601:30:45.1234567+10:15']行 ['6', '2063-05-1110:30:45-04:00', '2063-05-1110:30:45.1-04:00', '2063-05-1110:30:45.12-04:00', '2063-05-1110:30:45.123-04:00', '2063-05-1110:30:45.1235-04:00', '2063-05-1110:30:45.12346-04:00', '2063-05-1110:30:45.123457-04:00', '2063-05-1110:30:45.1234567-04:00']列，源：dc074aa37e0ac8a6d0d6bcfb65781428 备：ced5cd81b766fa957614103c3a575085</t>
        </is>
      </c>
      <c r="CB32" t="inlineStr">
        <is>
          <t>['127', '1970-01-01']行 ['31', '2068-06-01 00:00:00']列，源：ef61073d438eea6fe1b6deeba24c605b 备：9f3d1af030d9c2b10944a7c920cf63a5</t>
        </is>
      </c>
      <c r="DH32" t="inlineStr">
        <is>
          <t>['35', '00:00:01', '', '00:00:01.12', '', '00:00:01.1235', '', '00:00:01.123457', '']行 ['6', '2026-04-19 12:30:45', '2026-04-19 12:30:45.1', '2026-04-19 12:30:45.12', '2026-04-19 12:30:45.12', '2026-04-19 12:30:45.12', '2026-04-19 12:30:45.12', '2026-04-19 12:30:45.12', '2026-04-19 12:30:45.12']列，源：c881b57b2b2c20b93a9fb8036717f225 备：0d78d5ad9e9aabb44dad5dadf55fdd23</t>
        </is>
      </c>
      <c r="DP32" t="inlineStr">
        <is>
          <t>['125', 'A', 'VARIABLELENGTHBINA', 'TESTTESTTESTTESTTESTTESTTESTTESTTESTTESTTESTTESTTESTTESTTESTTESTTESTTESTTESTTESTTESTTESTTESTTESTTESTTESTTESTTESTTESTTESTTESTTESTTESTTESTTESTTESTTESTTESTTESTTESTTESTTESTTESTTESTTESTTESTTESTTESTTESTTEST']行 ['79',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84ce2c853d16df098dda2700ea427368 备：8775abf673e57e7ed55fd2e1f28a51cd</t>
        </is>
      </c>
      <c r="EB32" t="inlineStr">
        <is>
          <t>['60', '99', '-12345', '-123456789', '-123456789012345', '', '', '', '', '', '', '', '', '', '', '', '', '', '', '']行 ['153', '', '', '', '', '', '', '', '', '', '', '', '', '', '', '', '', '', '', '']列，源：1bb39120e7f9e04dfe39563b699e1a41 备：025c1a7b36d2cd04164ac453f32d18e1</t>
        </is>
      </c>
      <c r="EH32" t="inlineStr">
        <is>
          <t>['79', '1981-05-11 14:31:00']行 ['30', '2079-06-0523:59:00']列，源：1969ad71151b83d3a2784b01c7dcb0c4 备：6071a022d219a208b0e8468d43705d00</t>
        </is>
      </c>
      <c r="EI32" t="inlineStr">
        <is>
          <t>['60', '99', '-12345', '-123456789', '-123456789012345', '', '', '', '', '', '', '', '', '', '', '', '', '', '', '']行 ['18', '', '', '', '', '', '', '', '', '', '', '', '', '', '', '0', '0', '0.0001', '0.0001', '1']列，源：1bb39120e7f9e04dfe39563b699e1a41 备：26edf2ac14a9b6c0b5c5fe4f69312474</t>
        </is>
      </c>
    </row>
    <row r="33">
      <c r="B33" t="inlineStr">
        <is>
          <t>YES</t>
        </is>
      </c>
      <c r="C33" t="inlineStr">
        <is>
          <t>NULL</t>
        </is>
      </c>
      <c r="D33" t="inlineStr">
        <is>
          <t>NULL</t>
        </is>
      </c>
      <c r="E33" t="inlineStr">
        <is>
          <t>NULL</t>
        </is>
      </c>
      <c r="F33" t="inlineStr">
        <is>
          <t>NULL</t>
        </is>
      </c>
      <c r="G33" t="inlineStr">
        <is>
          <t>NULL</t>
        </is>
      </c>
      <c r="H33" t="inlineStr">
        <is>
          <t>NULL</t>
        </is>
      </c>
      <c r="I33" t="inlineStr">
        <is>
          <t>YES!PK__info_xml__3213E83F91795AB0</t>
        </is>
      </c>
      <c r="J33" t="inlineStr">
        <is>
          <t>YES! 主键相关索引</t>
        </is>
      </c>
      <c r="K33" t="inlineStr">
        <is>
          <t xml:space="preserve"> NO!  	 id列源备映射错误，源端为int None位	期望更改为text	实际备端为int None位</t>
        </is>
      </c>
      <c r="AL33" t="inlineStr">
        <is>
          <t>['58', '2068-05-11 14:30:30']行 ['19', '1753-01-0200:00:00.000']列，源：b485a8c10132ebe09bfeee487d7f1259 备：736c2e259e88dc84b0eb356212ee62c8</t>
        </is>
      </c>
      <c r="AO33" t="inlineStr">
        <is>
          <t>['113', '1999-06-06 23:59:59.997']行 ['214', '2000-05-0123:59:59.993']列，源：e479b3da89df0a3a3950ed4084d5a211 备：ff2fb3039ecb1b5dcf0f58a1ab78953f</t>
        </is>
      </c>
      <c r="AZ33" t="inlineStr">
        <is>
          <t>['325', '9999-12-31 23:59:59', '9999-12-31 23:59:59.9', '9999-12-31 23:59:59.99', '9999-12-31 23:59:59.999', '9999-12-31 23:59:59.9999', '9999-12-31 23:59:59.99999', '9999-12-31 23:59:59.999999', '9999-12-31 23:59:59.999999']行 ['74', '0001-01-0100:00:00', '0001-01-0100:00:00.0', '0001-01-0100:00:00.00', '0001-01-0100:00:00.000', '0001-01-0100:00:00.0000', '0001-01-0100:00:00.00000', '0001-01-0100:00:00.000000', '0001-01-0100:00:00.0000000']列，源：c4f377e890ac420c96d94bb06d347b73 备：dda782a0b82b2cd89940b748b37de1e4</t>
        </is>
      </c>
      <c r="BK33" t="inlineStr">
        <is>
          <t>['126', 'P', '327391B2CAEBBB33387BF93BC613762F886C2282', '39AAC2CEEEBBECFC4594636E165FC720848588002248A78EF1B965C5F0F4516735108D8C30AFDEBE81A0156F8EFE682E8102C450C1BB218ECDA1B1A6AB66FE8F9B194341929CADE9EB98244104FD4E41642E4774808AEFAA138E7438FD741C95FDC00DBEAEE6280E3D0A1AF7A7C4C4B17FC1084D3130A2515ECF83DC1A5B95F075F83BB652C8712F4F081C8CC72EC035FCFAD6BD595B940300172818858EE789BC7A06F6C6DDBDDD98722485DD11AAEBB4D7D7AFA20D76FD2CB5EF4E6D5F2071E27BAE126B8DA3A4']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4466fd0975f496fd41c6eba596580cb4 备：0a104d284ac01e1025345effbe0db7c2</t>
        </is>
      </c>
      <c r="BS33" t="inlineStr">
        <is>
          <t>['77', '1933-05-1115:30:45+01:00', '1933-05-1115:30:45.1+01:00', '1933-05-1115:30:45.12+01:00', '1933-05-1115:30:45.123+01:00', '1933-05-1115:30:45.1235+01:00', '1933-05-1115:30:45.12346+01:00', '1933-05-1115:30:45.123457+01:00', '1933-05-1115:30:45.1234567+01:00']行 ['23', '2026-04-1717:18:23+08:00', '2026-04-1717:18:22.8+08:00', '2026-04-1717:18:22.75+08:00', '2026-04-1717:18:22.755+08:00', '2026-04-1717:18:22.7550+08:00', '2026-04-1717:18:22.75495+08:00', '2026-04-1717:18:22.754952+08:00', '2026-04-1717:18:22.7549521+08:00']列，源：c0f6741a2c39d631e8faf9ccc8a524ee 备：3e263775147ac688fc27def3f03d3e0f</t>
        </is>
      </c>
      <c r="BW33" t="inlineStr">
        <is>
          <t>['110', '2013-03-1202:00:00-04:25', '2013-03-1202:00:00.0-04:25', '2013-03-1202:00:00.00-04:25', '2013-03-1202:00:00.000-04:25', '2013-03-1202:00:00.0000-04:25', '2013-03-1202:00:00.00000-04:25', '2013-03-1202:00:00.000000-04:25', '2013-03-1202:00:00.0000000-04:25']行 ['60', '2013-03-1202:00:00-04:25', '2013-03-1202:00:00.0-04:25', '2013-03-1202:00:00.00-04:25', '2013-03-1202:00:00.000-04:25', '2013-03-1202:00:00.0000-04:25', '2013-03-1202:00:00.00000-04:25', '2013-03-1202:00:00.000000-04:25', '2013-03-1202:00:00.0000000-04:25']列，源：6fea5cd586da4bc72d8362350ff1ab82 备：5ac941404911e63d6bdbfbb1e36d17ba</t>
        </is>
      </c>
      <c r="CB33" t="inlineStr">
        <is>
          <t>['128', '0001-01-02']行 ['4', '9999-12-31 00:00:00']列，源：9b92539dab6510893e6b7f30f730357d 备：b3a1b365b6444b4bc6269967e1c61896</t>
        </is>
      </c>
      <c r="DH33" t="inlineStr">
        <is>
          <t>['36', '12:00:00', '', '12:00:00.12', '', '12:00:00.1235', '', '12:00:00.123457', '']行 ['7', '2026-04-19 12:30:45', '2026-04-19 12:30:45.1', '2026-04-19 12:30:45.12', '2026-04-19 12:30:45.123', '2026-04-19 12:30:45.123', '2026-04-19 12:30:45.123', '2026-04-19 12:30:45.123', '2026-04-19 12:30:45.123']列，源：2b8d03414abb66714415226da2700a21 备：b217520f2cf410799933541ced01d776</t>
        </is>
      </c>
      <c r="DP33" t="inlineStr">
        <is>
          <t>['126', 'A1', 'AD7ED41B1D00F92B45F25CF2229E24D477C63B5F7EF7CDF51E30E1613DE5498552FD76F5566B4B803FCBEB0B7FB9183DC9CBCAFAB6B920AE14DA302E3AEC4B6BE492E02B0FF485065D94B138BF11875CF2C74E23094E3A16D0558E47C5A60E4646AAD94B', '85DEA96302334F39633C0DD2D4B71542B62EF21EB20C7BB91976CA7B963442FF3CDDB3BA16EA1C9C697BC202C80A6BDD0AA0F581F56C70D8CAB17B93A56FE5E9A5729B5667C78D9D6FF7ECA6F3F5B1206C26C790BF96FBCF3D7A836FC3BD8FD53EF7E59DF74F7935223802EE5B79EFEC9D8706280ED35DF0A5C46DCB6B1CEEB349FCC865D4D3982AAF0A49CABBCFC228681BEB05BECD909006689E11193DBCCFECD9366E3498BD7085055A98E380EA0568FA79A32AF9E29D50A0BE82EA407AE540A5F1D6449A30CB']行 ['8', '42',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列，源：89bcc8a5bc0819489a7f00841ace1345 备：0a104d284ac01e1025345effbe0db7c2</t>
        </is>
      </c>
      <c r="EB33" t="inlineStr">
        <is>
          <t>['61', '200', '20000', '2000000000', '2000000000000000', '', '', '', '', '', '', '', '', '', '', '', '', '', '', '']行 ['154', '', '', '', '', '', '', '', '', '', '', '', '', '', '', '', '', '', '', '']列，源：127a439893fcb60dcb5dbd20fd423142 备：e9c327066e48c5e08662c6620c0cf15e</t>
        </is>
      </c>
      <c r="EH33" t="inlineStr">
        <is>
          <t>['80', '2079-06-05 23:59:00']行 ['31', '1900-01-0200:00:00']列，源：b3385cfd57fe0a00219492569888225d 备：413c96452ac402b898803be1aa1a08a9</t>
        </is>
      </c>
      <c r="EI33" t="inlineStr">
        <is>
          <t>['61', '200', '20000', '2000000000', '2000000000000000', '', '', '', '', '', '', '', '', '', '', '', '', '', '', '']行 ['19', '', '', '', '', '', '', '', '', '', '', '', '', '', '', '340282346600000016151267322100000000000', '340282306073709652508363335600000000000', '922337203685477.5807', '214748.3647', '1']列，源：127a439893fcb60dcb5dbd20fd423142 备：2c5e5b5396d191aadfe06ab3699e64e4</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 xml:space="preserve"> NO!  	 c_xml列源备映射错误，源端为xml -1位	期望更改为text	实际备端为xml -1位</t>
        </is>
      </c>
      <c r="AL34" t="inlineStr">
        <is>
          <t>['59', '1981-05-11 14:30:59']行 ['2', '1900-01-0100:00:00.000']列，源：a458ae12f48c6e7a3b17727c806a5b63 备：45889ccd7f579f618648c03afae6ff25</t>
        </is>
      </c>
      <c r="AO34" t="inlineStr">
        <is>
          <t>['114', '2000-05-01 23:59:59.993']行 ['215', '2001-04-0923:59:59.993']列，源：5a7a9f5038fde16cc3406103ad89c8d2 备：3d9f42f3b7ccd07e7f0e0b21e3626631</t>
        </is>
      </c>
      <c r="AZ34" t="inlineStr">
        <is>
          <t>['327', '2065-05-11 14:30:45', '2065-05-11 14:30:45.1', '2065-05-11 14:30:45.12', '2065-05-11 14:30:45.123', '2065-05-11 14:30:45.1235', '2065-05-11 14:30:45.12346', '2065-05-11 14:30:45.123457', '2065-05-11 14:30:45.123456']行 ['75', '9999-12-3123:59:59', '9999-12-3123:59:59.9', '9999-12-3123:59:59.99', '9999-12-3123:59:59.999', '9999-12-3123:59:59.9999', '9999-12-3123:59:59.99999', '9999-12-3123:59:59.999999', '9999-12-3123:59:59.9999999']列，源：e8980a40fbae8982954fb22a23fe8c84 备：e9a6babef9fe5eb462a4f6499141af63</t>
        </is>
      </c>
      <c r="BK34" t="inlineStr">
        <is>
          <t>['127', 'T', 'HELLOWORLD\x00\x00\x00\x00\x00\x00\x00\x00\x00\x00', 'HELLOWORLDTESTDATA\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x00']行 ['80',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89aa2fc6aaea56354fb90f88f8dc7f3c 备：51c4f50bd6fc2c8f0c9cbd22b05ee923</t>
        </is>
      </c>
      <c r="BS34" t="inlineStr">
        <is>
          <t>['78', '2000-05-1100:30:45+09:00', '2000-05-1100:30:45.1+09:00', '2000-05-1100:30:45.12+09:00', '2000-05-1100:30:45.123+09:00', '2000-05-1100:30:45.1235+09:00', '2000-05-1100:30:45.12346+09:00', '2000-05-1100:30:45.123457+09:00', '2000-05-1100:30:45.1234567+09:00']行 ['24', '0001-01-0100:00:00+00:00', '0001-01-0100:00:00.0+00:00', '0001-01-0100:00:00.00+00:00', '0001-01-0100:00:00.000+00:00', '0001-01-0100:00:00.0000+00:00', '0001-01-0100:00:00.00000+00:00', '0001-01-0100:00:00.000000+00:00', '0001-01-0100:00:00.0000000+00:00']列，源：0ebf15eeb6bc28caac51322045291db6 备：b52bdce13e7d3fcbad8612ba589edada</t>
        </is>
      </c>
      <c r="BW34" t="inlineStr">
        <is>
          <t>['111', '2003-11-0502:00:00-05:10', '2003-11-0502:00:00.0-05:10', '2003-11-0502:00:00.00-05:10', '2003-11-0502:00:00.000-05:10', '2003-11-0502:00:00.0000-05:10', '2003-11-0502:00:00.00000-05:10', '2003-11-0502:00:00.000000-05:10', '2003-11-0502:00:00.0000000-05:10']行 ['61', '2003-11-0502:00:00-05:10', '2003-11-0502:00:00.0-05:10', '2003-11-0502:00:00.00-05:10', '2003-11-0502:00:00.000-05:10', '2003-11-0502:00:00.0000-05:10', '2003-11-0502:00:00.00000-05:10', '2003-11-0502:00:00.000000-05:10', '2003-11-0502:00:00.0000000-05:10']列，源：fec0d78a2a1af99670b91358d91ad909 备：e83419d25a97188cbade827fe575c85e</t>
        </is>
      </c>
      <c r="CB34" t="inlineStr">
        <is>
          <t>['130', '1990-05-11']行 ['5', '2026-04-17 00:00:00']列，源：608497ebdd7eeb361a2859f7780cf754 备：a9d6f923ef723efde238d2495d243d08</t>
        </is>
      </c>
      <c r="DH34" t="inlineStr">
        <is>
          <t>['77', '12:30:45', '12:30:45.1', '12:30:45.12', '12:30:45.123', '12:30:45.123', '12:30:45.123', '12:30:45.123', '12:30:45.123']行 ['77', '2026-04-19 12:30:45', '2026-04-19 12:30:45.1', '2026-04-19 12:30:45.12', '2026-04-19 12:30:45.123', '2026-04-19 12:30:45.123', '2026-04-19 12:30:45.123', '2026-04-19 12:30:45.123', '2026-04-19 12:30:45.123']列，源：0bae9096dbdb3b075c296bd25ca12250 备：880341a5bc8350284fae5a2e256d92de</t>
        </is>
      </c>
      <c r="DP34" t="inlineStr">
        <is>
          <t>['127', 'T', 'HELLOWORLD', 'HELLOWORLDTESTDATA']行 ['80', '2A', '3132333435363738393031323334000000000000', '3132333435363738393031323334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列，源：f4cf0ceceb7142b71e085d10fdd7ebd8 备：51c4f50bd6fc2c8f0c9cbd22b05ee923</t>
        </is>
      </c>
      <c r="EB34" t="inlineStr">
        <is>
          <t>['62', '', '', '', '', '', '', '', '', '', '', '', '', '', '', '', '', '', '', '']行 ['155', '', '', '', '', '', '', '', '', '', '', '', '', '', '', '', '', '', '', '']列，源：53c708da551d7abf953f080d2a4aeec8 备：e81e3f65c1f61448a636aca03285678a</t>
        </is>
      </c>
      <c r="EH34" t="inlineStr">
        <is>
          <t>['81', '1900-01-02 00:00:00']行 ['32', '1990-11-2600:01:00']列，源：a2bae9a508fada5304b70a833c67781e 备：a6f3c217240b8b59b41402babcabeebc</t>
        </is>
      </c>
      <c r="EI34" t="inlineStr">
        <is>
          <t>['62', '', '', '', '', '', '', '', '', '', '', '', '', '', '',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'1']列，源：53c708da551d7abf953f080d2a4aeec8 备：9a93dcca444304e4522e0a37b4535e3f</t>
        </is>
      </c>
    </row>
    <row r="35">
      <c r="A35" t="inlineStr">
        <is>
          <t>info_sdt_dml_batch1_pk_urp2</t>
        </is>
      </c>
      <c r="K35" t="inlineStr">
        <is>
          <t>[0;34m info_sdt_dml_batch1_pk_urp2 [0m源备字段数相同，源端字段：2 	备端字段2</t>
        </is>
      </c>
      <c r="W35" s="17">
        <f>HYPERLINK("#2026041919hbase0!AA2","NO 源备存在差异，共14个")</f>
        <v/>
      </c>
      <c r="X35">
        <f>A35</f>
        <v/>
      </c>
      <c r="AL35" t="inlineStr">
        <is>
          <t>['60', '1996-03-03 23:59:59.997']行 ['20', '9999-12-3023:59:59.997']列，源：b89d90c556be1e447cfe313840ba564c 备：210370a03b764bdf4085f23164377333</t>
        </is>
      </c>
      <c r="AO35" t="inlineStr">
        <is>
          <t>['115', '2001-04-09 23:59:59.993']行 ['216', '2002-06-1123:59:59.993']列，源：1475e3340d36f4c25a8f4a9bbcb6628d 备：40bdb11483e59fce4ff542c0ca4a20e0</t>
        </is>
      </c>
      <c r="AZ35" t="inlineStr">
        <is>
          <t>['375', '9999-12-31 23:59:59', '9999-12-31 23:59:59.9', '9999-12-31 23:59:59.99', '9999-12-31 23:59:59.999', '9999-12-31 23:59:59.9999', '9999-12-31 23:59:59.99999', '9999-12-31 23:59:59.999999', '9999-12-31 23:59:59.999999']行 ['76', '1945-05-1114:30:45', '1945-05-1114:30:45.1', '1945-05-1114:30:45.12', '1945-05-1114:30:45.123', '1945-05-1114:30:45.1235', '1945-05-1114:30:45.12346', '1945-05-1114:30:45.123457', '1945-05-1114:30:45.1234567']列，源：4b95e04ed87783edd6344dd32eb12060 备：bab5065ca6f7099c8199a7c527e6cb04</t>
        </is>
      </c>
      <c r="BK35"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'7E21402324255E262A5D00000000000000000000',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b720c6a0228bb8a570a65de50cecf971 备：34b7ed63247f47087617490d69f49e9c</t>
        </is>
      </c>
      <c r="BS35" t="inlineStr">
        <is>
          <t>['79', '1999-05-1601:30:45+10:15', '1999-05-1601:30:45.1+10:15', '1999-05-1601:30:45.12+10:15', '1999-05-1601:30:45.123+10:15', '1999-05-1601:30:45.1235+10:15', '1999-05-1601:30:45.12346+10:15', '1999-05-1601:30:45.123457+10:15', '1999-05-1601:30:45.1234567+10:15']行 ['25', '9999-12-3123:59:59+00:00', '9999-12-3123:59:59.9+00:00', '9999-12-3123:59:59.99+00:00', '9999-12-3123:59:59.999+00:00', '9999-12-3123:59:59.9999+00:00', '9999-12-3123:59:59.99999+00:00', '9999-12-3123:59:59.999999+00:00', '9999-12-3123:59:59.9999999+00:00']列，源：af8ef3603523ca2d574a819c4583b0a1 备：d38c2babb7d0c88d8d414a54b371217c</t>
        </is>
      </c>
      <c r="BW35" t="inlineStr">
        <is>
          <t>['112', '2025-05-1200:00:00-14:00', '2025-05-1200:00:00.0-14:00', '2025-05-1200:00:00.00-14:00', '2025-05-1200:00:00.000-14:00', '2025-05-1200:00:00.0000-14:00', '2025-05-1200:00:00.00000-14:00', '2025-05-1200:00:00.000000-14:00', '2025-05-1123:59:59.9999999-14:00']行 ['62', '2025-05-1200:00:00-14:00', '2025-05-1200:00:00.0-14:00', '2025-05-1200:00:00.00-14:00', '2025-05-1200:00:00.000-14:00', '2025-05-1200:00:00.0000-14:00', '2025-05-1200:00:00.00000-14:00', '2025-05-1200:00:00.000000-14:00', '2025-05-1123:59:59.9999999-14:00']列，源：4cfb0586ff5f83e433ece883853c76e1 备：7b3ff5643faa5f66de262d4d67356cda</t>
        </is>
      </c>
      <c r="CB35" t="inlineStr">
        <is>
          <t>['177', '1970-01-01']行 ['6', '2020-02-29 00:00:00']列，源：1ed8d4dabfe997da942a2f943b687e28 备：f324cab36a986b21a06d8f275a7e31a9</t>
        </is>
      </c>
      <c r="DH35" t="inlineStr">
        <is>
          <t>['78', '12:30:45', '12:30:45.1', '12:30:45.12', '12:30:45.123', '12:30:45.1234', '12:30:45.1234', '12:30:45.1234', '12:30:45.1234']行 ['78', '2026-04-19 12:30:45', '2026-04-19 12:30:45.1', '2026-04-19 12:30:45.12', '2026-04-19 12:30:45.123', '2026-04-19 12:30:45.1234', '2026-04-19 12:30:45.1234', '2026-04-19 12:30:45.1234', '2026-04-19 12:30:45.1234']列，源：31c6aa41066997bd0135fe531ac89674 备：58167e98a1f473b8ac5fc5ebd6417d09</t>
        </is>
      </c>
      <c r="DP35" t="inlineStr">
        <is>
          <t>['128', 'B', 'C9CFBAA3D3A2B7BDC8EDBCFEB9C9B7DDB9ABCBBE', '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C9CFBAA3D3A2B7BDC8EDBCFEB9C9B7DDB9ABCBBE']行 ['9', '2A', '7E21402324255E262A5D', '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7E21402324255E262A5D']列，源：b720c6a0228bb8a570a65de50cecf971 备：3512be2cbb0c2333a84e373020b4f43c</t>
        </is>
      </c>
      <c r="EB35" t="inlineStr">
        <is>
          <t>['63', '', '', '', '', '', '', '', '', '', '', '', '', '', '', '', '', '', '', '']行 ['156', '', '', '', '', '', '', '', '', '', '', '', '', '', '', '', '', '', '', '']列，源：a350c30a05b8dd2ab0e1dd8e2f0cc6aa 备：ec973ceadad2dc3ec79a927de6a7a1c5</t>
        </is>
      </c>
      <c r="EH35" t="inlineStr">
        <is>
          <t>['82', '1990-11-26 00:01:00']行 ['33', '2025-05-1112:00:00']列，源：f2e8e9f0bd1d85ad8948006bbac71219 备：77cefdcd1e454f2c135dee7401c68e3c</t>
        </is>
      </c>
      <c r="EI35" t="inlineStr">
        <is>
          <t>['63', '', '', '', '', '', '', '', '', '', '', '', '', '', '', '', '', '', '', '']行 ['20', '', '', '', '', '', '', '', '', '', '', '', '', '', '', '-340282346600000016151267322100000000000', '-340282306073709652508363335600000000000', '-922337203685477.5808', '-214748.3648', '0']列，源：a350c30a05b8dd2ab0e1dd8e2f0cc6aa 备：e9e44d25bc97e58176fe725acd08b284</t>
        </is>
      </c>
    </row>
    <row r="36">
      <c r="B36" t="inlineStr">
        <is>
          <t>YES</t>
        </is>
      </c>
      <c r="C36" t="inlineStr">
        <is>
          <t>NULL</t>
        </is>
      </c>
      <c r="D36" t="inlineStr">
        <is>
          <t>NULL</t>
        </is>
      </c>
      <c r="E36" t="inlineStr">
        <is>
          <t>NULL</t>
        </is>
      </c>
      <c r="F36" t="inlineStr">
        <is>
          <t>NULL</t>
        </is>
      </c>
      <c r="G36" t="inlineStr">
        <is>
          <t>NULL</t>
        </is>
      </c>
      <c r="H36" t="inlineStr">
        <is>
          <t>NULL</t>
        </is>
      </c>
      <c r="I36" t="inlineStr">
        <is>
          <t>YES!PK__info_sdt__3213E83FAE7332A4</t>
        </is>
      </c>
      <c r="J36" t="inlineStr">
        <is>
          <t>YES! 主键相关索引</t>
        </is>
      </c>
      <c r="K36" t="inlineStr">
        <is>
          <t xml:space="preserve"> NO!  	 id列源备映射错误，源端为int None位	期望更改为text	实际备端为int None位</t>
        </is>
      </c>
      <c r="AL36" t="inlineStr">
        <is>
          <t>['61', '1997-04-04 23:59:59.997']行 ['21', '2023-05-1100:00:00.123']列，源：ec625583843db8f7063059de125b9d5c 备：bda623b4f4de1edcfde47a9b3befc9de</t>
        </is>
      </c>
      <c r="AO36" t="inlineStr">
        <is>
          <t>['116', '2002-06-11 23:59:59.993']行 ['217', '2003-11-0423:59:59.990']列，源：350e1422bb2cff914ef26d14803843db 备：d68ca6ec819a9f0bbadf1583eb47dda3</t>
        </is>
      </c>
      <c r="AZ36" t="inlineStr">
        <is>
          <t>['377', '2065-05-11 14:30:45', '2065-05-11 14:30:45.1', '2065-05-11 14:30:45.12', '2065-05-11 14:30:45.123', '2065-05-11 14:30:45.1235', '2065-05-11 14:30:45.12346', '2065-05-11 14:30:45.123457', '2065-05-11 14:30:45.123456']行 ['77', '2065-05-1114:30:45', '2065-05-1114:30:45.1', '2065-05-1114:30:45.12', '2065-05-1114:30:45.123', '2065-05-1114:30:45.1235', '2065-05-1114:30:45.12346', '2065-05-1114:30:45.123457', '2065-05-1114:30:45.1234567']列，源：c983d4151bc26fa58c3e91dd83465da0 备：387fb1a8eb7f97cba0e8fbb0c1c78ee4</t>
        </is>
      </c>
      <c r="BS36" t="inlineStr">
        <is>
          <t>['80', '2013-03-1202:00:00-04:25', '2013-03-1202:00:00.0-04:25', '2013-03-1202:00:00.00-04:25', '2013-03-1202:00:00.000-04:25', '2013-03-1202:00:00.0000-04:25', '2013-03-1202:00:00.00000-04:25', '2013-03-1202:00:00.000000-04:25', '2013-03-1202:00:00.0000000-04:25']行 ['26', '2063-05-1110:30:45-04:00', '2063-05-1110:30:45.1-04:00', '2063-05-1110:30:45.12-04:00', '2063-05-1110:30:45.123-04:00', '2063-05-1110:30:45.1235-04:00', '2063-05-1110:30:45.12346-04:00', '2063-05-1110:30:45.123457-04:00', '2063-05-1110:30:45.1234567-04:00']列，源：4f81d7626d0fbdd4d1ebc6e4bfa89f8b 备：8c39f31d2c1ab2711cffe6260d7951c2</t>
        </is>
      </c>
      <c r="BW36" t="inlineStr">
        <is>
          <t>['113', '1971-05-1100:00:00+14:00', '1971-05-1100:00:00.0+14:00', '1971-05-1100:00:00.00+14:00', '1971-05-1100:00:00.000+14:00', '1971-05-1100:00:00.0000+14:00', '1971-05-1100:00:00.00000+14:00', '1971-05-1100:00:00.000000+14:00', '1971-05-1100:00:00.0000001+14:00']行 ['63', '1971-05-1100:00:00+14:00', '1971-05-1100:00:00.0+14:00', '1971-05-1100:00:00.00+14:00', '1971-05-1100:00:00.000+14:00', '1971-05-1100:00:00.0000+14:00', '1971-05-1100:00:00.00000+14:00', '1971-05-1100:00:00.000000+14:00', '1971-05-1100:00:00.0000001+14:00']列，源：3d5a1096f835b1a9b45e850aee1310ec 备：3ef57ea97a3adfd08f948fd75cb1806e</t>
        </is>
      </c>
      <c r="CB36" t="inlineStr">
        <is>
          <t>['178', '0001-01-02']行 ['7', '1970-01-01 00:00:00']列，源：5fc1d9c3fc963e709ee387ac9e0d2071 备：a15de1fe9e4c8bc16f66f0c7b8c0635f</t>
        </is>
      </c>
      <c r="DH36" t="inlineStr">
        <is>
          <t>['79', '12:30:45', '12:30:45.1', '12:30:45.12', '12:30:45.123', '12:30:45.1235', '12:30:45.12345', '12:30:45.12345', '12:30:45.12345']行 ['79', '2026-04-19 12:30:45', '2026-04-19 12:30:45.1', '2026-04-19 12:30:45.12', '2026-04-19 12:30:45.123', '2026-04-19 12:30:45.1235', '2026-04-19 12:30:45.12345', '2026-04-19 12:30:45.12345', '2026-04-19 12:30:45.12345']列，源：6e3f0f7a08c703dc880727a68b154687 备：b6ed19d3b8ebc2ba2909a59c8f0ad3dc</t>
        </is>
      </c>
      <c r="EB36" t="inlineStr">
        <is>
          <t>['64', '', '', '', '', '', '', '', '', '', '', '', '', '', '', '', '', '', '', '']行 ['157', '', '', '', '', '', '', '', '', '', '', '', '', '', '', '', '', '', '', '']列，源：fec040c706199adf2fc50311275da743 备：616c969ea41d0b16680620e3e8c61497</t>
        </is>
      </c>
      <c r="EH36" t="inlineStr">
        <is>
          <t>['83', '2025-05-11 12:00:00']行 ['34', '2023-12-2523:59:00']列，源：35b67bd9535e0c0e202fa57f9d8e11d7 备：95ee71f02f0d89f265eea5cbd6de4307</t>
        </is>
      </c>
      <c r="EI36" t="inlineStr">
        <is>
          <t>['64', '', '', '', '', '', '', '', '', '', '', '', '', '', '', '', '', '', '', '']行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'0']列，源：fec040c706199adf2fc50311275da743 备：ab0c15fba71d0f33366b9ff631a3614d</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c_sdt列源备映射错误，源端为smalldatetime None位	期望更改为text	实际备端为smalldatetime None位</t>
        </is>
      </c>
      <c r="AL37" t="inlineStr">
        <is>
          <t>['62', '1998-05-05 23:59:59.997']行 ['22', '2024-05-1112:00:00.567']列，源：8782087f4195d848b7dee3d27fa69b40 备：38b53bf6ba17f21f17d47877caf44f6e</t>
        </is>
      </c>
      <c r="AO37" t="inlineStr">
        <is>
          <t>['117', '2003-11-04 23:59:59.99']行 ['218', '2004-12-2423:59:59.990']列，源：dc1ae9ae7ed011bd589e6ecab30ddf36 备：067d732c947750193f41cd39fe638d9d</t>
        </is>
      </c>
      <c r="BS37" t="inlineStr">
        <is>
          <t>['81', '2003-11-0502:00:00-05:10', '2003-11-0502:00:00.0-05:10', '2003-11-0502:00:00.00-05:10', '2003-11-0502:00:00.000-05:10', '2003-11-0502:00:00.0000-05:10', '2003-11-0502:00:00.00000-05:10', '2003-11-0502:00:00.000000-05:10', '2003-11-0502:00:00.0000000-05:10']行 ['27', '1933-05-1115:30:45+01:00', '1933-05-1115:30:45.1+01:00', '1933-05-1115:30:45.12+01:00', '1933-05-1115:30:45.123+01:00', '1933-05-1115:30:45.1235+01:00', '1933-05-1115:30:45.12346+01:00', '1933-05-1115:30:45.123457+01:00', '1933-05-1115:30:45.1234567+01:00']列，源：cc748d61c07d6cbcd95854fddebaefd4 备：a5010756b7b397e6d40fda43a17484ec</t>
        </is>
      </c>
      <c r="BW37" t="inlineStr">
        <is>
          <t>['203', '2026-04-1717:18:32+08:00', '2026-04-1717:18:31.5+08:00', '2026-04-1717:18:31.54+08:00', '2026-04-1717:18:31.537+08:00', '2026-04-1717:18:31.5370+08:00', '2026-04-1717:18:31.53698+08:00', '2026-04-1717:18:31.536981+08:00', '2026-04-1717:18:31.5369809+08:00']行 ['7', '1933-05-1115:30:45+01:00', '1933-05-1115:30:45.1+01:00', '1933-05-1115:30:45.12+01:00', '1933-05-1115:30:45.123+01:00', '1933-05-1115:30:45.1235+01:00', '1933-05-1115:30:45.12346+01:00', '1933-05-1115:30:45.123457+01:00', '1933-05-1115:30:45.1234567+01:00']列，源：05af51e3b6e1bf40c3e8d6955d08da57 备：8ae1a4b73489bcb460fbf33b4757ae7a</t>
        </is>
      </c>
      <c r="CB37" t="inlineStr">
        <is>
          <t>['180', '1990-05-11']行 ['77', '1970-01-01 00:00:00']列，源：5f097366c886bdb1c1ce17da70bda87b 备：0c4fe8b0426fc60d432d504ffcc4eaeb</t>
        </is>
      </c>
      <c r="DH37" t="inlineStr">
        <is>
          <t>['80', '12:30:45', '12:30:45.1', '12:30:45.12', '12:30:45.123', '12:30:45.1235', '12:30:45.12346', '12:30:45.123456', '12:30:45.123456']行 ['8', '2026-04-19 12:30:45', '2026-04-19 12:30:45.1', '2026-04-19 12:30:45.12', '2026-04-19 12:30:45.123', '2026-04-19 12:30:45.1234', '2026-04-19 12:30:45.1234', '2026-04-19 12:30:45.1234', '2026-04-19 12:30:45.1234']列，源：b1281eaa407594ce8accf7d5b774a811 备：ea173bcb3f398beaa3adfe55f9fc31c5</t>
        </is>
      </c>
      <c r="EB37" t="inlineStr">
        <is>
          <t>['65', '', '', '', '', '', '', '', '', '', '', '', '', '', '', '', '', '', '', '']行 ['158', '', '', '', '', '', '', '', '', '', '', '', '', '', '', '', '', '', '', '']列，源：98275a2703466a8b33d73172fcdc6666 备：5befa0799fb062a67bdebd2487d5833a</t>
        </is>
      </c>
      <c r="EH37" t="inlineStr">
        <is>
          <t>['84', '2023-12-25 23:59:00']行 ['4', '2079-06-0623:59:00']列，源：77842c4a2d4c331943fae216e3e6091f 备：a6d75d1a66b9d20659c081896ddd30ba</t>
        </is>
      </c>
      <c r="EI37" t="inlineStr">
        <is>
          <t>['65', '', '', '', '', '', '', '', '', '', '', '', '', '', '', '', '', '', '', '']行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'1']列，源：98275a2703466a8b33d73172fcdc6666 备：9529dc10faabffead21ab1a52aaa9526</t>
        </is>
      </c>
    </row>
    <row r="38">
      <c r="A38" t="inlineStr">
        <is>
          <t>info_varbinary_dml_batch1_pk_urp1</t>
        </is>
      </c>
      <c r="K38" t="inlineStr">
        <is>
          <t>[0;34m info_varbinary_dml_batch1_pk_urp1 [0m源备字段数相同，源端字段：4 	备端字段4</t>
        </is>
      </c>
      <c r="W38" s="17">
        <f>HYPERLINK("#2026041919hbase0!AB2","NO 源备存在差异，共9个")</f>
        <v/>
      </c>
      <c r="X38">
        <f>A38</f>
        <v/>
      </c>
      <c r="AL38" t="inlineStr">
        <is>
          <t>['63', '1999-06-06 23:59:59.997']行 ['23', '2025-01-0100:00:00.233']列，源：8fc967949113963355ef385908583d6a 备：40716dfdfa3eb606e6eebb32edf54dfa</t>
        </is>
      </c>
      <c r="AO38" t="inlineStr">
        <is>
          <t>['118', '2004-12-24 23:59:59.99']行 ['22', '2024-05-1112:00:00.567']列，源：d9a1b9514d87213022655aa891f1e5c6 备：38b53bf6ba17f21f17d47877caf44f6e</t>
        </is>
      </c>
      <c r="BS38" t="inlineStr">
        <is>
          <t>['82', '2025-05-1200:00:00-14:00', '2025-05-1200:00:00.0-14:00', '2025-05-1200:00:00.00-14:00', '2025-05-1200:00:00.000-14:00', '2025-05-1200:00:00.0000-14:00', '2025-05-1200:00:00.00000-14:00', '2025-05-1200:00:00.000000-14:00', '2025-05-1123:59:59.9999999-14:00']行 ['273', '2026-04-1717:18:23+08:00', '2026-04-1717:18:22.8+08:00', '2026-04-1717:18:22.75+08:00', '2026-04-1717:18:22.755+08:00', '2026-04-1717:18:22.7550+08:00', '2026-04-1717:18:22.75495+08:00', '2026-04-1717:18:22.754952+08:00', '2026-04-1717:18:22.7549521+08:00']列，源：be85d9771253de77d659a631540d14bf 备：152db9a6e11b43de9e68e67d25bb4cc8</t>
        </is>
      </c>
      <c r="BW38" t="inlineStr">
        <is>
          <t>['205', '9999-12-3123:59:59+00:00', '9999-12-3123:59:59.9+00:00', '9999-12-3123:59:59.99+00:00', '9999-12-3123:59:59.999+00:00', '9999-12-3123:59:59.9999+00:00', '9999-12-3123:59:59.99999+00:00', '9999-12-3123:59:59.999999+00:00', '9999-12-3123:59:59.9999999+00:00']行 ['8', '2000-05-1100:30:45+09:00', '2000-05-1100:30:45.1+09:00', '2000-05-1100:30:45.12+09:00', '2000-05-1100:30:45.123+09:00', '2000-05-1100:30:45.1235+09:00', '2000-05-1100:30:45.12346+09:00', '2000-05-1100:30:45.123457+09:00', '2000-05-1100:30:45.1234567+09:00']列，源：a9223961ae3b2ccafbc8806de99b58fd 备：aae4411e317f3751d1ca65a99d40e78b</t>
        </is>
      </c>
      <c r="CB38" t="inlineStr">
        <is>
          <t>['224', '9999-12-31']行 ['78', '0001-01-02 00:00:00']列，源：1484cf2f724da7e4d29e46c176f6ab25 备：eff50232a2eef95cbb0601b59bbf36a5</t>
        </is>
      </c>
      <c r="DH38" t="inlineStr">
        <is>
          <t>['81', '12:30:45', '12:30:45.1', '12:30:45.12', '12:30:45.123', '12:30:45.1235', '12:30:45.12346', '12:30:45.123457', '12:30:45.123456']行 ['80', '2026-04-19 12:30:45', '2026-04-19 12:30:45.1', '2026-04-19 12:30:45.12', '2026-04-19 12:30:45.123', '2026-04-19 12:30:45.1235', '2026-04-19 12:30:45.12346', '2026-04-19 12:30:45.123456', '2026-04-19 12:30:45.123456']列，源：f959e58531e41799d44299d05d25c0b5 备：de2f7e9956296e17c0386669c078f4e7</t>
        </is>
      </c>
      <c r="EB38" t="inlineStr">
        <is>
          <t>['66', '', '', '', '', '', '', '', '', '', '', '', '', '', '', '', '', '', '', '']行 ['159', '', '', '', '', '', '', '', '', '', '', '', '', '', '', '', '', '', '', '']列，源：dafb2839909685d29fbfc3b4fdfaa03d 备：b1f167bd3531a1330cdf8f391d3b7da5</t>
        </is>
      </c>
      <c r="EH38" t="inlineStr">
        <is>
          <t>['124', '2079-06-06 23:59:00']行 ['5', '2026-04-1717:15:00']列，源：36eb5573ac746181292a072b2558e49a 备：f55c199fe8e4395e0021dfc23e52e4dc</t>
        </is>
      </c>
      <c r="EI38" t="inlineStr">
        <is>
          <t>['66', '', '', '', '', '', '', '', '', '', '', '', '', '', '', '', '', '', '', '']行 ['203', '', '', '', '', '', '', '', '', '', '', '', '', '', '', '', '', '', '', '']列，源：dafb2839909685d29fbfc3b4fdfaa03d 备：d73d4dec43c6768893cb8e84a0f45bd8</t>
        </is>
      </c>
    </row>
    <row r="39">
      <c r="B39" t="inlineStr">
        <is>
          <t>YES</t>
        </is>
      </c>
      <c r="C39" t="inlineStr">
        <is>
          <t>NULL</t>
        </is>
      </c>
      <c r="D39" t="inlineStr">
        <is>
          <t>NULL</t>
        </is>
      </c>
      <c r="E39" t="inlineStr">
        <is>
          <t>NULL</t>
        </is>
      </c>
      <c r="F39" t="inlineStr">
        <is>
          <t>NULL</t>
        </is>
      </c>
      <c r="G39" t="inlineStr">
        <is>
          <t>NULL</t>
        </is>
      </c>
      <c r="H39" t="inlineStr">
        <is>
          <t>NULL</t>
        </is>
      </c>
      <c r="I39" t="inlineStr">
        <is>
          <t>YES!PK__info_var__3213E83F3219EEAB</t>
        </is>
      </c>
      <c r="J39" t="inlineStr">
        <is>
          <t>YES! 主键相关索引</t>
        </is>
      </c>
      <c r="K39" t="inlineStr">
        <is>
          <t xml:space="preserve"> NO!  	 id列源备映射错误，源端为int None位	期望更改为text	实际备端为int None位</t>
        </is>
      </c>
      <c r="AL39" t="inlineStr">
        <is>
          <t>['64', '2000-05-01 23:59:59.993']行 ['24', '2040-12-2523:59:59.997']列，源：26b074c2493588eb70e8496dc31d34b7 备：9d4e593dd983c377e47b5784cb80c176</t>
        </is>
      </c>
      <c r="AO39" t="inlineStr">
        <is>
          <t>['119', '1753-01-02 00:00:00']行 ['220', '9999-12-3023:59:59.997']列，源：794c98217ec3265115e7e062144f75ea 备：ba57d3940c98a0f0f997daf592355a89</t>
        </is>
      </c>
      <c r="BS39" t="inlineStr">
        <is>
          <t>['83', '1971-05-1100:00:00+14:00', '1971-05-1100:00:00.0+14:00', '1971-05-1100:00:00.00+14:00', '1971-05-1100:00:00.000+14:00', '1971-05-1100:00:00.0000+14:00', '1971-05-1100:00:00.00000+14:00', '1971-05-1100:00:00.000000+14:00', '1971-05-1100:00:00.0000001+14:00']行 ['275', '9999-12-3123:59:59+00:00', '9999-12-3123:59:59.9+00:00', '9999-12-3123:59:59.99+00:00', '9999-12-3123:59:59.999+00:00', '9999-12-3123:59:59.9999+00:00', '9999-12-3123:59:59.99999+00:00', '9999-12-3123:59:59.999999+00:00', '9999-12-3123:59:59.9999999+00:00']列，源：674c93deb2d6638fb7768e17745a0a3c 备：5b24f1c91ce9f578998d7afba888c63b</t>
        </is>
      </c>
      <c r="BW39" t="inlineStr">
        <is>
          <t>['206', '2063-05-1110:30:45-04:00', '2063-05-1110:30:45.1-04:00', '2063-05-1110:30:45.12-04:00', '2063-05-1110:30:45.123-04:00', '2063-05-1110:30:45.1235-04:00', '2063-05-1110:30:45.12346-04:00', '2063-05-1110:30:45.123457-04:00', '2063-05-1110:30:45.1234567-04:00']行 ['9', '1999-05-1601:30:45+10:15', '1999-05-1601:30:45.1+10:15', '1999-05-1601:30:45.12+10:15', '1999-05-1601:30:45.123+10:15', '1999-05-1601:30:45.1235+10:15', '1999-05-1601:30:45.12346+10:15', '1999-05-1601:30:45.123457+10:15', '1999-05-1601:30:45.1234567+10:15']列，源：7c12d00fe9de28e4295bfe8a0dfc30b6 备：5ce542de96b32aca4db9fb684ca33bbb</t>
        </is>
      </c>
      <c r="CB39" t="inlineStr">
        <is>
          <t>['225', '2026-04-17']行 ['79', '9999-12-30 00:00:00']列，源：93d56a421a115c6f824a3b845262264d 备：1034843fa8b223270bca3921f78a5fe7</t>
        </is>
      </c>
      <c r="DH39" t="inlineStr">
        <is>
          <t>['82', '23:59:59', '23:59:59.1', '23:59:59.12', '23:59:59.123', '23:59:59.1235', '23:59:59.12346', '23:59:59.123457', '23:59:59.123456']行 ['81', '2026-04-19 12:30:45', '2026-04-19 12:30:45.1', '2026-04-19 12:30:45.12', '2026-04-19 12:30:45.123', '2026-04-19 12:30:45.1235', '2026-04-19 12:30:45.12346', '2026-04-19 12:30:45.123457', '2026-04-19 12:30:45.123456']列，源：ffa33bbc714b39e5c18ddbc6345c534a 备：1237a9226ad79273b533aa61fa19b5be</t>
        </is>
      </c>
      <c r="EB39" t="inlineStr">
        <is>
          <t>['67', '', '', '', '', '', '', '', '', '', '', '', '', '', '', '', '', '', '', '']行 ['16', '', '', '', '', '', '', '', '', '', '', '', '', '', '', '123456789000000002003480098300000000000', '340282306073709652508363335600000000000', '123456.789', '1234.5678', '1']列，源：335096f9c43f4c9730d7d32dc1d02c74 备：bd2a48339d77dbd935f5a501c060bab3</t>
        </is>
      </c>
      <c r="EH39" t="inlineStr">
        <is>
          <t>['125', '2026-04-17 17:15:00']行 ['6', '2020-03-0100:00:00']列，源：de2971d41e7e5f00ae060dbf42a9add9 备：41de459b8773593bb76d513eb095eeff</t>
        </is>
      </c>
      <c r="EI39" t="inlineStr">
        <is>
          <t>['67', '', '', '', '', '', '', '', '', '', '', '', '', '', '', '', '', '', '', '']行 ['204', '', '', '', '', '', '', '', '', '', '', '', '', '', '', '0', '299792448', '-500000', '1234.5678', '1']列，源：335096f9c43f4c9730d7d32dc1d02c74 备：a31c87c3c60d3cfd999a8cc6fcc840dc</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 xml:space="preserve"> NO!  	 c_varbinary列源备映射错误，源端为varbinary 1位	期望更改为text	实际备端为varbinary 1位</t>
        </is>
      </c>
      <c r="AL40" t="inlineStr">
        <is>
          <t>['65', '2001-04-09 23:59:59.993']行 ['3', '1753-01-0100:00:00.000']列，源：99a1e29d42502cf2ea6cb1fa3689cc22 备：1f4848cd916f07b757d44603eabcc57e</t>
        </is>
      </c>
      <c r="AO40" t="inlineStr">
        <is>
          <t>['121', '2023-05-11 00:00:00.123']行 ['221', '2023-05-1100:00:00.123']列，源：d9dda8a45b34a9b22db78d6a19920607 备：f627144b50b0f761ac5f3ce55975c352</t>
        </is>
      </c>
      <c r="BS40" t="inlineStr">
        <is>
          <t>['122', '1900-01-0100:00:00+00:00', '1900-01-0100:00:00.0+00:00', '1900-01-0100:00:00.00+00:00', '1900-01-0100:00:00.000+00:00', '1900-01-0100:00:00.0000+00:00', '1900-01-0100:00:00.00000+00:00', '1900-01-0100:00:00.000000+00:00', '1900-01-0100:00:00.0000000+00:00']行 ['276', '2063-05-1110:30:45-04:00', '2063-05-1110:30:45.1-04:00', '2063-05-1110:30:45.12-04:00', '2063-05-1110:30:45.123-04:00', '2063-05-1110:30:45.1235-04:00', '2063-05-1110:30:45.12346-04:00', '2063-05-1110:30:45.123457-04:00', '2063-05-1110:30:45.1234567-04:00']列，源：c9f3768afc301d10820216efad8240d4 备：66961a719ed146940ae4ebbd955e308b</t>
        </is>
      </c>
      <c r="CB40" t="inlineStr">
        <is>
          <t>['229', '9999-12-30']行 ['8', '0001-01-02 00:00:00']列，源：debd6b4c92d82e4288637669e5909a07 备：6fa67fdbd162c694f276285f59a50544</t>
        </is>
      </c>
      <c r="DH40" t="inlineStr">
        <is>
          <t>['83', '', '00:00:01.1', '', '00:00:01.123', '', '00:00:01.12346', '', '00:00:01.123456']行 ['82', '2026-04-19 23:59:59', '2026-04-19 23:59:59.1', '2026-04-19 23:59:59.12', '2026-04-19 23:59:59.123', '2026-04-19 23:59:59.1235', '2026-04-19 23:59:59.12346', '2026-04-19 23:59:59.123457', '2026-04-19 23:59:59.123456']列，源：082b8a46cb3137862870b9e04031694a 备：f9b626750382eadd7ab461f703139997</t>
        </is>
      </c>
      <c r="EB40" t="inlineStr">
        <is>
          <t>['68', '', '', '', '', '', '', '', '', '', '', '', '', '', '', '', '', '', '', '']行 ['160', '', '', '', '', '', '', '', '', '', '', '', '', '', '', '', '', '', '', '']列，源：3df63b35c1d9071733ae38b706d49109 备：dc680915562b995dc2c13ed1e0a4a873</t>
        </is>
      </c>
      <c r="EH40" t="inlineStr">
        <is>
          <t>['126', '2020-03-01 00:00:00']行 ['7', '2000-05-1114:30:00']列，源：d1bf5f35f8a3486f19b2df27a0a58e3f 备：4458fa2ea1bccc5c0ccf21d95fff7c93</t>
        </is>
      </c>
      <c r="EI40" t="inlineStr">
        <is>
          <t>['68', '', '', '', '', '', '', '', '', '', '', '', '', '', '', '', '', '', '', '']行 ['205', '', '', '', '', '', '', '', '', '', '', '', '', '', '', '', '', '', '', '']列，源：3df63b35c1d9071733ae38b706d49109 备：e5a8ce447702f02863352b6cf62009b4</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 xml:space="preserve"> NO!  	 c_varbinary_100列源备映射错误，源端为varbinary 100位	期望更改为text	实际备端为varbinary 100位</t>
        </is>
      </c>
      <c r="AL41" t="inlineStr">
        <is>
          <t>['66', '2002-06-11 23:59:59.993']行 ['356', '2020-02-2919:27:31.123']列，源：f77a29e90341e898a63cd738b8417c85 备：83354faf20fc5df7b995cf22d1d30d70</t>
        </is>
      </c>
      <c r="AO41" t="inlineStr">
        <is>
          <t>['122', '2024-05-11 12:00:00.567']行 ['222', '2024-05-1112:00:00.567']列，源：d9a7390ede75234c5edc67ac3b8ed22e 备：396eb6a705d846b849ab95771d050fbc</t>
        </is>
      </c>
      <c r="BS41" t="inlineStr">
        <is>
          <t>['123', '2026-04-1717:18:23+08:00', '2026-04-1717:18:22.8+08:00', '2026-04-1717:18:22.75+08:00', '2026-04-1717:18:22.755+08:00', '2026-04-1717:18:22.7550+08:00', '2026-04-1717:18:22.75495+08:00', '2026-04-1717:18:22.754952+08:00', '2026-04-1717:18:22.7549521+08:00']行 ['28', '2000-05-1100:30:45+09:00', '2000-05-1100:30:45.1+09:00', '2000-05-1100:30:45.12+09:00', '2000-05-1100:30:45.123+09:00', '2000-05-1100:30:45.1235+09:00', '2000-05-1100:30:45.12346+09:00', '2000-05-1100:30:45.123457+09:00', '2000-05-1100:30:45.1234567+09:00']列，源：0be2c896b9e4dd5f73812e6bfd531c38 备：08395a3b62487df03f1e3a3e1dedca0b</t>
        </is>
      </c>
      <c r="CB41" t="inlineStr">
        <is>
          <t>['231', '2068-06-01']行 ['80', '1990-05-11 00:00:00']列，源：cc0ca18e7eed1be6f06f14e880319ba8 备：b9696057487895c3a60389cc6251fcfd</t>
        </is>
      </c>
      <c r="DH41" t="inlineStr">
        <is>
          <t>['84', '', '12:00:00.1', '', '12:00:00.123', '', '12:00:00.12346', '', '12:00:00.123456']行 ['83', '', '2026-04-19 00:00:01.1', '', '2026-04-19 00:00:01.123', '', '2026-04-19 00:00:01.12346', '', '2026-04-19 00:00:01.123456']列，源：d926df9819d3ca86e4442487d26ff7f0 备：32f69eae79a8aa57790225f3db055dc4</t>
        </is>
      </c>
      <c r="EB41" t="inlineStr">
        <is>
          <t>['69', '', '', '', '', '', '', '', '', '', '', '', '', '', '', '', '', '', '', '']行 ['161', '', '', '', '', '', '', '', '', '', '', '', '', '', '', '', '', '', '', '']列，源：0cfb4287715fdcb9a2965d3ce87499b6 备：626823fea281026552b58d5a930b7c5a</t>
        </is>
      </c>
      <c r="EH41" t="inlineStr">
        <is>
          <t>['127', '2000-05-11 14:30:00']行 ['77', '2000-05-1114:30:00']列，源：35e3d02666f90d8d0cdefe544342415a 备：4209d9e759c87e0f114fd6cc4309a1b1</t>
        </is>
      </c>
      <c r="EI41" t="inlineStr">
        <is>
          <t>['69', '', '', '', '', '', '', '', '', '', '', '', '', '', '', '', '', '', '', '']行 ['206', '', '', '', '', '', '', '', '', '', '', '', '', '', '', '', '', '', '', '']列，源：0cfb4287715fdcb9a2965d3ce87499b6 备：3db82bc38b063706520e24a8668c0fdb</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 xml:space="preserve"> NO!  	 c_varbinary_200列源备映射错误，源端为varbinary 200位	期望更改为text	实际备端为varbinary 200位</t>
        </is>
      </c>
      <c r="AL42" t="inlineStr">
        <is>
          <t>['67', '2003-11-04 23:59:59.99']行 ['357', '2000-05-1114:30:29.000']列，源：575d4fae23165d8f82d2094b424b24ce 备：6c3314e3c9e8d528cc117dfd32a6b4dc</t>
        </is>
      </c>
      <c r="AO42" t="inlineStr">
        <is>
          <t>['123', '2025-01-01 00:00:00.233']行 ['223', '2025-01-0100:00:00.233']列，源：a00c6e82c14f9ab29d7a7e45b5c63f23 备：1b8f2b1539b7ecdd6bab2434d4785073</t>
        </is>
      </c>
      <c r="BS42" t="inlineStr">
        <is>
          <t>['124', '0001-01-0100:00:00+00:00', '0001-01-0100:00:00.0+00:00', '0001-01-0100:00:00.00+00:00', '0001-01-0100:00:00.000+00:00', '0001-01-0100:00:00.0000+00:00', '0001-01-0100:00:00.00000+00:00', '0001-01-0100:00:00.000000+00:00', '0001-01-0100:00:00.0000000+00:00']行 ['29', '1999-05-1601:30:45+10:15', '1999-05-1601:30:45.1+10:15', '1999-05-1601:30:45.12+10:15', '1999-05-1601:30:45.123+10:15', '1999-05-1601:30:45.1235+10:15', '1999-05-1601:30:45.12346+10:15', '1999-05-1601:30:45.123457+10:15', '1999-05-1601:30:45.1234567+10:15']列，源：9aea27c49b437d0f59a09a1f0ab877f8 备：ed5201b54d07453149f52d59ff705b6a</t>
        </is>
      </c>
      <c r="CB42" t="inlineStr">
        <is>
          <t>['279', '9999-12-30']行 ['81', '2068-06-01 00:00:00']列，源：92e3f1f004d66555986e75e8c91f4fc7 备：8b986414f5128c10f7c6c526e2a85c46</t>
        </is>
      </c>
      <c r="DH42" t="inlineStr">
        <is>
          <t>['85', '00:00:01', '', '00:00:01.12', '', '00:00:01.1235', '', '00:00:01.123457', '']行 ['84', '', '2026-04-19 12:00:00.1', '', '2026-04-19 12:00:00.123', '', '2026-04-19 12:00:00.12346', '', '2026-04-19 12:00:00.123456']列，源：689a3bbb5a0ff6b523b9a315d06ccf1e 备：e9722be26e894674d0512a253161b665</t>
        </is>
      </c>
      <c r="EB42" t="inlineStr">
        <is>
          <t>['70', '', '', '', '', '', '', '', '', '', '', '', '', '', '', '', '', '', '', '']行 ['162', '', '', '', '', '', '', '', '', '', '', '', '', '', '', '', '', '', '', '']列，源：bbfe0c65fee335ec8e1cc4c7ebd817cc 备：4e2832d3e686a39cc2117f7d42cfc6ae</t>
        </is>
      </c>
      <c r="EH42" t="inlineStr">
        <is>
          <t>['128', '2068-05-11 14:31:00']行 ['78', '2068-05-1114:31:00']列，源：3e96cb40858b2aa99adbd512217b123d 备：7ae4386c9d063acd8775ae706b7e94fa</t>
        </is>
      </c>
      <c r="EI42" t="inlineStr">
        <is>
          <t>['70', '', '', '', '', '', '', '', '', '', '', '', '', '', '', '', '', '', '', '']行 ['207', '', '', '', '', '', '', '', '', '', '', '', '', '', '', '', '', '', '', '']列，源：bbfe0c65fee335ec8e1cc4c7ebd817cc 备：6825ec32b2fa82bf5694be96d2af00c4</t>
        </is>
      </c>
    </row>
    <row r="43">
      <c r="A43" t="inlineStr">
        <is>
          <t>info_nchar_dml_single_pk_irp</t>
        </is>
      </c>
      <c r="K43" t="inlineStr">
        <is>
          <t>[0;34m info_nchar_dml_single_pk_irp [0m源备字段数相同，源端字段：4 	备端字段4</t>
        </is>
      </c>
      <c r="W43" s="17">
        <f>HYPERLINK("#2026041919hbase0!AC2","NO 源备存在差异，共15个")</f>
        <v/>
      </c>
      <c r="X43">
        <f>A43</f>
        <v/>
      </c>
      <c r="AL43" t="inlineStr">
        <is>
          <t>['68', '2004-12-24 23:59:59.99']行 ['364', '2000-05-0123:59:59.993']列，源：96845c461d5ac706ce4e7ce55885fca4 备：9b1e74cd6f7da919daeab0a2ba1f3620</t>
        </is>
      </c>
      <c r="AO43" t="inlineStr">
        <is>
          <t>['214', '2000-05-01 23:59:59.993']行 ['224', '2040-12-2523:59:59.997']列，源：e20b05522e2a18d287471d817cf917d1 备：6555ef2c93bda65422099c744b5cef82</t>
        </is>
      </c>
      <c r="BS43" t="inlineStr">
        <is>
          <t>['127', '1933-05-1115:30:45+01:00', '1933-05-1115:30:45.1+01:00', '1933-05-1115:30:45.12+01:00', '1933-05-1115:30:45.123+01:00', '1933-05-1115:30:45.1235+01:00', '1933-05-1115:30:45.12346+01:00', '1933-05-1115:30:45.123457+01:00', '1933-05-1115:30:45.1234567+01:00']行 ['3', '2026-04-1717:18:23+08:00', '2026-04-1717:18:22.8+08:00', '2026-04-1717:18:22.75+08:00', '2026-04-1717:18:22.755+08:00', '2026-04-1717:18:22.7550+08:00', '2026-04-1717:18:22.75495+08:00', '2026-04-1717:18:22.754952+08:00', '2026-04-1717:18:22.7549521+08:00']列，源：9eee55c840de5a4a3de5c4f8d08f2567 备：b20b50cb2f31f99efe89e7ded465b582</t>
        </is>
      </c>
      <c r="CB43" t="inlineStr">
        <is>
          <t>['281', '2068-06-01']行 ['9', '9999-12-30 00:00:00']列，源：0194d2dcc6099b0fec8e2a25f27d4f8a 备：9984c1d9358c3ef40f8e1c3abd41d70e</t>
        </is>
      </c>
      <c r="DH43" t="inlineStr">
        <is>
          <t>['86', '12:00:00', '', '12:00:00.12', '', '12:00:00.1235', '', '12:00:00.123457', '']行 ['85', '2026-04-19 00:00:01', '', '2026-04-19 00:00:01.12', '', '2026-04-19 00:00:01.1235', '', '2026-04-19 00:00:01.123457', '']列，源：01f899d02385069bca2256b8938f4add 备：7c513bfb8db624c5daf06be9f264bcde</t>
        </is>
      </c>
      <c r="EB43" t="inlineStr">
        <is>
          <t>['101', '', '', '', '', '-999999999999999999', '-100000000000000000000000000000000000000', '-1', '-10000000000000000000000000000', '-999999999999999.9999', '-999999999999999999', '-100000000000000000000000000000000000000', '-1', '-10000000000000000000000000000', '-9999999999999999.99', '', '', '', '', '']行 ['163', '', '', '', '', '', '', '', '', '', '', '', '', '', '', '', '', '', '', '']列，源：ac209e72467ea8a50b415f3f384f7d17 备：6a322dc7bcabc57a9ae11d27e5ef4f8b</t>
        </is>
      </c>
      <c r="EH43" t="inlineStr">
        <is>
          <t>['130', '2079-06-05 23:59:00']行 ['79', '1981-05-1114:31:00']列，源：f04774a009c1a6ca165525680242a87d 备：7aec17ed6d5f2a6aa4446bd59e2e9feb</t>
        </is>
      </c>
      <c r="EI43" t="inlineStr">
        <is>
          <t>['101', '', '', '', '', '-999999999999999999', '-100000000000000000000000000000000000000', '-1', '-10000000000000000000000000000', '-999999999999999.9999', '-999999999999999999', '-100000000000000000000000000000000000000', '-1', '-10000000000000000000000000000', '-9999999999999999.99', '', '', '', '', '']行 ['208', '', '', '', '', '', '', '', '', '', '', '', '', '', '', '', '', '', '', '']列，源：ac209e72467ea8a50b415f3f384f7d17 备：898629525be4d5f467fd745215c7d266</t>
        </is>
      </c>
    </row>
    <row r="44">
      <c r="B44" t="inlineStr">
        <is>
          <t>YES</t>
        </is>
      </c>
      <c r="C44" t="inlineStr">
        <is>
          <t>NULL</t>
        </is>
      </c>
      <c r="D44" t="inlineStr">
        <is>
          <t>NULL</t>
        </is>
      </c>
      <c r="E44" t="inlineStr">
        <is>
          <t>NULL</t>
        </is>
      </c>
      <c r="F44" t="inlineStr">
        <is>
          <t>NULL</t>
        </is>
      </c>
      <c r="G44" t="inlineStr">
        <is>
          <t>NULL</t>
        </is>
      </c>
      <c r="H44" t="inlineStr">
        <is>
          <t>NULL</t>
        </is>
      </c>
      <c r="I44" t="inlineStr">
        <is>
          <t>YES!PK__info_nch__3213E83F0AE78F6F</t>
        </is>
      </c>
      <c r="J44" t="inlineStr">
        <is>
          <t>YES! 主键相关索引</t>
        </is>
      </c>
      <c r="K44" t="inlineStr">
        <is>
          <t xml:space="preserve"> NO!  	 id列源备映射错误，源端为int None位	期望更改为text	实际备端为int None位</t>
        </is>
      </c>
      <c r="AL44" t="inlineStr">
        <is>
          <t>['69', '1753-01-02 00:00:00']行 ['365', '2001-04-0923:59:59.993']列，源：db23966e1d78b33ec2217a5abe24ddac 备：bc2f89fa19f43aacf7a5adf0edf30aa3</t>
        </is>
      </c>
      <c r="AO44" t="inlineStr">
        <is>
          <t>['215', '2001-04-09 23:59:59.993']行 ['23', '2025-01-0100:00:00.233']列，源：1eb11557b9baf59fe1e58f103b77192b 备：40716dfdfa3eb606e6eebb32edf54dfa</t>
        </is>
      </c>
      <c r="BS44" t="inlineStr">
        <is>
          <t>['128', '2000-05-1100:30:45+09:00', '2000-05-1100:30:45.1+09:00', '2000-05-1100:30:45.12+09:00', '2000-05-1100:30:45.123+09:00', '2000-05-1100:30:45.1235+09:00', '2000-05-1100:30:45.12346+09:00', '2000-05-1100:30:45.123457+09:00', '2000-05-1100:30:45.1234567+09:00']行 ['30', '2013-03-1202:00:00-04:25', '2013-03-1202:00:00.0-04:25', '2013-03-1202:00:00.00-04:25', '2013-03-1202:00:00.000-04:25', '2013-03-1202:00:00.0000-04:25', '2013-03-1202:00:00.00000-04:25', '2013-03-1202:00:00.000000-04:25', '2013-03-1202:00:00.0000000-04:25']列，源：c50878836e335acab9d949f353dc647c 备：edf8de15725a6c64d34f9239ae68e369</t>
        </is>
      </c>
      <c r="DH44" t="inlineStr">
        <is>
          <t>['129', '12:30:45', '12:30:45.1', '12:30:45.12', '12:30:45.123', '12:30:45.1235', '12:30:45.12345', '12:30:45.12345', '12:30:45.12345']行 ['86', '2026-04-19 12:00:00', '', '2026-04-19 12:00:00.12', '', '2026-04-19 12:00:00.1235', '', '2026-04-19 12:00:00.123457', '']列，源：79c42e903b043149259b10b87f984287 备：8b37b2e5da212014accbd2fd83c116cf</t>
        </is>
      </c>
      <c r="EB44" t="inlineStr">
        <is>
          <t>['102', '', '', '', '', '999999999999999999', '100000000000000000000000000000000000000', '1', '10000000000000000000000000000', '999999999999999.9999', '999999999999999999', '100000000000000000000000000000000000000', '1', '10000000000000000000000000000', '9999999999999999.99', '', '', '', '', '']行 ['164', '', '', '', '', '', '', '', '', '', '', '', '', '', '', '', '', '', '', '']列，源：99ce8b7602db632a01c4f2d5c4d3ecde 备：21fe61e2c21cf7e70abac9a58cc52e53</t>
        </is>
      </c>
      <c r="EH44" t="inlineStr">
        <is>
          <t>['133', '2025-05-11 12:00:00']行 ['8', '2068-05-1114:31:00']列，源：d09c54c5ec8db0787b9d9339b4b0fbac 备：ce20a4e427faf031e896199a8e3144b5</t>
        </is>
      </c>
      <c r="EI44" t="inlineStr">
        <is>
          <t>['102', '', '', '', '', '999999999999999999', '100000000000000000000000000000000000000', '1', '10000000000000000000000000000', '999999999999999.9999', '999999999999999999', '100000000000000000000000000000000000000', '1', '10000000000000000000000000000', '9999999999999999.99', '', '', '', '', '']行 ['209', '', '', '', '', '', '', '', '', '', '', '', '', '', '', '', '', '', '', '']列，源：99ce8b7602db632a01c4f2d5c4d3ecde 备：16720de118fba69ba537421a75083d4c</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 xml:space="preserve"> NO!  	 c_nchar列源备映射错误，源端为nchar 2位	期望更改为text	实际备端为nchar 2位</t>
        </is>
      </c>
      <c r="AL45" t="inlineStr">
        <is>
          <t>['70', '9999-12-30 23:59:59.997']行 ['366', '2002-06-1123:59:59.993']列，源：58b2cb3bc74e3618cebf3c054d691d27 备：88826a40455d62c672e7bcd37519c597</t>
        </is>
      </c>
      <c r="AO45" t="inlineStr">
        <is>
          <t>['216', '2002-06-11 23:59:59.993']行 ['24', '2040-12-2523:59:59.997']列，源：c3c924cfcdfbae002d72dff9cf2a7342 备：9d4e593dd983c377e47b5784cb80c176</t>
        </is>
      </c>
      <c r="BS45" t="inlineStr">
        <is>
          <t>['129', '1999-05-1601:30:45+10:15', '1999-05-1601:30:45.1+10:15', '1999-05-1601:30:45.12+10:15', '1999-05-1601:30:45.123+10:15', '1999-05-1601:30:45.1235+10:15', '1999-05-1601:30:45.12346+10:15', '1999-05-1601:30:45.123457+10:15', '1999-05-1601:30:45.1234567+10:15']行 ['31', '2003-11-0502:00:00-05:10', '2003-11-0502:00:00.0-05:10', '2003-11-0502:00:00.00-05:10', '2003-11-0502:00:00.000-05:10', '2003-11-0502:00:00.0000-05:10', '2003-11-0502:00:00.00000-05:10', '2003-11-0502:00:00.000000-05:10', '2003-11-0502:00:00.0000000-05:10']列，源：4ea6fb101fbd7c4c1c08965313377e26 备：167672aa3873be7bdae67f329bbf8875</t>
        </is>
      </c>
      <c r="DH45" t="inlineStr">
        <is>
          <t>['179', '12:30:45', '12:30:45.1', '12:30:45.12', '12:30:45.123', '12:30:45.1235', '12:30:45.12345', '12:30:45.12345', '12:30:45.12345']行 ['9', '2026-04-19 12:30:45', '2026-04-19 12:30:45.1', '2026-04-19 12:30:45.12', '2026-04-19 12:30:45.123', '2026-04-19 12:30:45.1235', '2026-04-19 12:30:45.12345', '2026-04-19 12:30:45.12345', '2026-04-19 12:30:45.12345']列，源：ac7a10f133a160c03cfe905145792e31 备：cc85285a2c5fce7382f015e65be5b09e</t>
        </is>
      </c>
      <c r="EB45" t="inlineStr">
        <is>
          <t>['103', '', '', '', '', '', '', '', '', '', '', '', '', '', '', '', '', '', '', '']行 ['165', '', '', '', '', '', '', '', '', '', '', '', '', '', '', '', '', '', '', '']列，源：3c404a4c1e388c97bf548f7dc10d630f 备：f298591d5009c0895edcc056c29da142</t>
        </is>
      </c>
      <c r="EH45" t="inlineStr">
        <is>
          <t>['134', '2023-12-25 23:59:00']行 ['80', '2079-06-0523:59:00']列，源：32a1ab80391af6fc484fc3df93a2f453 备：065d1512134cc61e47f2cdb66549bb83</t>
        </is>
      </c>
      <c r="EI45" t="inlineStr">
        <is>
          <t>['103', '', '', '', '', '', '', '', '', '', '', '', '', '', '', '', '', '', '', '']行 ['210', '', '', '', '', '', '', '', '', '', '', '', '', '', '', '', '', '', '', '']列，源：3c404a4c1e388c97bf548f7dc10d630f 备：062ac8d7144f137ca6f7b63434389657</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c_nchar20列源备映射错误，源端为nchar 40位	期望更改为text	实际备端为nchar 40位</t>
        </is>
      </c>
      <c r="AL46" t="inlineStr">
        <is>
          <t>['71', '2023-05-11 00:00:00.123']行 ['367', '2003-11-0423:59:59.990']列，源：553745c0df7f7b5340ea12aad7223cce 备：60fc41aea4e6182d1e6deeb0149f26e2</t>
        </is>
      </c>
      <c r="AO46" t="inlineStr">
        <is>
          <t>['217', '2003-11-04 23:59:59.99']行 ['3', '1753-01-0100:00:00.000']列，源：e111b5aad5983815078303497b79d5e4 备：1f4848cd916f07b757d44603eabcc57e</t>
        </is>
      </c>
      <c r="BS46" t="inlineStr">
        <is>
          <t>['130', '2013-03-1202:00:00-04:25', '2013-03-1202:00:00.0-04:25', '2013-03-1202:00:00.00-04:25', '2013-03-1202:00:00.000-04:25', '2013-03-1202:00:00.0000-04:25', '2013-03-1202:00:00.00000-04:25', '2013-03-1202:00:00.000000-04:25', '2013-03-1202:00:00.0000000-04:25']行 ['32', '2025-05-1200:00:00-14:00', '2025-05-1200:00:00.0-14:00', '2025-05-1200:00:00.00-14:00', '2025-05-1200:00:00.000-14:00', '2025-05-1200:00:00.0000-14:00', '2025-05-1200:00:00.00000-14:00', '2025-05-1200:00:00.000000-14:00', '2025-05-1123:59:59.9999999-14:00']列，源：f763e61fe032ef90a600a089411183bf 备：77edf13b7c41f0403e2ac283d6538a69</t>
        </is>
      </c>
      <c r="EB46" t="inlineStr">
        <is>
          <t>['104', '', '', '', '', '123456789123456789', '-1234567890123456789012345', '0.0000000000000000000000008', '1234567890123456789012345678', '-123456789012.1234', '123456789123456789', '-1234567890123456789012345', '0.0000000000000000000000008', '1234567890123456789012345678', '-123456789012.12', '', '', '', '', '']行 ['166', '', '', '', '', '', '', '', '', '', '', '', '', '', '', '', '', '', '', '']列，源：feb5d04bbe7420cb48d9ca1aada6f32d 备：1315e4df298a16aef23407d413b14b9c</t>
        </is>
      </c>
      <c r="EH46" t="inlineStr">
        <is>
          <t>['177', '2000-05-11 14:30:00']行 ['81', '1900-01-0200:00:00']列，源：a6a2ee59a340ac7d69e72ec920c2930a 备：b845ad89d8da5a3caa2b225d93730392</t>
        </is>
      </c>
      <c r="EI46" t="inlineStr">
        <is>
          <t>['104', '', '', '', '', '123456789123456789', '-1234567890123456789012345', '0.0000000000000000000000008', '1234567890123456789012345678', '-123456789012.1234', '123456789123456789', '-1234567890123456789012345', '0.0000000000000000000000008', '1234567890123456789012345678', '-123456789012.12', '', '', '', '', '']行 ['211', '', '', '', '', '', '', '', '', '', '', '', '', '', '', '', '', '', '', '']列，源：feb5d04bbe7420cb48d9ca1aada6f32d 备：97d6d1ad51aaeea2a131713cf72d2ecf</t>
        </is>
      </c>
    </row>
    <row r="47">
      <c r="B47" t="inlineStr">
        <is>
          <t>NULL</t>
        </is>
      </c>
      <c r="C47" t="inlineStr">
        <is>
          <t>NULL</t>
        </is>
      </c>
      <c r="D47" t="inlineStr">
        <is>
          <t>NULL</t>
        </is>
      </c>
      <c r="E47" t="inlineStr">
        <is>
          <t>NULL</t>
        </is>
      </c>
      <c r="F47" t="inlineStr">
        <is>
          <t>NULL</t>
        </is>
      </c>
      <c r="G47" t="inlineStr">
        <is>
          <t>NULL</t>
        </is>
      </c>
      <c r="H47" t="inlineStr">
        <is>
          <t>NULL</t>
        </is>
      </c>
      <c r="I47" t="inlineStr">
        <is>
          <t>NULL</t>
        </is>
      </c>
      <c r="J47" t="inlineStr">
        <is>
          <t>NULL</t>
        </is>
      </c>
      <c r="K47" t="inlineStr">
        <is>
          <t xml:space="preserve"> NO!  	 c_nchar4000列源备映射错误，源端为nchar 8000位	期望更改为text	实际备端为nchar 8000位</t>
        </is>
      </c>
      <c r="AL47" t="inlineStr">
        <is>
          <t>['72', '2024-05-11 12:00:00.567']行 ['368', '2004-12-2423:59:59.990']列，源：13d41e9259c0a2fa9d1c033edba7fc28 备：8e86394f13d5d80812c164feca758bda</t>
        </is>
      </c>
      <c r="AO47" t="inlineStr">
        <is>
          <t>['218', '2004-12-24 23:59:59.99']行 ['4', '9999-12-3123:59:59.997']列，源：e028d23fb28f73677a05bc25d3cda03a 备：85ad9edaf63f846e871418852039161f</t>
        </is>
      </c>
      <c r="BS47" t="inlineStr">
        <is>
          <t>['131', '2003-11-0502:00:00-05:10', '2003-11-0502:00:00.0-05:10', '2003-11-0502:00:00.00-05:10', '2003-11-0502:00:00.000-05:10', '2003-11-0502:00:00.0000-05:10', '2003-11-0502:00:00.00000-05:10', '2003-11-0502:00:00.000000-05:10', '2003-11-0502:00:00.0000000-05:10']行 ['323', '2026-04-1717:18:23+08:00', '2026-04-1717:18:22.8+08:00', '2026-04-1717:18:22.75+08:00', '2026-04-1717:18:22.755+08:00', '2026-04-1717:18:22.7550+08:00', '2026-04-1717:18:22.75495+08:00', '2026-04-1717:18:22.754952+08:00', '2026-04-1717:18:22.7549521+08:00']列，源：35e4cd24975ae8b0dd09514abe5e50cf 备：217a3beae52fbd0b365baa40eb9e0329</t>
        </is>
      </c>
      <c r="EB47" t="inlineStr">
        <is>
          <t>['105', '', '', '', '', '', '', '', '', '', '', '', '', '', '', '', '', '', '', '']行 ['167', '', '', '', '', '', '', '', '', '', '', '', '', '', '', '', '', '', '', '']列，源：415b377c5f789e05e42bc8eca9214a6a 备：21d1cf95bce153f7ce3d70112eb6a18e</t>
        </is>
      </c>
      <c r="EH47" t="inlineStr">
        <is>
          <t>['178', '2068-05-11 14:31:00']行 ['82', '1990-11-2600:01:00']列，源：3982592591008d14be047f21be856374 备：a812f6b667b1b616227bbfa65d90b0f9</t>
        </is>
      </c>
      <c r="EI47" t="inlineStr">
        <is>
          <t>['105', '', '', '', '', '', '', '', '', '', '', '', '', '', '', '', '', '', '', '']行 ['212', '', '', '', '', '', '', '', '', '', '', '', '', '', '', '', '', '', '', '']列，源：415b377c5f789e05e42bc8eca9214a6a 备：3ad60022fb391b156035419534977bd9</t>
        </is>
      </c>
    </row>
    <row r="48">
      <c r="A48" t="inlineStr">
        <is>
          <t>info_sdt_dml_batch1_pk_drp1</t>
        </is>
      </c>
      <c r="K48" t="inlineStr">
        <is>
          <t>[0;34m info_sdt_dml_batch1_pk_drp1 [0m源备字段数相同，源端字段：2 	备端字段2</t>
        </is>
      </c>
      <c r="W48" t="inlineStr">
        <is>
          <t>YES 源备无差异</t>
        </is>
      </c>
      <c r="X48">
        <f>A48</f>
        <v/>
      </c>
      <c r="AL48" t="inlineStr">
        <is>
          <t>['73', '2025-01-01 00:00:00.233']行 ['371', '2023-05-1100:00:00.123']列，源：2d3ca59629c02e4c43a48c626fad3e60 备：497fc6571d589615df85f8d3e6e2cd3f</t>
        </is>
      </c>
      <c r="AO48" t="inlineStr">
        <is>
          <t>['220', '9999-12-30 23:59:59.997']行 ['5', '2026-04-1717:16:32.183']列，源：f55e7084ea7ea2c20ee3cb2a8dc12a6d 备：27dc104123b40c2b4b747b9cd11aff3e</t>
        </is>
      </c>
      <c r="BS48" t="inlineStr">
        <is>
          <t>['132', '2025-05-1200:00:00-14:00', '2025-05-1200:00:00.0-14:00', '2025-05-1200:00:00.00-14:00', '2025-05-1200:00:00.000-14:00', '2025-05-1200:00:00.0000-14:00', '2025-05-1200:00:00.00000-14:00', '2025-05-1200:00:00.000000-14:00', '2025-05-1123:59:59.9999999-14:00']行 ['33', '1971-05-1100:00:00+14:00', '1971-05-1100:00:00.0+14:00', '1971-05-1100:00:00.00+14:00', '1971-05-1100:00:00.000+14:00', '1971-05-1100:00:00.0000+14:00', '1971-05-1100:00:00.00000+14:00', '1971-05-1100:00:00.000000+14:00', '1971-05-1100:00:00.0000001+14:00']列，源：112d4fd7061175fee560e56a42da1f47 备：e283999138a027d105e1a8f53f5c9851</t>
        </is>
      </c>
      <c r="EB48" t="inlineStr">
        <is>
          <t>['106', '', '', '', '', '', '', '', '', '', '', '', '', '', '', '', '', '', '', '']行 ['168', '', '', '', '', '', '', '', '', '', '', '', '', '', '', '', '', '', '', '']列，源：35c6bc34d24a069d816e7c1e07eed4c7 备：32e90d0a71c0dbf973a058003d2925c3</t>
        </is>
      </c>
      <c r="EH48" t="inlineStr">
        <is>
          <t>['180', '2079-06-05 23:59:00']行 ['83', '2025-05-1112:00:00']列，源：0b25466b5ef1639fb029a7e013f87d0c 备：262126afae49d6b29d83fec728a091cb</t>
        </is>
      </c>
      <c r="EI48" t="inlineStr">
        <is>
          <t>['106', '', '', '', '', '', '', '', '', '', '', '', '', '', '', '', '', '', '', '']行 ['213', '', '', '', '', '', '', '', '', '', '', '', '', '', '', '', '', '', '', '']列，源：35c6bc34d24a069d816e7c1e07eed4c7 备：cd0fe9979e136831a41897d82620c0c1</t>
        </is>
      </c>
    </row>
    <row r="49">
      <c r="B49" t="inlineStr">
        <is>
          <t>YES</t>
        </is>
      </c>
      <c r="C49" t="inlineStr">
        <is>
          <t>NULL</t>
        </is>
      </c>
      <c r="D49" t="inlineStr">
        <is>
          <t>NULL</t>
        </is>
      </c>
      <c r="E49" t="inlineStr">
        <is>
          <t>NULL</t>
        </is>
      </c>
      <c r="F49" t="inlineStr">
        <is>
          <t>NULL</t>
        </is>
      </c>
      <c r="G49" t="inlineStr">
        <is>
          <t>NULL</t>
        </is>
      </c>
      <c r="H49" t="inlineStr">
        <is>
          <t>NULL</t>
        </is>
      </c>
      <c r="I49" t="inlineStr">
        <is>
          <t>YES!PK__info_sdt__3213E83FF2DD07F3</t>
        </is>
      </c>
      <c r="J49" t="inlineStr">
        <is>
          <t>YES! 主键相关索引</t>
        </is>
      </c>
      <c r="K49" t="inlineStr">
        <is>
          <t xml:space="preserve"> NO!  	 id列源备映射错误，源端为int None位	期望更改为text	实际备端为int None位</t>
        </is>
      </c>
      <c r="AL49" t="inlineStr">
        <is>
          <t>['74', '2040-12-25 23:59:59.997']行 ['372', '2024-05-1112:00:00.567']列，源：209bb2d175dc3fc9e58c73e0d86d9f0d 备：d7a62b95c2a0a21e858893688964ecf2</t>
        </is>
      </c>
      <c r="AO49" t="inlineStr">
        <is>
          <t>['221', '2023-05-11 00:00:00.123']行 ['6', '2020-02-2919:27:31.123']列，源：6cd0377e0846fda80acd47ef567eaccd 备：f2c01baff4fc04ec34920a33b33fd327</t>
        </is>
      </c>
      <c r="BS49" t="inlineStr">
        <is>
          <t>['133', '1971-05-1100:00:00+14:00', '1971-05-1100:00:00.0+14:00', '1971-05-1100:00:00.00+14:00', '1971-05-1100:00:00.000+14:00', '1971-05-1100:00:00.0000+14:00', '1971-05-1100:00:00.00000+14:00', '1971-05-1100:00:00.000000+14:00', '1971-05-1100:00:00.0000001+14:00']行 ['373', '2026-04-1717:18:23+08:00', '2026-04-1717:18:22.8+08:00', '2026-04-1717:18:22.75+08:00', '2026-04-1717:18:22.755+08:00', '2026-04-1717:18:22.7550+08:00', '2026-04-1717:18:22.75495+08:00', '2026-04-1717:18:22.754952+08:00', '2026-04-1717:18:22.7549521+08:00']列，源：32eb47271a60fc7e38d2dd5e9120c635 备：12f4e669baefc0681fc2628d3987908f</t>
        </is>
      </c>
      <c r="EB49" t="inlineStr">
        <is>
          <t>['107', '', '', '', '', '', '', '', '', '', '', '', '', '', '', '', '', '', '', '']行 ['169', '', '', '', '', '', '', '', '', '', '', '', '', '', '', '', '', '', '', '']列，源：977427873113cff6c62b5712fc2912f5 备：ed948b0ed18fb46030fdd76e60580cad</t>
        </is>
      </c>
      <c r="EH49" t="inlineStr">
        <is>
          <t>['183', '2025-05-11 12:00:00']行 ['84', '2023-12-2523:59:00']列，源：50da9d537544717f9d5525dced4a212b 备：fa5ae4c67600cde7109876496c54ad68</t>
        </is>
      </c>
      <c r="EI49" t="inlineStr">
        <is>
          <t>['107', '', '', '', '', '', '', '', '', '', '', '', '', '', '', '', '', '', '', '']行 ['214', '', '', '', '', '', '', '', '', '', '', '', '', '', '', '', '', '', '', '']列，源：977427873113cff6c62b5712fc2912f5 备：8cc8344f41b860272689413247a7a836</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c_sdt列源备映射错误，源端为smalldatetime None位	期望更改为text	实际备端为smalldatetime None位</t>
        </is>
      </c>
      <c r="AL50" t="inlineStr">
        <is>
          <t>['121', '2023-05-11 00:00:00.123']行 ['373', '2025-01-0100:00:00.233']列，源：d9dda8a45b34a9b22db78d6a19920607 备：e0332a9f4482e7e8b0ef62df262f2a76</t>
        </is>
      </c>
      <c r="AO50" t="inlineStr">
        <is>
          <t>['222', '2024-05-11 12:00:00.567']行 ['7', '2000-05-1114:30:29.000']列，源：cf2cf811d8b31e220b5d615c7883fabd 备：1f1873d69c431d509f1d59937dc1a8e7</t>
        </is>
      </c>
      <c r="BS50" t="inlineStr">
        <is>
          <t>['172', '1900-01-0100:00:00+00:00', '1900-01-0100:00:00.0+00:00', '1900-01-0100:00:00.00+00:00', '1900-01-0100:00:00.000+00:00', '1900-01-0100:00:00.0000+00:00', '1900-01-0100:00:00.00000+00:00', '1900-01-0100:00:00.000000+00:00', '1900-01-0100:00:00.0000000+00:00']行 ['4', '0001-01-0100:00:00+00:00', '0001-01-0100:00:00.0+00:00', '0001-01-0100:00:00.00+00:00', '0001-01-0100:00:00.000+00:00', '0001-01-0100:00:00.0000+00:00', '0001-01-0100:00:00.00000+00:00', '0001-01-0100:00:00.000000+00:00', '0001-01-0100:00:00.0000000+00:00']列，源：4b46a15454e20ef962357430635da097 备：4a48b7d61029c98b539430ef104a9ec1</t>
        </is>
      </c>
      <c r="EB50" t="inlineStr">
        <is>
          <t>['108', '', '', '', '', '', '', '', '', '', '', '', '', '', '', '', '', '', '', '']行 ['17', '', '', '', '', '', '', '', '', '', '', '', '', '', '', '-123456789000000002003480098300000000000', '-340282306073709652508363335600000000000', '-123456.789', '-1234.5678', '0']列，源：e0b3209e5fd97bb87a17ce1ce371650b 备：7147e084238ecd6123743b4b9a65290e</t>
        </is>
      </c>
      <c r="EH50" t="inlineStr">
        <is>
          <t>['184', '2023-12-25 23:59:00']行 ['9', '1981-05-1114:31:00']列，源：d2d7a25c56d7af7aeb307f54b0c10558 备：935b5b35ef9c0a6a8a85fa748df68946</t>
        </is>
      </c>
      <c r="EI50" t="inlineStr">
        <is>
          <t>['108', '', '', '', '', '', '', '', '', '', '', '', '', '', '', '', '', '', '', '']行 ['215', '', '', '', '', '', '', '', '', '', '', '', '', '', '', '', '', '', '', '']列，源：e0b3209e5fd97bb87a17ce1ce371650b 备：6c8e2c35175066aebe09e3d19edd61da</t>
        </is>
      </c>
    </row>
    <row r="51">
      <c r="K51" t="inlineStr">
        <is>
          <t>~ 空表</t>
        </is>
      </c>
      <c r="AL51" t="inlineStr">
        <is>
          <t>['122', '2024-05-11 12:00:00.567']行 ['4', '9999-12-3123:59:59.997']列，源：d9a7390ede75234c5edc67ac3b8ed22e 备：85ad9edaf63f846e871418852039161f</t>
        </is>
      </c>
      <c r="AO51" t="inlineStr">
        <is>
          <t>['223', '2025-01-01 00:00:00.233']行 ['8', '2068-05-1114:30:30.000']列，源：392f49d19bcfb8391b7ecbd76bacb869 备：482b5b963ecc050b6221a7b239669a9b</t>
        </is>
      </c>
      <c r="BS51" t="inlineStr">
        <is>
          <t>['173', '2026-04-1717:18:23+08:00', '2026-04-1717:18:22.8+08:00', '2026-04-1717:18:22.75+08:00', '2026-04-1717:18:22.755+08:00', '2026-04-1717:18:22.7550+08:00', '2026-04-1717:18:22.75495+08:00', '2026-04-1717:18:22.754952+08:00', '2026-04-1717:18:22.7549521+08:00']行 ['5', '9999-12-3123:59:59+00:00', '9999-12-3123:59:59.9+00:00', '9999-12-3123:59:59.99+00:00', '9999-12-3123:59:59.999+00:00', '9999-12-3123:59:59.9999+00:00', '9999-12-3123:59:59.99999+00:00', '9999-12-3123:59:59.999999+00:00', '9999-12-3123:59:59.9999999+00:00']列，源：ab19ef4deabedfec65516970ded1c8c5 备：e9913af2ede92ca2dee8e158b5f6391f</t>
        </is>
      </c>
      <c r="EB51" t="inlineStr">
        <is>
          <t>['109', '', '', '', '', '', '', '', '', '', '', '', '', '', '', '', '', '', '', '']行 ['170', '', '', '', '', '', '', '', '', '', '', '', '', '', '', '', '', '', '', '']列，源：b7d90676c005bcb351719b14eccb268b 备：e50e0109cfcdfc98c7759362dd7637db</t>
        </is>
      </c>
      <c r="EI51" t="inlineStr">
        <is>
          <t>['109', '', '', '', '', '', '', '', '', '', '', '', '', '', '', '', '', '', '', '']行 ['216', '', '', '', '', '', '', '', '', '', '', '', '', '', '', '123456789000000002003480098300000000000', '340282306073709652508363335600000000000', '123456.789', '1234.5678', '1']列，源：b7d90676c005bcb351719b14eccb268b 备：67d82384c0f155b6e9611f4478e9cc07</t>
        </is>
      </c>
    </row>
    <row r="52">
      <c r="A52" t="inlineStr">
        <is>
          <t>info_datetimeoffset_dml_single_pk_drp</t>
        </is>
      </c>
      <c r="K52" t="inlineStr">
        <is>
          <t>[0;34m info_datetimeoffset_dml_single_pk_drp [0m源备字段数相同，源端字段：9 	备端字段9</t>
        </is>
      </c>
      <c r="W52" s="17">
        <f>HYPERLINK("#2026041919hbase0!AD2","NO 源备存在差异，共4个")</f>
        <v/>
      </c>
      <c r="X52">
        <f>A52</f>
        <v/>
      </c>
      <c r="AL52" t="inlineStr">
        <is>
          <t>['123', '2025-01-01 00:00:00.233']行 ['5', '2026-04-1717:16:25.287']列，源：a00c6e82c14f9ab29d7a7e45b5c63f23 备：c4fb2a1a67785a85926dc95d8a23fceb</t>
        </is>
      </c>
      <c r="AO52" t="inlineStr">
        <is>
          <t>['224', '2040-12-25 23:59:59.997']行 ['9', '1981-05-1114:30:59.000']列，源：20415ac462b84312c3594ba8a8f33cf1 备：a56640e72f7bdf2350334a7020405913</t>
        </is>
      </c>
      <c r="BS52" t="inlineStr">
        <is>
          <t>['174', '0001-01-0100:00:00+00:00', '0001-01-0100:00:00.0+00:00', '0001-01-0100:00:00.00+00:00', '0001-01-0100:00:00.000+00:00', '0001-01-0100:00:00.0000+00:00', '0001-01-0100:00:00.00000+00:00', '0001-01-0100:00:00.000000+00:00', '0001-01-0100:00:00.0000000+00:00']行 ['6', '2063-05-1110:30:45-04:00', '2063-05-1110:30:45.1-04:00', '2063-05-1110:30:45.12-04:00', '2063-05-1110:30:45.123-04:00', '2063-05-1110:30:45.1235-04:00', '2063-05-1110:30:45.12346-04:00', '2063-05-1110:30:45.123457-04:00', '2063-05-1110:30:45.1234567-04:00']列，源：5b4ed55984f4d43cb0f7ea05478afc52 备：ced5cd81b766fa957614103c3a575085</t>
        </is>
      </c>
      <c r="EB52" t="inlineStr">
        <is>
          <t>['110', '', '', '', '', '', '', '', '', '', '', '', '', '', '', '', '', '', '', '']行 ['18', '', '', '', '', '', '', '', '', '', '', '', '', '', '', '0', '0', '0.0001', '0.0001', '1']列，源：1cbc974ede4169f9ec4d2c7aa2138f76 备：26edf2ac14a9b6c0b5c5fe4f69312474</t>
        </is>
      </c>
      <c r="EI52" t="inlineStr">
        <is>
          <t>['110', '', '', '', '', '', '', '', '', '', '', '', '', '', '', '', '', '', '', '']行 ['217', '', '', '', '', '', '', '', '', '', '', '', '', '', '', '-123456789000000002003480098300000000000', '-340282306073709652508363335600000000000', '-123456.789', '-1234.5678', '0']列，源：1cbc974ede4169f9ec4d2c7aa2138f76 备：6cb7eb5489bb2ad741040c62df2dd8fb</t>
        </is>
      </c>
    </row>
    <row r="53">
      <c r="B53" t="inlineStr">
        <is>
          <t>YES</t>
        </is>
      </c>
      <c r="C53" t="inlineStr">
        <is>
          <t>NULL</t>
        </is>
      </c>
      <c r="D53" t="inlineStr">
        <is>
          <t>NULL</t>
        </is>
      </c>
      <c r="E53" t="inlineStr">
        <is>
          <t>NULL</t>
        </is>
      </c>
      <c r="F53" t="inlineStr">
        <is>
          <t>NULL</t>
        </is>
      </c>
      <c r="G53" t="inlineStr">
        <is>
          <t>NULL</t>
        </is>
      </c>
      <c r="H53" t="inlineStr">
        <is>
          <t>NULL</t>
        </is>
      </c>
      <c r="I53" t="inlineStr">
        <is>
          <t>YES!PK__info_dat__3213E83FE621F744</t>
        </is>
      </c>
      <c r="J53" t="inlineStr">
        <is>
          <t>YES! 主键相关索引</t>
        </is>
      </c>
      <c r="K53" t="inlineStr">
        <is>
          <t xml:space="preserve"> NO!  	 id列源备映射错误，源端为int None位	期望更改为text	实际备端为int None位</t>
        </is>
      </c>
      <c r="AL53" t="inlineStr">
        <is>
          <t>['152', '1900-01-01 00:00:00']行 ['51', '']列，源：f1358c4aa8589d75085f96cebc926c40 备：bd5924d621af046c64766d03ad5b2244</t>
        </is>
      </c>
      <c r="BS53" t="inlineStr">
        <is>
          <t>['177', '1933-05-1115:30:45+01:00', '1933-05-1115:30:45.1+01:00', '1933-05-1115:30:45.12+01:00', '1933-05-1115:30:45.123+01:00', '1933-05-1115:30:45.1235+01:00', '1933-05-1115:30:45.12346+01:00', '1933-05-1115:30:45.123457+01:00', '1933-05-1115:30:45.1234567+01:00']行 ['7', '1933-05-1115:30:45+01:00', '1933-05-1115:30:45.1+01:00', '1933-05-1115:30:45.12+01:00', '1933-05-1115:30:45.123+01:00', '1933-05-1115:30:45.1235+01:00', '1933-05-1115:30:45.12346+01:00', '1933-05-1115:30:45.123457+01:00', '1933-05-1115:30:45.1234567+01:00']列，源：0aa78b290424301752b92f6686f31d71 备：8ae1a4b73489bcb460fbf33b4757ae7a</t>
        </is>
      </c>
      <c r="EB53" t="inlineStr">
        <is>
          <t>['111', '', '', '', '', '', '', '', '', '', '', '', '', '', '', '', '', '', '', '']行 ['19', '', '', '', '', '', '', '', '', '', '', '', '', '', '', '340282346600000016151267322100000000000', '340282306073709652508363335600000000000', '922337203685477.5807', '214748.3647', '1']列，源：0e9c62d6da3550c225351cea7835cd19 备：2c5e5b5396d191aadfe06ab3699e64e4</t>
        </is>
      </c>
      <c r="EI53" t="inlineStr">
        <is>
          <t>['111', '', '', '', '', '', '', '', '', '', '', '', '', '', '', '', '', '', '', '']行 ['218', '', '', '', '', '', '', '', '', '', '', '', '', '', '', '0', '0', '0.0001', '0.0001', '1']列，源：0e9c62d6da3550c225351cea7835cd19 备：26acf5d4c0c26c4735b6dd4722a46ae0</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 xml:space="preserve"> NO!  	 c_dtoffset_0列源备映射错误，源端为datetimeoffset None位	期望更改为text	实际备端为datetimeoffset None位</t>
        </is>
      </c>
      <c r="AL54" t="inlineStr">
        <is>
          <t>['153', '1753-01-01 00:00:00']行 ['52', '1900-01-0100:00:00.000']列，源：077e638a4aa7cafaa5c820b2beeb0df3 备：8d744d84efc3e5347ec3aa1ee33650bd</t>
        </is>
      </c>
      <c r="BS54" t="inlineStr">
        <is>
          <t>['178', '2000-05-1100:30:45+09:00', '2000-05-1100:30:45.1+09:00', '2000-05-1100:30:45.12+09:00', '2000-05-1100:30:45.123+09:00', '2000-05-1100:30:45.1235+09:00', '2000-05-1100:30:45.12346+09:00', '2000-05-1100:30:45.123457+09:00', '2000-05-1100:30:45.1234567+09:00']行 ['72', '1900-01-0100:00:00+00:00', '1900-01-0100:00:00.0+00:00', '1900-01-0100:00:00.00+00:00', '1900-01-0100:00:00.000+00:00', '1900-01-0100:00:00.0000+00:00', '1900-01-0100:00:00.00000+00:00', '1900-01-0100:00:00.000000+00:00', '1900-01-0100:00:00.0000000+00:00']列，源：d020e7f3165fa8933307912361fbf457 备：718357efb457ed01479a808b2400aea8</t>
        </is>
      </c>
      <c r="EB54" t="inlineStr">
        <is>
          <t>['112', '', '', '', '', '123', '12345678901234567890123789010000000', '0.1234567890123459012345678901', '123456789012367012345678.1246', '123456712345.6789', '988', '987654321098765410987654321100000000', '0.9876543210987432109876543211', '987654321098765432105432.1099', '1234567012456.78', '', '', '', '', '']行 ['2', '255', '32767', '2147483647', '9223372036854775807', '999999999999999999', '100000000000000000000000000000000000000', '1', '10000000000000000000000000000', '999999999999999.9999', '999999999999999999', '100000000000000000000000000000000000000', '1', '10000000000000000000000000000', '9999999999999999.99',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'1']列，源：555154e700796f22138e7f5810b8190c 备：9a93dcca444304e4522e0a37b4535e3f</t>
        </is>
      </c>
      <c r="EI54" t="inlineStr">
        <is>
          <t>['112', '', '', '', '', '123', '12345678901234567890123789010000000', '0.1234567890123459012345678901', '123456789012367012345678.1246', '123456712345.6789', '988', '987654321098765410987654321100000000', '0.9876543210987432109876543211', '987654321098765432105432.1099', '1234567012456.78', '', '', '', '', '']行 ['219', '', '', '', '', '', '', '', '', '', '', '', '', '', '', '340282346600000016151267322100000000000', '340282306073709652508363335600000000000', '922337203685477.5807', '214748.3647', '1']列，源：555154e700796f22138e7f5810b8190c 备：36c10f65ce43771d749e13f6dd1ac288</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 xml:space="preserve"> NO!  	 c_dtoffset_1列源备映射错误，源端为datetimeoffset None位	期望更改为text	实际备端为datetimeoffset None位</t>
        </is>
      </c>
      <c r="AL55" t="inlineStr">
        <is>
          <t>['156', '2020-02-29 19:27:31.123']行 ['53', '1753-01-0100:00:00.000']列，源：24a9d3aee3c576a418ca22860244adcb 备：e919e390b320d77b95cc1081707c168c</t>
        </is>
      </c>
      <c r="BS55" t="inlineStr">
        <is>
          <t>['179', '1999-05-1601:30:45+10:15', '1999-05-1601:30:45.1+10:15', '1999-05-1601:30:45.12+10:15', '1999-05-1601:30:45.123+10:15', '1999-05-1601:30:45.1235+10:15', '1999-05-1601:30:45.12346+10:15', '1999-05-1601:30:45.123457+10:15', '1999-05-1601:30:45.1234567+10:15']行 ['73', '2026-04-1717:18:23+08:00', '2026-04-1717:18:22.8+08:00', '2026-04-1717:18:22.75+08:00', '2026-04-1717:18:22.755+08:00', '2026-04-1717:18:22.7550+08:00', '2026-04-1717:18:22.75495+08:00', '2026-04-1717:18:22.754952+08:00', '2026-04-1717:18:22.7549521+08:00']列，源：8e0f46561b60791395c5a58788b726cc 备：93892d71bd9aaf6b17094a0d029de9a6</t>
        </is>
      </c>
      <c r="EB55" t="inlineStr">
        <is>
          <t>['113', '', '', '', '', '-457', '-123456780123456781234589012300000', '-0.4567890123479234567890145679', '-123456789012347890345678.9874', '-98743298765.4321', '-321', '-987654321096543210987654321100000000', '-0.1234569012345671234567890123', '-6543210976543287654321.098765', '-9876543210954.32', '', '', '', '', '']行 ['20', '', '', '', '', '', '', '', '', '', '', '', '', '', '', '-340282346600000016151267322100000000000', '-340282306073709652508363335600000000000', '-922337203685477.5808', '-214748.3648', '0']列，源：1520ef6decf0e51364ee6f85eafca48f 备：e9e44d25bc97e58176fe725acd08b284</t>
        </is>
      </c>
      <c r="EI55" t="inlineStr">
        <is>
          <t>['113', '', '', '', '', '-457', '-123456780123456781234589012300000', '-0.4567890123479234567890145679', '-123456789012347890345678.9874', '-98743298765.4321', '-321', '-987654321096543210987654321100000000', '-0.1234569012345671234567890123', '-6543210976543287654321.098765', '-9876543210954.32', '', '', '', '', '']行 ['220', '', '', '', '', '', '', '', '', '', '', '', '', '', '', '-340282346600000016151267322100000000000', '-340282306073709652508363335600000000000', '-922337203685477.5808', '-214748.3648', '0']列，源：1520ef6decf0e51364ee6f85eafca48f 备：ac750537ec3f112db87c754f35178c10</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 xml:space="preserve"> NO!  	 c_dtoffset_2列源备映射错误，源端为datetimeoffset None位	期望更改为text	实际备端为datetimeoffset None位</t>
        </is>
      </c>
      <c r="AL56" t="inlineStr">
        <is>
          <t>['157', '2000-05-11 14:30:29']行 ['54', '9999-12-3123:59:59.997']列，源：33ac79e2ae2f8fd43008288299c12285 备：091cea1b7b0b534d1d0f39c44e676846</t>
        </is>
      </c>
      <c r="BS56" t="inlineStr">
        <is>
          <t>['180', '2013-03-1202:00:00-04:25', '2013-03-1202:00:00.0-04:25', '2013-03-1202:00:00.00-04:25', '2013-03-1202:00:00.000-04:25', '2013-03-1202:00:00.0000-04:25', '2013-03-1202:00:00.00000-04:25', '2013-03-1202:00:00.000000-04:25', '2013-03-1202:00:00.0000000-04:25']行 ['74', '0001-01-0100:00:00+00:00', '0001-01-0100:00:00.0+00:00', '0001-01-0100:00:00.00+00:00', '0001-01-0100:00:00.000+00:00', '0001-01-0100:00:00.0000+00:00', '0001-01-0100:00:00.00000+00:00', '0001-01-0100:00:00.000000+00:00', '0001-01-0100:00:00.0000000+00:00']列，源：5d0e9bcbf3c7710f80193a411f8749ed 备：e4eebb9fb77e3923bd5005bc27a11268</t>
        </is>
      </c>
      <c r="EB56" t="inlineStr">
        <is>
          <t>['114', '', '', '', '', '1000000000000000', '100000000000000000000000000000000', '1', '9999999999999999999999.999999', '999999999999.999', '100000000000000', '999999999999999999999', '0.999999999999999999999999999', '999999999999999999999.999999', '9999999999.99', '', '', '', '', '']行 ['201',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'0']列，源：25c08be186b753b29038abe16cc098a7 备：ab0c15fba71d0f33366b9ff631a3614d</t>
        </is>
      </c>
      <c r="EI56" t="inlineStr">
        <is>
          <t>['114', '', '', '', '', '1000000000000000', '100000000000000000000000000000000', '1', '9999999999999999999999.999999', '999999999999.999', '100000000000000', '999999999999999999999', '0.999999999999999999999999999', '999999999999999999999.999999', '9999999999.99', '', '', '', '', '']行 ['3', '', '', '', '', '', '', '', '', '', '', '', '', '', '', '', '', '', '', '']列，源：25c08be186b753b29038abe16cc098a7 备：3928921cf5611a846e657b0d459e50be</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 xml:space="preserve"> NO!  	 c_dtoffset_3列源备映射错误，源端为datetimeoffset None位	期望更改为text	实际备端为datetimeoffset None位</t>
        </is>
      </c>
      <c r="AL57" t="inlineStr">
        <is>
          <t>['159', '1981-05-11 14:30:59']行 ['55', '2026-04-1717:16:25.287']列，源：4c71da88c9b58682c1039e5e81952e46 备：634ce582868d7baaabce12f6796a1640</t>
        </is>
      </c>
      <c r="BS57" t="inlineStr">
        <is>
          <t>['181', '2003-11-0502:00:00-05:10', '2003-11-0502:00:00.0-05:10', '2003-11-0502:00:00.00-05:10', '2003-11-0502:00:00.000-05:10', '2003-11-0502:00:00.0000-05:10', '2003-11-0502:00:00.00000-05:10', '2003-11-0502:00:00.000000-05:10', '2003-11-0502:00:00.0000000-05:10']行 ['75', '9999-12-3123:59:59+00:00', '9999-12-3123:59:59.9+00:00', '9999-12-3123:59:59.99+00:00', '9999-12-3123:59:59.999+00:00', '9999-12-3123:59:59.9999+00:00', '9999-12-3123:59:59.99999+00:00', '9999-12-3123:59:59.999999+00:00', '9999-12-3123:59:59.9999999+00:00']列，源：659a25c7981ad3a72b0debe2c08f152a 备：1eab99595882036f55a64d079d3abe7b</t>
        </is>
      </c>
      <c r="EB57" t="inlineStr">
        <is>
          <t>['115', '', '', '', '', '0', '1', '0.000000000000000000000000001', '0.000000001', '0.0001', '0', '1', '0.000000000000000000000000000001', '0.000001', '0.01', '', '', '', '', '']行 ['202',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'922337203685477.5807', '214748.3647', '1']列，源：d3c8af8c236c1f213d018163703d53f2 备：9529dc10faabffead21ab1a52aaa9526</t>
        </is>
      </c>
      <c r="EI57" t="inlineStr">
        <is>
          <t>['115', '', '', '', '', '0', '1', '0.000000000000000000000000001', '0.000000001', '0.0001', '0', '1', '0.000000000000000000000000000001', '0.000001', '0.01',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'1']列，源：d3c8af8c236c1f213d018163703d53f2 备：f33dd6220d6a33b0f77f242af814bd33</t>
        </is>
      </c>
    </row>
    <row r="58">
      <c r="B58" t="inlineStr">
        <is>
          <t>NULL</t>
        </is>
      </c>
      <c r="C58" t="inlineStr">
        <is>
          <t>NULL</t>
        </is>
      </c>
      <c r="D58" t="inlineStr">
        <is>
          <t>NULL</t>
        </is>
      </c>
      <c r="E58" t="inlineStr">
        <is>
          <t>NULL</t>
        </is>
      </c>
      <c r="F58" t="inlineStr">
        <is>
          <t>NULL</t>
        </is>
      </c>
      <c r="G58" t="inlineStr">
        <is>
          <t>NULL</t>
        </is>
      </c>
      <c r="H58" t="inlineStr">
        <is>
          <t>NULL</t>
        </is>
      </c>
      <c r="I58" t="inlineStr">
        <is>
          <t>NULL</t>
        </is>
      </c>
      <c r="J58" t="inlineStr">
        <is>
          <t>NULL</t>
        </is>
      </c>
      <c r="K58" t="inlineStr">
        <is>
          <t xml:space="preserve"> NO!  	 c_dtoffset_4列源备映射错误，源端为datetimeoffset None位	期望更改为text	实际备端为datetimeoffset None位</t>
        </is>
      </c>
      <c r="AL58" t="inlineStr">
        <is>
          <t>['160', '1996-03-03 23:59:59.997']行 ['56', '2020-02-2919:27:31.123']列，源：ccb4efd3774072cb36e43cd8b64e762e 备：c145bda98c365a30620a9934b36cb91d</t>
        </is>
      </c>
      <c r="BS58" t="inlineStr">
        <is>
          <t>['182', '2025-05-1200:00:00-14:00', '2025-05-1200:00:00.0-14:00', '2025-05-1200:00:00.00-14:00', '2025-05-1200:00:00.000-14:00', '2025-05-1200:00:00.0000-14:00', '2025-05-1200:00:00.00000-14:00', '2025-05-1200:00:00.000000-14:00', '2025-05-1123:59:59.9999999-14:00']行 ['76', '2063-05-1110:30:45-04:00', '2063-05-1110:30:45.1-04:00', '2063-05-1110:30:45.12-04:00', '2063-05-1110:30:45.123-04:00', '2063-05-1110:30:45.1235-04:00', '2063-05-1110:30:45.12346-04:00', '2063-05-1110:30:45.123457-04:00', '2063-05-1110:30:45.1234567-04:00']列，源：17700d437be6c6ec2ab9cc7936b0f2fc 备：10b6efb6761c47910e2216a0825455ef</t>
        </is>
      </c>
      <c r="EB58" t="inlineStr">
        <is>
          <t>['116', '', '', '', '', '', '', '', '', '', '', '', '', '', '', '', '', '', '', '']行 ['203', '', '', '', '', '', '', '', '', '', '', '', '', '', '', '', '', '', '', '']列，源：182e8cb07fc0623c0476a440f94b8108 备：d73d4dec43c6768893cb8e84a0f45bd8</t>
        </is>
      </c>
      <c r="EI58" t="inlineStr">
        <is>
          <t>['116', '', '', '', '', '', '', '', '', '', '', '', '', '', '', '', '', '', '', '']行 ['404', '123', '12345', '1234567890', '1234567890123456', '', '', '', '', '', '', '', '', '', '', '', '', '', '', '']列，源：182e8cb07fc0623c0476a440f94b8108 备：425733953aa620fcec13db4b1d6d7091</t>
        </is>
      </c>
    </row>
    <row r="59">
      <c r="B59" t="inlineStr">
        <is>
          <t>NULL</t>
        </is>
      </c>
      <c r="C59" t="inlineStr">
        <is>
          <t>NULL</t>
        </is>
      </c>
      <c r="D59" t="inlineStr">
        <is>
          <t>NULL</t>
        </is>
      </c>
      <c r="E59" t="inlineStr">
        <is>
          <t>NULL</t>
        </is>
      </c>
      <c r="F59" t="inlineStr">
        <is>
          <t>NULL</t>
        </is>
      </c>
      <c r="G59" t="inlineStr">
        <is>
          <t>NULL</t>
        </is>
      </c>
      <c r="H59" t="inlineStr">
        <is>
          <t>NULL</t>
        </is>
      </c>
      <c r="I59" t="inlineStr">
        <is>
          <t>NULL</t>
        </is>
      </c>
      <c r="J59" t="inlineStr">
        <is>
          <t>NULL</t>
        </is>
      </c>
      <c r="K59" t="inlineStr">
        <is>
          <t xml:space="preserve"> NO!  	 c_dtoffset_5列源备映射错误，源端为datetimeoffset None位	期望更改为text	实际备端为datetimeoffset None位</t>
        </is>
      </c>
      <c r="AL59" t="inlineStr">
        <is>
          <t>['161', '1997-04-04 23:59:59.997']行 ['57', '2000-05-1114:30:29.000']列，源：f2518767f89827d7d389a831fd34fc0b 备：dfcee21f95a6df8e74fcd46aee280a11</t>
        </is>
      </c>
      <c r="BS59" t="inlineStr">
        <is>
          <t>['183', '1971-05-1100:00:00+14:00', '1971-05-1100:00:00.0+14:00', '1971-05-1100:00:00.00+14:00', '1971-05-1100:00:00.000+14:00', '1971-05-1100:00:00.0000+14:00', '1971-05-1100:00:00.00000+14:00', '1971-05-1100:00:00.000000+14:00', '1971-05-1100:00:00.0000001+14:00']行 ['77', '1933-05-1115:30:45+01:00', '1933-05-1115:30:45.1+01:00', '1933-05-1115:30:45.12+01:00', '1933-05-1115:30:45.123+01:00', '1933-05-1115:30:45.1235+01:00', '1933-05-1115:30:45.12346+01:00', '1933-05-1115:30:45.123457+01:00', '1933-05-1115:30:45.1234567+01:00']列，源：b062d97af764194fa0c195f8f1507064 备：c0f6741a2c39d631e8faf9ccc8a524ee</t>
        </is>
      </c>
      <c r="EB59" t="inlineStr">
        <is>
          <t>['117', '', '', '', '', '', '', '', '', '', '', '', '', '', '', '', '', '', '', '']行 ['204', '', '', '', '', '', '', '', '', '', '', '', '', '', '', '0', '299792448', '-500000', '1234.5678', '1']列，源：204a9fced1fdb4dc3e39e0dbf3a1553d 备：a31c87c3c60d3cfd999a8cc6fcc840dc</t>
        </is>
      </c>
      <c r="EI59" t="inlineStr">
        <is>
          <t>['117', '', '', '', '', '', '', '', '', '', '', '', '', '', '', '', '', '', '', '']行 ['406', '127', '255', '65535', '4294967295', '', '', '', '', '', '', '', '', '', '', '', '', '', '', '']列，源：204a9fced1fdb4dc3e39e0dbf3a1553d 备：f9f7e54761fdaffa0600e1abdacceb00</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c_dtoffset_6列源备映射错误，源端为datetimeoffset None位	期望更改为text	实际备端为datetimeoffset None位</t>
        </is>
      </c>
      <c r="AL60" t="inlineStr">
        <is>
          <t>['162', '1998-05-05 23:59:59.997']行 ['58', '2068-05-1114:30:30.000']列，源：a126a2c2f59175b92035f45d59dbc8fa 备：41f4634828bfa9355f896e03092c9d54</t>
        </is>
      </c>
      <c r="BS60" t="inlineStr">
        <is>
          <t>['223', '2026-04-1717:18:23+08:00', '2026-04-1717:18:22.8+08:00', '2026-04-1717:18:22.75+08:00', '2026-04-1717:18:22.755+08:00', '2026-04-1717:18:22.7550+08:00', '2026-04-1717:18:22.75495+08:00', '2026-04-1717:18:22.754952+08:00', '2026-04-1717:18:22.7549521+08:00']行 ['78', '2000-05-1100:30:45+09:00', '2000-05-1100:30:45.1+09:00', '2000-05-1100:30:45.12+09:00', '2000-05-1100:30:45.123+09:00', '2000-05-1100:30:45.1235+09:00', '2000-05-1100:30:45.12346+09:00', '2000-05-1100:30:45.123457+09:00', '2000-05-1100:30:45.1234567+09:00']列，源：1af69026e45bf9ddadfffc2a77a30f31 备：0ebf15eeb6bc28caac51322045291db6</t>
        </is>
      </c>
      <c r="EB60" t="inlineStr">
        <is>
          <t>['118', '', '', '', '', '', '', '', '', '', '', '', '', '', '', '', '', '', '', '']行 ['205', '', '', '', '', '', '', '', '', '', '', '', '', '', '', '', '', '', '', '']列，源：b0f69e382d9b9708bf5b289d21e54f7b 备：e5a8ce447702f02863352b6cf62009b4</t>
        </is>
      </c>
      <c r="EI60" t="inlineStr">
        <is>
          <t>['118', '', '', '', '', '', '', '', '', '', '', '', '', '', '', '', '', '', '', '']行 ['5', '0', '0', '0', '0', '', '', '', '', '', '', '', '', '', '', '', '', '', '', '']列，源：b0f69e382d9b9708bf5b289d21e54f7b 备：61f2d024da6dc2a41105ba753fc689fe</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 xml:space="preserve"> NO!  	 c_dtoffset列源备映射错误，源端为datetimeoffset None位	期望更改为text	实际备端为datetimeoffset None位</t>
        </is>
      </c>
      <c r="AL61" t="inlineStr">
        <is>
          <t>['163', '1999-06-06 23:59:59.997']行 ['59', '1981-05-1114:30:59.000']列，源：5a130cfdba6e4352fe09178f89ba52f2 备：d4ac00d71f6bd7188d7823a5619623d3</t>
        </is>
      </c>
      <c r="BS61" t="inlineStr">
        <is>
          <t>['225', '9999-12-3123:59:59+00:00', '9999-12-3123:59:59.9+00:00', '9999-12-3123:59:59.99+00:00', '9999-12-3123:59:59.999+00:00', '9999-12-3123:59:59.9999+00:00', '9999-12-3123:59:59.99999+00:00', '9999-12-3123:59:59.999999+00:00', '9999-12-3123:59:59.9999999+00:00']行 ['79', '1999-05-1601:30:45+10:15', '1999-05-1601:30:45.1+10:15', '1999-05-1601:30:45.12+10:15', '1999-05-1601:30:45.123+10:15', '1999-05-1601:30:45.1235+10:15', '1999-05-1601:30:45.12346+10:15', '1999-05-1601:30:45.123457+10:15', '1999-05-1601:30:45.1234567+10:15']列，源：d025e8b516e1637aed68b1c436bac4ae 备：af8ef3603523ca2d574a819c4583b0a1</t>
        </is>
      </c>
      <c r="EB61" t="inlineStr">
        <is>
          <t>['119', '', '', '', '', '', '', '', '', '', '', '', '', '', '', '', '', '', '', '']行 ['206', '', '', '', '', '', '', '', '', '', '', '', '', '', '', '', '', '', '', '']列，源：85a78685d6ad09987cee279a57c8ffe6 备：3db82bc38b063706520e24a8668c0fdb</t>
        </is>
      </c>
      <c r="EI61" t="inlineStr">
        <is>
          <t>['119', '', '', '', '', '', '', '', '', '', '', '', '', '', '', '', '', '', '', '']行 ['502', '', '', '', '', '999999999999999999', '100000000000000000000000000000000000000', '1', '10000000000000000000000000000', '999999999999999.9999', '999999999999999999', '100000000000000000000000000000000000000', '1', '10000000000000000000000000000', '9999999999999999.99', '', '', '', '', '']列，源：85a78685d6ad09987cee279a57c8ffe6 备：b597c1d21e8339960a681b6f5aad6376</t>
        </is>
      </c>
    </row>
    <row r="62">
      <c r="A62" t="inlineStr">
        <is>
          <t>info_nvarchar_dml_batch1_pk_urp1</t>
        </is>
      </c>
      <c r="K62" t="inlineStr">
        <is>
          <t>[0;34m info_nvarchar_dml_batch1_pk_urp1 [0m源备字段数相同，源端字段：4 	备端字段4</t>
        </is>
      </c>
      <c r="W62" t="inlineStr">
        <is>
          <t>YES 源备无差异</t>
        </is>
      </c>
      <c r="X62">
        <f>A62</f>
        <v/>
      </c>
      <c r="AL62" t="inlineStr">
        <is>
          <t>['164', '2000-05-01 23:59:59.993']行 ['6', '2020-02-2919:27:31.123']列，源：7ca11f30b9d01c4cdf4f9aafb6a17704 备：f2c01baff4fc04ec34920a33b33fd327</t>
        </is>
      </c>
      <c r="BS62" t="inlineStr">
        <is>
          <t>['226', '2063-05-1110:30:45-04:00', '2063-05-1110:30:45.1-04:00', '2063-05-1110:30:45.12-04:00', '2063-05-1110:30:45.123-04:00', '2063-05-1110:30:45.1235-04:00', '2063-05-1110:30:45.12346-04:00', '2063-05-1110:30:45.123457-04:00', '2063-05-1110:30:45.1234567-04:00']行 ['8', '2000-05-1100:30:45+09:00', '2000-05-1100:30:45.1+09:00', '2000-05-1100:30:45.12+09:00', '2000-05-1100:30:45.123+09:00', '2000-05-1100:30:45.1235+09:00', '2000-05-1100:30:45.12346+09:00', '2000-05-1100:30:45.123457+09:00', '2000-05-1100:30:45.1234567+09:00']列，源：bfec0f04942e4f91bd1a87dfb1ab4906 备：aae4411e317f3751d1ca65a99d40e78b</t>
        </is>
      </c>
      <c r="EB62" t="inlineStr">
        <is>
          <t>['120', '', '', '', '', '', '', '', '', '', '', '', '', '', '', '', '', '', '', '']行 ['207', '', '', '', '', '', '', '', '', '', '', '', '', '', '', '', '', '', '', '']列，源：a4e144906f00c970f1d65ac6f060d6c5 备：6825ec32b2fa82bf5694be96d2af00c4</t>
        </is>
      </c>
      <c r="EI62" t="inlineStr">
        <is>
          <t>['120', '', '', '', '', '', '', '', '', '', '', '', '', '', '', '', '', '', '', '']行 ['504', '', '', '', '', '123456789123456789', '-1234567890123456789012345', '0.0000000000000000000000008', '1234567890123456789012345678', '-123456789012.1234', '123456789123456789', '-1234567890123456789012345', '0.0000000000000000000000008', '1234567890123456789012345678', '-123456789012.12', '', '', '', '', '']列，源：a4e144906f00c970f1d65ac6f060d6c5 备：01fc26ac9d5a7276931337f5b1c7392e</t>
        </is>
      </c>
    </row>
    <row r="63">
      <c r="B63" t="inlineStr">
        <is>
          <t>YES</t>
        </is>
      </c>
      <c r="C63" t="inlineStr">
        <is>
          <t>NULL</t>
        </is>
      </c>
      <c r="D63" t="inlineStr">
        <is>
          <t>NULL</t>
        </is>
      </c>
      <c r="E63" t="inlineStr">
        <is>
          <t>NULL</t>
        </is>
      </c>
      <c r="F63" t="inlineStr">
        <is>
          <t>NULL</t>
        </is>
      </c>
      <c r="G63" t="inlineStr">
        <is>
          <t>NULL</t>
        </is>
      </c>
      <c r="H63" t="inlineStr">
        <is>
          <t>NULL</t>
        </is>
      </c>
      <c r="I63" t="inlineStr">
        <is>
          <t>YES!PK__info_nva__3213E83FDA6AB9D6</t>
        </is>
      </c>
      <c r="J63" t="inlineStr">
        <is>
          <t>YES! 主键相关索引</t>
        </is>
      </c>
      <c r="K63" t="inlineStr">
        <is>
          <t xml:space="preserve"> NO!  	 id列源备映射错误，源端为int None位	期望更改为text	实际备端为int None位</t>
        </is>
      </c>
      <c r="AL63" t="inlineStr">
        <is>
          <t>['165', '2001-04-09 23:59:59.993']行 ['60', '1996-03-0323:59:59.997']列，源：9a1e451fd838b8fc7d67df38338c0429 备：51b5996b8403dc3299d7118edf69696f</t>
        </is>
      </c>
      <c r="BS63" t="inlineStr">
        <is>
          <t>['273', '2026-04-1717:18:23+08:00', '2026-04-1717:18:22.8+08:00', '2026-04-1717:18:22.75+08:00', '2026-04-1717:18:22.755+08:00', '2026-04-1717:18:22.7550+08:00', '2026-04-1717:18:22.75495+08:00', '2026-04-1717:18:22.754952+08:00', '2026-04-1717:18:22.7549521+08:00']行 ['80', '2013-03-1202:00:00-04:25', '2013-03-1202:00:00.0-04:25', '2013-03-1202:00:00.00-04:25', '2013-03-1202:00:00.000-04:25', '2013-03-1202:00:00.0000-04:25', '2013-03-1202:00:00.00000-04:25', '2013-03-1202:00:00.000000-04:25', '2013-03-1202:00:00.0000000-04:25']列，源：152db9a6e11b43de9e68e67d25bb4cc8 备：4f81d7626d0fbdd4d1ebc6e4bfa89f8b</t>
        </is>
      </c>
      <c r="EB63" t="inlineStr">
        <is>
          <t>['151', '', '', '', '', '', '', '', '', '', '', '', '', '', '', '', '', '', '', '']行 ['208', '', '', '', '', '', '', '', '', '', '', '', '', '', '', '', '', '', '', '']列，源：6f06f1c233c216d03dd769afa7b0ba71 备：898629525be4d5f467fd745215c7d266</t>
        </is>
      </c>
      <c r="EI63"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['51', '0', '-32768', '-2147483648', '-9223372036854775808', '', '', '', '', '', '', '', '', '', '', '', '', '', '', '']列，源：4f152e96493c5d138c3c9c9c42ce5a5e 备：f655f07bc207e1893067d44a901d5d5a</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 xml:space="preserve"> NO!  	 c_nvarchar列源备映射错误，源端为nvarchar 2位	期望更改为text	实际备端为nvarchar 2位</t>
        </is>
      </c>
      <c r="AL64" t="inlineStr">
        <is>
          <t>['166', '2002-06-11 23:59:59.993']行 ['61', '1997-04-0423:59:59.997']列，源：7c8e3c8376deae39ad7c11db8b134d02 备：21fb43d71d47abbbfef3d808c015b35f</t>
        </is>
      </c>
      <c r="BS64" t="inlineStr">
        <is>
          <t>['275', '9999-12-3123:59:59+00:00', '9999-12-3123:59:59.9+00:00', '9999-12-3123:59:59.99+00:00', '9999-12-3123:59:59.999+00:00', '9999-12-3123:59:59.9999+00:00', '9999-12-3123:59:59.99999+00:00', '9999-12-3123:59:59.999999+00:00', '9999-12-3123:59:59.9999999+00:00']行 ['81', '2003-11-0502:00:00-05:10', '2003-11-0502:00:00.0-05:10', '2003-11-0502:00:00.00-05:10', '2003-11-0502:00:00.000-05:10', '2003-11-0502:00:00.0000-05:10', '2003-11-0502:00:00.00000-05:10', '2003-11-0502:00:00.000000-05:10', '2003-11-0502:00:00.0000000-05:10']列，源：5b24f1c91ce9f578998d7afba888c63b 备：cc748d61c07d6cbcd95854fddebaefd4</t>
        </is>
      </c>
      <c r="EB64" t="inlineStr">
        <is>
          <t>['152', '', '', '', '', '', '', '', '', '', '', '', '', '', '', '', '', '', '', '']行 ['209', '', '', '', '', '', '', '', '', '', '', '', '', '', '', '', '', '', '', '']列，源：ca38a270ff736dbf6662baf8c3d9fcc9 备：16720de118fba69ba537421a75083d4c</t>
        </is>
      </c>
      <c r="EI64"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['512', '', '', '', '', '123', '12345678901234567890123789010000000', '0.1234567890123459012345678901', '123456789012367012345678.1246', '123456712345.6789', '988', '987654321098765410987654321100000000', '0.9876543210987432109876543211', '987654321098765432105432.1099', '1234567012456.78', '', '', '', '', '']列，源：45436e8217f866e92c7ec83b6b899894 备：e2652767110e93887175ae1869f5acb2</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c_nvarchar20列源备映射错误，源端为nvarchar 40位	期望更改为text	实际备端为nvarchar 40位</t>
        </is>
      </c>
      <c r="AL65" t="inlineStr">
        <is>
          <t>['167', '2003-11-04 23:59:59.99']行 ['62', '1998-05-0523:59:59.997']列，源：0c6dbf9378c5d54bfc909978effe60d2 备：a1ff3ab17bb9834315bd42fa433ec2e1</t>
        </is>
      </c>
      <c r="BS65" t="inlineStr">
        <is>
          <t>['276', '2063-05-1110:30:45-04:00', '2063-05-1110:30:45.1-04:00', '2063-05-1110:30:45.12-04:00', '2063-05-1110:30:45.123-04:00', '2063-05-1110:30:45.1235-04:00', '2063-05-1110:30:45.12346-04:00', '2063-05-1110:30:45.123457-04:00', '2063-05-1110:30:45.1234567-04:00']行 ['82', '2025-05-1200:00:00-14:00', '2025-05-1200:00:00.0-14:00', '2025-05-1200:00:00.00-14:00', '2025-05-1200:00:00.000-14:00', '2025-05-1200:00:00.0000-14:00', '2025-05-1200:00:00.00000-14:00', '2025-05-1200:00:00.000000-14:00', '2025-05-1123:59:59.9999999-14:00']列，源：66961a719ed146940ae4ebbd955e308b 备：be85d9771253de77d659a631540d14bf</t>
        </is>
      </c>
      <c r="EB65" t="inlineStr">
        <is>
          <t>['153', '', '', '', '', '', '', '', '', '', '', '', '', '', '', '', '', '', '', '']行 ['210', '', '', '', '', '', '', '', '', '', '', '', '', '', '', '', '', '', '', '']列，源：025c1a7b36d2cd04164ac453f32d18e1 备：062ac8d7144f137ca6f7b63434389657</t>
        </is>
      </c>
      <c r="EI65" t="inlineStr">
        <is>
          <t>['203', '', '', '', '', '', '', '', '', '', '', '', '', '', '', '', '', '', '', '']行 ['514', '', '', '', '', '1000000000000000', '100000000000000000000000000000000', '1', '9999999999999999999999.999999', '999999999999.999', '100000000000000', '999999999999999999999', '0.999999999999999999999999999', '999999999999999999999.999999', '9999999999.99', '', '', '', '', '']列，源：d73d4dec43c6768893cb8e84a0f45bd8 备：ae27f6fa084d88934a05d8fe9f59c5c7</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 xml:space="preserve"> NO!  	 c_nvarchar3500列源备映射错误，源端为nvarchar 7000位	期望更改为text	实际备端为nvarchar 7000位</t>
        </is>
      </c>
      <c r="AL66" t="inlineStr">
        <is>
          <t>['168', '2004-12-24 23:59:59.99']行 ['63', '1999-06-0623:59:59.997']列，源：4bd100431c4e26b129059c0b2e6dadb7 备：d8a9d12c0e0d36a7086f2ac2e4a96d7c</t>
        </is>
      </c>
      <c r="BS66" t="inlineStr">
        <is>
          <t>['323', '2026-04-1717:18:23+08:00', '2026-04-1717:18:22.8+08:00', '2026-04-1717:18:22.75+08:00', '2026-04-1717:18:22.755+08:00', '2026-04-1717:18:22.7550+08:00', '2026-04-1717:18:22.75495+08:00', '2026-04-1717:18:22.754952+08:00', '2026-04-1717:18:22.7549521+08:00']行 ['83', '1971-05-1100:00:00+14:00', '1971-05-1100:00:00.0+14:00', '1971-05-1100:00:00.00+14:00', '1971-05-1100:00:00.000+14:00', '1971-05-1100:00:00.0000+14:00', '1971-05-1100:00:00.00000+14:00', '1971-05-1100:00:00.000000+14:00', '1971-05-1100:00:00.0000001+14:00']列，源：217a3beae52fbd0b365baa40eb9e0329 备：674c93deb2d6638fb7768e17745a0a3c</t>
        </is>
      </c>
      <c r="EB66" t="inlineStr">
        <is>
          <t>['154', '', '', '', '', '', '', '', '', '', '', '', '', '', '', '', '', '', '', '']行 ['211', '', '', '', '', '', '', '', '', '', '', '', '', '', '', '', '', '', '', '']列，源：e9c327066e48c5e08662c6620c0cf15e 备：97d6d1ad51aaeea2a131713cf72d2ecf</t>
        </is>
      </c>
      <c r="EI66" t="inlineStr">
        <is>
          <t>['204', '', '', '', '', '', '', '', '', '', '', '', '', '', '', '0', '299792448', '-500000', '1234.5678', '1']行 ['515', '', '', '', '', '0', '1', '0.000000000000000000000000001', '0.000000001', '0.0001', '0', '1', '0.000000000000000000000000000001', '0.000001', '0.01', '', '', '', '', '']列，源：a31c87c3c60d3cfd999a8cc6fcc840dc 备：9f00e346b1b566fcf5833e2186e3dff8</t>
        </is>
      </c>
    </row>
    <row r="67">
      <c r="A67" t="inlineStr">
        <is>
          <t>info_text_dml_single_pk_urp</t>
        </is>
      </c>
      <c r="K67" t="inlineStr">
        <is>
          <t>[0;34m info_text_dml_single_pk_urp [0m源备字段数相同，源端字段：3 	备端字段3</t>
        </is>
      </c>
      <c r="W67" t="inlineStr">
        <is>
          <t>YES 源备无差异</t>
        </is>
      </c>
      <c r="X67">
        <f>A67</f>
        <v/>
      </c>
      <c r="AL67" t="inlineStr">
        <is>
          <t>['169', '1753-01-02 00:00:00']行 ['64', '2000-05-0123:59:59.993']列，源：26f43a7fbd45c5708c56b734581bdc58 备：8a9e75248249a13b188a4f181c48ccb1</t>
        </is>
      </c>
      <c r="BS67" t="inlineStr">
        <is>
          <t>['373', '2026-04-1717:18:23+08:00', '2026-04-1717:18:22.8+08:00', '2026-04-1717:18:22.75+08:00', '2026-04-1717:18:22.755+08:00', '2026-04-1717:18:22.7550+08:00', '2026-04-1717:18:22.75495+08:00', '2026-04-1717:18:22.754952+08:00', '2026-04-1717:18:22.7549521+08:00']行 ['9', '1999-05-1601:30:45+10:15', '1999-05-1601:30:45.1+10:15', '1999-05-1601:30:45.12+10:15', '1999-05-1601:30:45.123+10:15', '1999-05-1601:30:45.1235+10:15', '1999-05-1601:30:45.12346+10:15', '1999-05-1601:30:45.123457+10:15', '1999-05-1601:30:45.1234567+10:15']列，源：12f4e669baefc0681fc2628d3987908f 备：5ce542de96b32aca4db9fb684ca33bbb</t>
        </is>
      </c>
      <c r="EB67" t="inlineStr">
        <is>
          <t>['155', '', '', '', '', '', '', '', '', '', '', '', '', '', '', '', '', '', '', '']行 ['212', '', '', '', '', '', '', '', '', '', '', '', '', '', '', '', '', '', '', '']列，源：e81e3f65c1f61448a636aca03285678a 备：3ad60022fb391b156035419534977bd9</t>
        </is>
      </c>
      <c r="EI67" t="inlineStr">
        <is>
          <t>['205', '', '', '', '', '', '', '', '', '', '', '', '', '', '', '', '', '', '', '']行 ['52', '255', '32767', '2147483647', '9223372036854775807', '', '', '', '', '', '', '', '', '', '', '', '', '', '', '']列，源：e5a8ce447702f02863352b6cf62009b4 备：53ac74c7719a79671a4d3cc61decfa2a</t>
        </is>
      </c>
    </row>
    <row r="68">
      <c r="B68" t="inlineStr">
        <is>
          <t>YES</t>
        </is>
      </c>
      <c r="C68" t="inlineStr">
        <is>
          <t>NULL</t>
        </is>
      </c>
      <c r="D68" t="inlineStr">
        <is>
          <t>NULL</t>
        </is>
      </c>
      <c r="E68" t="inlineStr">
        <is>
          <t>NULL</t>
        </is>
      </c>
      <c r="F68" t="inlineStr">
        <is>
          <t>NULL</t>
        </is>
      </c>
      <c r="G68" t="inlineStr">
        <is>
          <t>NULL</t>
        </is>
      </c>
      <c r="H68" t="inlineStr">
        <is>
          <t>NULL</t>
        </is>
      </c>
      <c r="I68" t="inlineStr">
        <is>
          <t>YES!PK__info_tex__3213E83FC088BC6F</t>
        </is>
      </c>
      <c r="J68" t="inlineStr">
        <is>
          <t>YES! 主键相关索引</t>
        </is>
      </c>
      <c r="K68" t="inlineStr">
        <is>
          <t xml:space="preserve"> NO!  	 id列源备映射错误，源端为int None位	期望更改为text	实际备端为int None位</t>
        </is>
      </c>
      <c r="AL68" t="inlineStr">
        <is>
          <t>['171', '2023-05-11 00:00:00.123']行 ['65', '2001-04-0923:59:59.993']列，源：ffc6820d66f5ddfc0adb716b1d3a6cbc 备：533ccab026eccea05122aa4054a8021a</t>
        </is>
      </c>
      <c r="EB68" t="inlineStr">
        <is>
          <t>['156', '', '', '', '', '', '', '', '', '', '', '', '', '', '', '', '', '', '', '']行 ['213', '', '', '', '', '', '', '', '', '', '', '', '', '', '', '', '', '', '', '']列，源：ec973ceadad2dc3ec79a927de6a7a1c5 备：cd0fe9979e136831a41897d82620c0c1</t>
        </is>
      </c>
      <c r="EI68" t="inlineStr">
        <is>
          <t>['206', '', '', '', '', '', '', '', '', '', '', '', '', '', '', '', '', '', '', '']行 ['53', '', '', '', '', '', '', '', '', '', '', '', '', '', '', '', '', '', '', '']列，源：3db82bc38b063706520e24a8668c0fdb 备：c189f39668df72e4a9429ba4b84f81df</t>
        </is>
      </c>
    </row>
    <row r="69">
      <c r="B69" t="inlineStr">
        <is>
          <t>NULL</t>
        </is>
      </c>
      <c r="C69" t="inlineStr">
        <is>
          <t>NULL</t>
        </is>
      </c>
      <c r="D69" t="inlineStr">
        <is>
          <t>NULL</t>
        </is>
      </c>
      <c r="E69" t="inlineStr">
        <is>
          <t>NULL</t>
        </is>
      </c>
      <c r="F69" t="inlineStr">
        <is>
          <t>NULL</t>
        </is>
      </c>
      <c r="G69" t="inlineStr">
        <is>
          <t>NULL</t>
        </is>
      </c>
      <c r="H69" t="inlineStr">
        <is>
          <t>NULL</t>
        </is>
      </c>
      <c r="I69" t="inlineStr">
        <is>
          <t>NULL</t>
        </is>
      </c>
      <c r="J69" t="inlineStr">
        <is>
          <t>NULL</t>
        </is>
      </c>
      <c r="K69" t="inlineStr">
        <is>
          <t>YES! 	 c_text列源备映射正确，源端为text 2147483647位	期望更改为text	实际备端为text 2147483647位</t>
        </is>
      </c>
      <c r="AL69" t="inlineStr">
        <is>
          <t>['172', '2024-05-11 12:00:00.567']行 ['66', '2002-06-1123:59:59.993']列，源：651cdc46c4ab7cb566a30f1803ded42e 备：88574d93a10520d12a764eb0b495eff0</t>
        </is>
      </c>
      <c r="EB69" t="inlineStr">
        <is>
          <t>['157', '', '', '', '', '', '', '', '', '', '', '', '', '', '', '', '', '', '', '']行 ['214', '', '', '', '', '', '', '', '', '', '', '', '', '', '', '', '', '', '', '']列，源：616c969ea41d0b16680620e3e8c61497 备：8cc8344f41b860272689413247a7a836</t>
        </is>
      </c>
      <c r="EI69" t="inlineStr">
        <is>
          <t>['207', '', '', '', '', '', '', '', '', '', '', '', '', '', '', '', '', '', '', '']行 ['54', '123', '12345', '1234567890', '1234567890123456', '', '', '', '', '', '', '', '', '', '', '', '', '', '', '']列，源：6825ec32b2fa82bf5694be96d2af00c4 备：8a03894f3c8b6e670dd146c34d5fc4a6</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c_ntext列源备映射错误，源端为ntext 2147483646位	期望更改为text	实际备端为ntext 2147483646位</t>
        </is>
      </c>
      <c r="AL70" t="inlineStr">
        <is>
          <t>['173', '2025-01-01 00:00:00.233']行 ['67', '2003-11-0423:59:59.990']列，源：a0f96de2b23510e4348a2724726b61c9 备：7ac9c661c373e190efc9845b40db331d</t>
        </is>
      </c>
      <c r="EB70" t="inlineStr">
        <is>
          <t>['158', '', '', '', '', '', '', '', '', '', '', '', '', '', '', '', '', '', '', '']行 ['215', '', '', '', '', '', '', '', '', '', '', '', '', '', '', '', '', '', '', '']列，源：5befa0799fb062a67bdebd2487d5833a 备：6c8e2c35175066aebe09e3d19edd61da</t>
        </is>
      </c>
      <c r="EI70" t="inlineStr">
        <is>
          <t>['208', '', '', '', '', '', '', '', '', '', '', '', '', '', '', '', '', '', '', '']行 ['55', '0', '0', '0', '0', '', '', '', '', '', '', '', '', '', '', '', '', '', '', '']列，源：898629525be4d5f467fd745215c7d266 备：98b081846a1e1227e41ac042fc20cd28</t>
        </is>
      </c>
    </row>
    <row r="71">
      <c r="A71" t="inlineStr">
        <is>
          <t>info_geometry_dml_single_pk_urp</t>
        </is>
      </c>
      <c r="K71" t="inlineStr">
        <is>
          <t>[0;34m info_geometry_dml_single_pk_urp [0m源备字段数相同，源端字段：2 	备端字段2</t>
        </is>
      </c>
      <c r="W71" s="17">
        <f>HYPERLINK("#2026041919hbase0!AE2","NO 源备存在差异，共3个")</f>
        <v/>
      </c>
      <c r="X71">
        <f>A71</f>
        <v/>
      </c>
      <c r="AL71" t="inlineStr">
        <is>
          <t>['356', '2020-02-29 19:27:31.123']行 ['68', '2004-12-2423:59:59.990']列，源：423c2e744ef08349a6f96554cffd6792 备：9012b39a780e90923b6c76296227919b</t>
        </is>
      </c>
      <c r="EB71" t="inlineStr">
        <is>
          <t>['159', '', '', '', '', '', '', '', '', '', '', '', '', '', '', '', '', '', '', '']行 ['216', '', '', '', '', '', '', '', '', '', '', '', '', '', '', '123456789000000002003480098300000000000', '340282306073709652508363335600000000000', '123456.789', '1234.5678', '1']列，源：b1f167bd3531a1330cdf8f391d3b7da5 备：67d82384c0f155b6e9611f4478e9cc07</t>
        </is>
      </c>
      <c r="EI71" t="inlineStr">
        <is>
          <t>['209', '', '', '', '', '', '', '', '', '', '', '', '', '', '', '', '', '', '', '']行 ['56', '127', '255', '65535', '4294967295', '', '', '', '', '', '', '', '', '', '', '', '', '', '', '']列，源：16720de118fba69ba537421a75083d4c 备：c0a8c8bdb59959471b71fb739ed1691f</t>
        </is>
      </c>
    </row>
    <row r="72">
      <c r="B72" t="inlineStr">
        <is>
          <t>YES</t>
        </is>
      </c>
      <c r="C72" t="inlineStr">
        <is>
          <t>NULL</t>
        </is>
      </c>
      <c r="D72" t="inlineStr">
        <is>
          <t>NULL</t>
        </is>
      </c>
      <c r="E72" t="inlineStr">
        <is>
          <t>NULL</t>
        </is>
      </c>
      <c r="F72" t="inlineStr">
        <is>
          <t>NULL</t>
        </is>
      </c>
      <c r="G72" t="inlineStr">
        <is>
          <t>NULL</t>
        </is>
      </c>
      <c r="H72" t="inlineStr">
        <is>
          <t>NULL</t>
        </is>
      </c>
      <c r="I72" t="inlineStr">
        <is>
          <t>YES!PK__info_geo__3213E83FE2036960</t>
        </is>
      </c>
      <c r="J72" t="inlineStr">
        <is>
          <t>YES! 主键相关索引</t>
        </is>
      </c>
      <c r="K72" t="inlineStr">
        <is>
          <t xml:space="preserve"> NO!  	 id列源备映射错误，源端为int None位	期望更改为text	实际备端为int None位</t>
        </is>
      </c>
      <c r="AL72" t="inlineStr">
        <is>
          <t>['357', '2000-05-11 14:30:29']行 ['69', '1753-01-0200:00:00.000']列，源：33350e4ac8f4cfd4bd6539ac81ef3870 备：59d2ccc7cb00f1291419eed6810ffff2</t>
        </is>
      </c>
      <c r="EB72" t="inlineStr">
        <is>
          <t>['160', '', '', '', '', '', '', '', '', '', '', '', '', '', '', '', '', '', '', '']行 ['217', '', '', '', '', '', '', '', '', '', '', '', '', '', '', '-123456789000000002003480098300000000000', '-340282306073709652508363335600000000000', '-123456.789', '-1234.5678', '0']列，源：dc680915562b995dc2c13ed1e0a4a873 备：6cb7eb5489bb2ad741040c62df2dd8fb</t>
        </is>
      </c>
      <c r="EI72" t="inlineStr">
        <is>
          <t>['210', '', '', '', '', '', '', '', '', '', '', '', '', '', '', '', '', '', '', '']行 ['57', '255', '32767', '2147483647', '9223372036854775807', '', '', '', '', '', '', '', '', '', '', '', '', '', '', '']列，源：062ac8d7144f137ca6f7b63434389657 备：5c6023e590239f39ad2a1e9c217e16e5</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 xml:space="preserve"> NO!  	 c_geometry列源备映射错误，源端为geometry -1位	期望更改为text	实际备端为geometry -1位</t>
        </is>
      </c>
      <c r="AL73" t="inlineStr">
        <is>
          <t>['364', '2000-05-01 23:59:59.993']行 ['7', '2000-05-1114:30:29.000']列，源：7dfee3530f49a12882b46af704d63a97 备：1f1873d69c431d509f1d59937dc1a8e7</t>
        </is>
      </c>
      <c r="EB73" t="inlineStr">
        <is>
          <t>['161', '', '', '', '', '', '', '', '', '', '', '', '', '', '', '', '', '', '', '']行 ['218', '', '', '', '', '', '', '', '', '', '', '', '', '', '', '0', '0', '0.0001', '0.0001', '1']列，源：626823fea281026552b58d5a930b7c5a 备：26acf5d4c0c26c4735b6dd4722a46ae0</t>
        </is>
      </c>
      <c r="EI73" t="inlineStr">
        <is>
          <t>['211', '', '', '', '', '', '', '', '', '', '', '', '', '', '', '', '', '', '', '']行 ['58', '0', '-32768', '-2147483648', '-9223372036854775808', '', '', '', '', '', '', '', '', '', '', '', '', '', '', '']列，源：97d6d1ad51aaeea2a131713cf72d2ecf 备：0a30a8f0b40639ad928b4b844d1c2f38</t>
        </is>
      </c>
    </row>
    <row r="74">
      <c r="A74" t="inlineStr">
        <is>
          <t>info_sdt_dml_batch1_pk_drp2</t>
        </is>
      </c>
      <c r="K74" t="inlineStr">
        <is>
          <t>[0;34m info_sdt_dml_batch1_pk_drp2 [0m源备字段数相同，源端字段：2 	备端字段2</t>
        </is>
      </c>
      <c r="W74" s="17">
        <f>HYPERLINK("#2026041919hbase0!AF2","NO 源备存在差异，共5个")</f>
        <v/>
      </c>
      <c r="X74">
        <f>A74</f>
        <v/>
      </c>
      <c r="AL74" t="inlineStr">
        <is>
          <t>['365', '2001-04-09 23:59:59.993']行 ['70', '9999-12-3023:59:59.997']列，源：2fcdb8f2790505c7efbb1a6ca2dbcb2a 备：a22d81c6cf9cd7a646fbab0d86aa74f7</t>
        </is>
      </c>
      <c r="EB74" t="inlineStr">
        <is>
          <t>['162', '', '', '', '', '', '', '', '', '', '', '', '', '', '', '', '', '', '', '']行 ['219', '', '', '', '', '', '', '', '', '', '', '', '', '', '', '340282346600000016151267322100000000000', '340282306073709652508363335600000000000', '922337203685477.5807', '214748.3647', '1']列，源：4e2832d3e686a39cc2117f7d42cfc6ae 备：36c10f65ce43771d749e13f6dd1ac288</t>
        </is>
      </c>
      <c r="EI74" t="inlineStr">
        <is>
          <t>['212', '', '', '', '', '', '', '', '', '', '', '', '', '', '', '', '', '', '', '']行 ['59', '42', '12345', '123456789', '123456789012345', '', '', '', '', '', '', '', '', '', '', '', '', '', '', '']列，源：3ad60022fb391b156035419534977bd9 备：d9f76ffa75e30ef98d84989886814ea9</t>
        </is>
      </c>
    </row>
    <row r="75">
      <c r="B75" t="inlineStr">
        <is>
          <t>YES</t>
        </is>
      </c>
      <c r="C75" t="inlineStr">
        <is>
          <t>NULL</t>
        </is>
      </c>
      <c r="D75" t="inlineStr">
        <is>
          <t>NULL</t>
        </is>
      </c>
      <c r="E75" t="inlineStr">
        <is>
          <t>NULL</t>
        </is>
      </c>
      <c r="F75" t="inlineStr">
        <is>
          <t>NULL</t>
        </is>
      </c>
      <c r="G75" t="inlineStr">
        <is>
          <t>NULL</t>
        </is>
      </c>
      <c r="H75" t="inlineStr">
        <is>
          <t>NULL</t>
        </is>
      </c>
      <c r="I75" t="inlineStr">
        <is>
          <t>YES!PK__info_sdt__3213E83FFC303CEB</t>
        </is>
      </c>
      <c r="J75" t="inlineStr">
        <is>
          <t>YES! 主键相关索引</t>
        </is>
      </c>
      <c r="K75" t="inlineStr">
        <is>
          <t xml:space="preserve"> NO!  	 id列源备映射错误，源端为int None位	期望更改为text	实际备端为int None位</t>
        </is>
      </c>
      <c r="AL75" t="inlineStr">
        <is>
          <t>['366', '2002-06-11 23:59:59.993']行 ['71', '2023-05-1100:00:00.123']列，源：2c52655969e2aeb31c9f5580de1fc9fb 备：9a4606c03b3e2bd0a855fea45bb42410</t>
        </is>
      </c>
      <c r="EB75" t="inlineStr">
        <is>
          <t>['163', '', '', '', '', '', '', '', '', '', '', '', '', '', '', '', '', '', '', '']行 ['220', '', '', '', '', '', '', '', '', '', '', '', '', '', '', '-340282346600000016151267322100000000000', '-340282306073709652508363335600000000000', '-922337203685477.5808', '-214748.3648', '0']列，源：6a322dc7bcabc57a9ae11d27e5ef4f8b 备：ac750537ec3f112db87c754f35178c10</t>
        </is>
      </c>
      <c r="EI75" t="inlineStr">
        <is>
          <t>['213', '', '', '', '', '', '', '', '', '', '', '', '', '', '', '', '', '', '', '']行 ['6', '127', '255', '65535', '4294967295', '', '', '', '', '', '', '', '', '', '', '', '', '', '', '']列，源：cd0fe9979e136831a41897d82620c0c1 备：d68f5721ae5db53f05856a030e641aba</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 xml:space="preserve"> NO!  	 c_sdt列源备映射错误，源端为smalldatetime None位	期望更改为text	实际备端为smalldatetime None位</t>
        </is>
      </c>
      <c r="AL76" t="inlineStr">
        <is>
          <t>['367', '2003-11-04 23:59:59.99']行 ['72', '2024-05-1112:00:00.567']列，源：75e71662d37dc1f37f53711e9211e549 备：562420feba33e421478f775999161676</t>
        </is>
      </c>
      <c r="EB76" t="inlineStr">
        <is>
          <t>['164', '', '', '', '', '', '', '', '', '', '', '', '', '', '', '', '', '', '', '']行 ['251', '', '', '', '', '', '', '', '', '', '', '', '', '', '', '', '', '', '', '']列，源：21fe61e2c21cf7e70abac9a58cc52e53 备：153a5cf7abf56e583787e07e70552ac1</t>
        </is>
      </c>
      <c r="EI76" t="inlineStr">
        <is>
          <t>['214', '', '', '', '', '', '', '', '', '', '', '', '', '', '', '', '', '', '', '']行 ['60', '99', '-12345', '-123456789', '-123456789012345', '', '', '', '', '', '', '', '', '', '', '', '', '', '', '']列，源：8cc8344f41b860272689413247a7a836 备：1bb39120e7f9e04dfe39563b699e1a41</t>
        </is>
      </c>
    </row>
    <row r="77">
      <c r="A77" t="inlineStr">
        <is>
          <t>info_nvarchar_dml_batch2_pk_urp2</t>
        </is>
      </c>
      <c r="K77" t="inlineStr">
        <is>
          <t>[0;34m info_nvarchar_dml_batch2_pk_urp2 [0m源备字段数相同，源端字段：4 	备端字段4</t>
        </is>
      </c>
      <c r="W77" t="inlineStr">
        <is>
          <t>YES 源备无差异</t>
        </is>
      </c>
      <c r="X77">
        <f>A77</f>
        <v/>
      </c>
      <c r="AL77" t="inlineStr">
        <is>
          <t>['368', '2004-12-24 23:59:59.99']行 ['73', '2025-01-0100:00:00.233']列，源：35c8d9dde1893a96af5782a58995ba8e 备：8947b5b98f747ab95991a5af6492bf08</t>
        </is>
      </c>
      <c r="EB77" t="inlineStr">
        <is>
          <t>['165', '', '', '', '', '', '', '', '', '', '', '', '', '', '', '', '', '', '', '']行 ['252', '', '', '', '', '', '', '', '', '', '', '', '', '', '', '', '', '', '', '']列，源：f298591d5009c0895edcc056c29da142 备：ec9543ac788439d97c0b9363cc6ad0bf</t>
        </is>
      </c>
      <c r="EI77" t="inlineStr">
        <is>
          <t>['215', '', '', '', '', '', '', '', '', '', '', '', '', '', '', '', '', '', '', '']行 ['61', '200', '20000', '2000000000', '2000000000000000', '', '', '', '', '', '', '', '', '', '', '', '', '', '', '']列，源：6c8e2c35175066aebe09e3d19edd61da 备：127a439893fcb60dcb5dbd20fd423142</t>
        </is>
      </c>
    </row>
    <row r="78">
      <c r="B78" t="inlineStr">
        <is>
          <t>YES</t>
        </is>
      </c>
      <c r="C78" t="inlineStr">
        <is>
          <t>NULL</t>
        </is>
      </c>
      <c r="D78" t="inlineStr">
        <is>
          <t>NULL</t>
        </is>
      </c>
      <c r="E78" t="inlineStr">
        <is>
          <t>NULL</t>
        </is>
      </c>
      <c r="F78" t="inlineStr">
        <is>
          <t>NULL</t>
        </is>
      </c>
      <c r="G78" t="inlineStr">
        <is>
          <t>NULL</t>
        </is>
      </c>
      <c r="H78" t="inlineStr">
        <is>
          <t>NULL</t>
        </is>
      </c>
      <c r="I78" t="inlineStr">
        <is>
          <t>YES!PK__info_nva__3213E83F6FA2370C</t>
        </is>
      </c>
      <c r="J78" t="inlineStr">
        <is>
          <t>YES! 主键相关索引</t>
        </is>
      </c>
      <c r="K78" t="inlineStr">
        <is>
          <t xml:space="preserve"> NO!  	 id列源备映射错误，源端为int None位	期望更改为text	实际备端为int None位</t>
        </is>
      </c>
      <c r="AL78" t="inlineStr">
        <is>
          <t>['371', '2023-05-11 00:00:00.123']行 ['74', '2040-12-2523:59:59.997']列，源：984f7810239d77b12e3d8debc89d0cc9 备：4b6990a1c9e8f1ea6fc66eac55aed510</t>
        </is>
      </c>
      <c r="EB78" t="inlineStr">
        <is>
          <t>['166', '', '', '', '', '', '', '', '', '', '', '', '', '', '', '', '', '', '', '']行 ['253', '', '', '', '', '', '', '', '', '', '', '', '', '', '', '', '', '', '', '']列，源：1315e4df298a16aef23407d413b14b9c 备：e206c04bb5b8323f7147b64d00deec28</t>
        </is>
      </c>
      <c r="EI78" t="inlineStr">
        <is>
          <t>['216', '', '', '', '', '', '', '', '', '', '', '', '', '', '', '123456789000000002003480098325095514112', '340282306073709652508363335590014353408', '123456.789', '1234.5678', '1']行 ['62', '', '', '', '', '', '', '', '', '', '', '', '', '', '', '', '', '', '', '']列，源：3e48b5ad2ea436a5a2d48e2f600080ef 备：53c708da551d7abf953f080d2a4aeec8</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c_nvarchar列源备映射错误，源端为nvarchar 2位	期望更改为text	实际备端为nvarchar 2位</t>
        </is>
      </c>
      <c r="AL79" t="inlineStr">
        <is>
          <t>['372', '2024-05-11 12:00:00.567']行 ['8', '2068-05-1114:30:30.000']列，源：b68bc665abc27476720beaa0854a75c9 备：482b5b963ecc050b6221a7b239669a9b</t>
        </is>
      </c>
      <c r="EB79" t="inlineStr">
        <is>
          <t>['167', '', '', '', '', '', '', '', '', '', '', '', '', '', '', '', '', '', '', '']行 ['254', '', '', '', '', '', '', '', '', '', '', '', '', '', '', '', '', '', '', '']列，源：21d1cf95bce153f7ce3d70112eb6a18e 备：f0eaeedaddbff2c4cea0e75ccad2fae2</t>
        </is>
      </c>
      <c r="EI79" t="inlineStr">
        <is>
          <t>['217', '', '', '', '', '', '', '', '', '', '', '', '', '', '', '-123456789000000002003480098325095514112', '-340282306073709652508363335590014353408', '-123456.789', '-1234.5678', '0']行 ['63', '', '', '', '', '', '', '', '', '', '', '', '', '', '', '', '', '', '', '']列，源：f031ae94a2b4b8a7c58c995ae54cbb29 备：a350c30a05b8dd2ab0e1dd8e2f0cc6aa</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c_nvarchar20列源备映射错误，源端为nvarchar 40位	期望更改为text	实际备端为nvarchar 40位</t>
        </is>
      </c>
      <c r="AL80" t="inlineStr">
        <is>
          <t>['373', '2025-01-01 00:00:00.233']行 ['9', '1981-05-1114:30:59.000']列，源：b0674e7f5e93470117aa10f6c695dfdf 备：a56640e72f7bdf2350334a7020405913</t>
        </is>
      </c>
      <c r="EB80" t="inlineStr">
        <is>
          <t>['168', '', '', '', '', '', '', '', '', '', '', '', '', '', '', '', '', '', '', '']行 ['255', '', '', '', '', '', '', '', '', '', '', '', '', '', '', '', '', '', '', '']列，源：32e90d0a71c0dbf973a058003d2925c3 备：3a57e0440a1c60ab9216457f86ddf426</t>
        </is>
      </c>
      <c r="EI80" t="inlineStr">
        <is>
          <t>['218', '', '', '', '', '', '', '', '', '', '', '', '', '', '', '0', '0', '0.0001', '0.0001', '1']行 ['64', '', '', '', '', '', '', '', '', '', '', '', '', '', '', '', '', '', '', '']列，源：26acf5d4c0c26c4735b6dd4722a46ae0 备：fec040c706199adf2fc50311275da743</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c_nvarchar3500列源备映射错误，源端为nvarchar 7000位	期望更改为text	实际备端为nvarchar 7000位</t>
        </is>
      </c>
      <c r="EB81" t="inlineStr">
        <is>
          <t>['169', '', '', '', '', '', '', '', '', '', '', '', '', '', '', '', '', '', '', '']行 ['256', '', '', '', '', '', '', '', '', '', '', '', '', '', '', '', '', '', '', '']列，源：ed948b0ed18fb46030fdd76e60580cad 备：e2f87834e8e46a78447008813adb15c6</t>
        </is>
      </c>
      <c r="EI81" t="inlineStr">
        <is>
          <t>['219', '', '', '', '', '', '', '', '', '', '', '', '', '', '', '340282346600000016151267322115014000640', '340282306073709652508363335590014353408', '922337203685477.5807', '214748.3647', '1']行 ['65', '', '', '', '', '', '', '', '', '', '', '', '', '', '', '', '', '', '', '']列，源：fba35677ad8b6df3b892966581664a8a 备：98275a2703466a8b33d73172fcdc6666</t>
        </is>
      </c>
    </row>
    <row r="82">
      <c r="A82" t="inlineStr">
        <is>
          <t>info_varchar_dml_batch1_pk_drp2</t>
        </is>
      </c>
      <c r="K82" t="inlineStr">
        <is>
          <t>[0;34m info_varchar_dml_batch1_pk_drp2 [0m源备字段数相同，源端字段：4 	备端字段4</t>
        </is>
      </c>
      <c r="W82" t="inlineStr">
        <is>
          <t>YES 源备无差异</t>
        </is>
      </c>
      <c r="X82">
        <f>A82</f>
        <v/>
      </c>
      <c r="EB82" t="inlineStr">
        <is>
          <t>['170', '', '', '', '', '', '', '', '', '', '', '', '', '', '', '', '', '', '', '']行 ['257', '', '', '', '', '', '', '', '', '', '', '', '', '', '', '', '', '', '', '']列，源：e50e0109cfcdfc98c7759362dd7637db 备：60f4e8a9c8713ce193f5f017dfde8f62</t>
        </is>
      </c>
      <c r="EI82" t="inlineStr">
        <is>
          <t>['220', '', '', '', '', '', '', '', '', '', '', '', '', '', '', '-340282346600000016151267322115014000640', '-340282306073709652508363335590014353408', '-922337203685477.5808', '-214748.3648', '0']行 ['66', '', '', '', '', '', '', '', '', '', '', '', '', '', '', '', '', '', '', '']列，源：78ff8bac2e5a5bbb4d1ab2f4e874de55 备：dafb2839909685d29fbfc3b4fdfaa03d</t>
        </is>
      </c>
    </row>
    <row r="83">
      <c r="B83" t="inlineStr">
        <is>
          <t>YES</t>
        </is>
      </c>
      <c r="C83" t="inlineStr">
        <is>
          <t>NULL</t>
        </is>
      </c>
      <c r="D83" t="inlineStr">
        <is>
          <t>NULL</t>
        </is>
      </c>
      <c r="E83" t="inlineStr">
        <is>
          <t>NULL</t>
        </is>
      </c>
      <c r="F83" t="inlineStr">
        <is>
          <t>NULL</t>
        </is>
      </c>
      <c r="G83" t="inlineStr">
        <is>
          <t>NULL</t>
        </is>
      </c>
      <c r="H83" t="inlineStr">
        <is>
          <t>NULL</t>
        </is>
      </c>
      <c r="I83" t="inlineStr">
        <is>
          <t>YES!PK__info_var__3213E83FD43D036A</t>
        </is>
      </c>
      <c r="J83" t="inlineStr">
        <is>
          <t>YES! 主键相关索引</t>
        </is>
      </c>
      <c r="K83" t="inlineStr">
        <is>
          <t xml:space="preserve"> NO!  	 id列源备映射错误，源端为int None位	期望更改为text	实际备端为int None位</t>
        </is>
      </c>
      <c r="EB83" t="inlineStr">
        <is>
          <t>['201',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['258', '', '', '', '', '', '', '', '', '', '', '', '', '', '', '', '', '', '', '']列，源：4f152e96493c5d138c3c9c9c42ce5a5e 备：6a9806a42f6f3d4878882793b9a36cfb</t>
        </is>
      </c>
      <c r="EI83" t="inlineStr">
        <is>
          <t>['404', '123', '12345', '1234567890', '1234567890123456', '', '', '', '', '', '', '', '', '', '', '', '', '', '', '']行 ['67', '', '', '', '', '', '', '', '', '', '', '', '', '', '', '', '', '', '', '']列，源：425733953aa620fcec13db4b1d6d7091 备：335096f9c43f4c9730d7d32dc1d02c74</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 xml:space="preserve"> NO!  	 c_varchar列源备映射错误，源端为varchar 1位	期望更改为text	实际备端为varchar 1位</t>
        </is>
      </c>
      <c r="EB84" t="inlineStr">
        <is>
          <t>['202',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'922337203685477.5807', '214748.3647', '1']行 ['259', '', '', '', '', '', '', '', '', '', '', '', '', '', '', '', '', '', '', '']列，源：45436e8217f866e92c7ec83b6b899894 备：897c70c93ae32286f654f02c36fc0aa9</t>
        </is>
      </c>
      <c r="EI84" t="inlineStr">
        <is>
          <t>['406', '127', '255', '65535', '4294967295', '', '', '', '', '', '', '', '', '', '', '', '', '', '', '']行 ['68', '', '', '', '', '', '', '', '', '', '', '', '', '', '', '', '', '', '', '']列，源：f9f7e54761fdaffa0600e1abdacceb00 备：3df63b35c1d9071733ae38b706d49109</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c_varchar20列源备映射错误，源端为varchar 20位	期望更改为text	实际备端为varchar 20位</t>
        </is>
      </c>
      <c r="EB85" t="inlineStr">
        <is>
          <t>['203', '', '', '', '', '', '', '', '', '', '', '', '', '', '', '', '', '', '', '']行 ['260', '', '', '', '', '', '', '', '', '', '', '', '', '', '', '', '', '', '', '']列，源：d73d4dec43c6768893cb8e84a0f45bd8 备：2125c1cc02594cddbcf2386a2ae8ca54</t>
        </is>
      </c>
      <c r="EI85" t="inlineStr">
        <is>
          <t>['502', '', '', '', '', '999999999999999999', '100000000000000000000000000000000000000', '1', '10000000000000000000000000000', '999999999999999.9999', '999999999999999999', '100000000000000000000000000000000000000', '1', '10000000000000000000000000000', '9999999999999999.99', '', '', '', '', '']行 ['69', '', '', '', '', '', '', '', '', '', '', '', '', '', '', '', '', '', '', '']列，源：b597c1d21e8339960a681b6f5aad6376 备：0cfb4287715fdcb9a2965d3ce87499b6</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c_varchar7000列源备映射错误，源端为varchar 7000位	期望更改为text	实际备端为varchar 7000位</t>
        </is>
      </c>
      <c r="EB86" t="inlineStr">
        <is>
          <t>['204', '', '', '', '', '', '', '', '', '', '', '', '', '', '', '0', '299792448', '-500000', '1234.5678', '1']行 ['261', '', '', '', '', '', '', '', '', '', '', '', '', '', '', '', '', '', '', '']列，源：a31c87c3c60d3cfd999a8cc6fcc840dc 备：72512e32ea5f3330f73d13a96c10833d</t>
        </is>
      </c>
      <c r="EI86" t="inlineStr">
        <is>
          <t>['504', '', '', '', '', '123456789123456789', '-1234567890123456789012345', '0.0000000000000000000000008', '1234567890123456789012345678', '-123456789012.1234', '123456789123456789', '-1234567890123456789012345', '0.0000000000000000000000008', '1234567890123456789012345678', '-123456789012.12', '', '', '', '', '']行 ['7', '255', '32767', '2147483647', '9223372036854775807', '', '', '', '', '', '', '', '', '', '', '', '', '', '', '']列，源：01fc26ac9d5a7276931337f5b1c7392e 备：40913b37c5e68ffe3e0791ff7ffc2253</t>
        </is>
      </c>
    </row>
    <row r="87">
      <c r="A87" t="inlineStr">
        <is>
          <t>info_sdt_dml_batch1_pk</t>
        </is>
      </c>
      <c r="K87" t="inlineStr">
        <is>
          <t>[0;34m info_sdt_dml_batch1_pk [0m源备字段数相同，源端字段：2 	备端字段2</t>
        </is>
      </c>
      <c r="W87" s="17">
        <f>HYPERLINK("#2026041919hbase0!AG2","NO 源备存在差异，共3个")</f>
        <v/>
      </c>
      <c r="X87">
        <f>A87</f>
        <v/>
      </c>
      <c r="EB87" t="inlineStr">
        <is>
          <t>['205', '', '', '', '', '', '', '', '', '', '', '', '', '', '', '', '', '', '', '']行 ['262', '', '', '', '', '', '', '', '', '', '', '', '', '', '', '', '', '', '', '']列，源：e5a8ce447702f02863352b6cf62009b4 备：01ea1a180dc082fb8652aeb607cc174f</t>
        </is>
      </c>
      <c r="EI87" t="inlineStr">
        <is>
          <t>['512', '', '', '', '', '123', '12345678901234567890123789010000000', '0.1234567890123459012345678901', '123456789012367012345678.1246', '123456712345.6789', '988', '987654321098765410987654321100000000', '0.9876543210987432109876543211', '987654321098765432105432.1099', '1234567012456.78', '', '', '', '', '']行 ['70', '', '', '', '', '', '', '', '', '', '', '', '', '', '', '', '', '', '', '']列，源：e2652767110e93887175ae1869f5acb2 备：bbfe0c65fee335ec8e1cc4c7ebd817cc</t>
        </is>
      </c>
    </row>
    <row r="88">
      <c r="B88" t="inlineStr">
        <is>
          <t>YES</t>
        </is>
      </c>
      <c r="C88" t="inlineStr">
        <is>
          <t>NULL</t>
        </is>
      </c>
      <c r="D88" t="inlineStr">
        <is>
          <t>NULL</t>
        </is>
      </c>
      <c r="E88" t="inlineStr">
        <is>
          <t>NULL</t>
        </is>
      </c>
      <c r="F88" t="inlineStr">
        <is>
          <t>NULL</t>
        </is>
      </c>
      <c r="G88" t="inlineStr">
        <is>
          <t>NULL</t>
        </is>
      </c>
      <c r="H88" t="inlineStr">
        <is>
          <t>NULL</t>
        </is>
      </c>
      <c r="I88" t="inlineStr">
        <is>
          <t>YES!PK__info_sdt__3213E83FDAC83582</t>
        </is>
      </c>
      <c r="J88" t="inlineStr">
        <is>
          <t>YES! 主键相关索引</t>
        </is>
      </c>
      <c r="K88" t="inlineStr">
        <is>
          <t xml:space="preserve"> NO!  	 id列源备映射错误，源端为int None位	期望更改为text	实际备端为int None位</t>
        </is>
      </c>
      <c r="EB88" t="inlineStr">
        <is>
          <t>['206', '', '', '', '', '', '', '', '', '', '', '', '', '', '', '', '', '', '', '']行 ['263', '', '', '', '', '', '', '', '', '', '', '', '', '', '', '', '', '', '', '']列，源：3db82bc38b063706520e24a8668c0fdb 备：9f1bc7e01dbe8de420586728e601a8c7</t>
        </is>
      </c>
      <c r="EI88" t="inlineStr">
        <is>
          <t>['514', '', '', '', '', '1000000000000000', '100000000000000000000000000000000', '1', '9999999999999999999999.999999', '999999999999.999', '100000000000000', '999999999999999999999', '0.999999999999999999999999999', '999999999999999999999.999999', '9999999999.99', '', '', '', '', '']行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'0']列，源：ae27f6fa084d88934a05d8fe9f59c5c7 备：862bdfe71b9b16314a537fc677d9f9be</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 xml:space="preserve"> NO!  	 c_sdt列源备映射错误，源端为smalldatetime None位	期望更改为text	实际备端为smalldatetime None位</t>
        </is>
      </c>
      <c r="EB89" t="inlineStr">
        <is>
          <t>['207', '', '', '', '', '', '', '', '', '', '', '', '', '', '', '', '', '', '', '']行 ['264', '', '', '', '', '', '', '', '', '', '', '', '', '', '', '', '', '', '', '']列，源：6825ec32b2fa82bf5694be96d2af00c4 备：1ea24550b9765fc1e23e6b350fa24169</t>
        </is>
      </c>
      <c r="EI89" t="inlineStr">
        <is>
          <t>['515', '', '', '', '', '0', '1', '0.000000000000000000000000001', '0.000000001', '0.0001', '0', '1', '0.000000000000000000000000000001', '0.000001', '0.01', '', '', '', '', '']行 ['717', '', '', '', '', '', '', '', '', '', '', '', '', '', '', '-123456789000000002003480098300000000000', '-340282306073709652508363335600000000000', '-123456.789', '-1234.5678', '0']列，源：9f00e346b1b566fcf5833e2186e3dff8 备：f46445b22951f4e13095367fa188bfed</t>
        </is>
      </c>
    </row>
    <row r="90">
      <c r="A90" t="inlineStr">
        <is>
          <t>info_int_dml_batch1_pk_urp1</t>
        </is>
      </c>
      <c r="K90" t="inlineStr">
        <is>
          <t>[0;34m info_int_dml_batch1_pk_urp1 [0m源备字段数相同，源端字段：20 	备端字段20</t>
        </is>
      </c>
      <c r="W90" s="17">
        <f>HYPERLINK("#2026041919hbase0!AH2","NO 源备存在差异，共19个")</f>
        <v/>
      </c>
      <c r="X90">
        <f>A90</f>
        <v/>
      </c>
      <c r="EB90" t="inlineStr">
        <is>
          <t>['208', '', '', '', '', '', '', '', '', '', '', '', '', '', '', '', '', '', '', '']行 ['265', '', '', '', '', '', '', '', '', '', '', '', '', '', '', '', '', '', '', '']列，源：898629525be4d5f467fd745215c7d266 备：4892716399f4025f4040f5af2b4b36ae</t>
        </is>
      </c>
      <c r="EI90"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['720', '', '', '', '', '', '', '', '', '', '', '', '', '', '', '-340282346600000016151267322100000000000', '-340282306073709652508363335600000000000', '-922337203685477.5808', '-214748.3648', '0']列，源：36a5cc5f12929735b83a74c25c0c0968 备：5467c4e51329648b4f2e68804bc3400d</t>
        </is>
      </c>
    </row>
    <row r="91">
      <c r="B91" t="inlineStr">
        <is>
          <t>YES</t>
        </is>
      </c>
      <c r="C91" t="inlineStr">
        <is>
          <t>NULL</t>
        </is>
      </c>
      <c r="D91" t="inlineStr">
        <is>
          <t>NULL</t>
        </is>
      </c>
      <c r="E91" t="inlineStr">
        <is>
          <t>NULL</t>
        </is>
      </c>
      <c r="F91" t="inlineStr">
        <is>
          <t>NULL</t>
        </is>
      </c>
      <c r="G91" t="inlineStr">
        <is>
          <t>NULL</t>
        </is>
      </c>
      <c r="H91" t="inlineStr">
        <is>
          <t>NULL</t>
        </is>
      </c>
      <c r="I91" t="inlineStr">
        <is>
          <t>YES!PK__info_int__3213E83FDA761113</t>
        </is>
      </c>
      <c r="J91" t="inlineStr">
        <is>
          <t>YES! 主键相关索引</t>
        </is>
      </c>
      <c r="K91" t="inlineStr">
        <is>
          <t xml:space="preserve"> NO!  	 id列源备映射错误，源端为int None位	期望更改为text	实际备端为int None位</t>
        </is>
      </c>
      <c r="EB91" t="inlineStr">
        <is>
          <t>['209', '', '', '', '', '', '', '', '', '', '', '', '', '', '', '', '', '', '', '']行 ['266', '', '', '', '', '', '', '', '', '', '', '', '', '', '', '', '', '', '', '']列，源：16720de118fba69ba537421a75083d4c 备：1c3c9e74271444ae404b36ff2aebb8e6</t>
        </is>
      </c>
      <c r="EI91" t="inlineStr">
        <is>
          <t>['717', '', '', '', '', '', '', '', '', '', '', '', '', '', '', '-123456789000000002003480098325095514112', '-340282306073709652508363335590014353408', '-123456.789', '-1234.5678', '0']行 ['8', '0', '-32768', '-2147483648', '-9223372036854775808', '', '', '', '', '', '', '', '', '', '', '', '', '', '', '']列，源：bb8f1166d0b84dc73836ec227a34a1bc 备：1edc4e058b537207b894fced26cb6684</t>
        </is>
      </c>
    </row>
    <row r="92">
      <c r="B92" t="inlineStr">
        <is>
          <t>NULL</t>
        </is>
      </c>
      <c r="C92" t="inlineStr">
        <is>
          <t>NULL</t>
        </is>
      </c>
      <c r="D92" t="inlineStr">
        <is>
          <t>NULL</t>
        </is>
      </c>
      <c r="E92" t="inlineStr">
        <is>
          <t>NULL</t>
        </is>
      </c>
      <c r="F92" t="inlineStr">
        <is>
          <t>NULL</t>
        </is>
      </c>
      <c r="G92" t="inlineStr">
        <is>
          <t>NULL</t>
        </is>
      </c>
      <c r="H92" t="inlineStr">
        <is>
          <t>NULL</t>
        </is>
      </c>
      <c r="I92" t="inlineStr">
        <is>
          <t>NULL</t>
        </is>
      </c>
      <c r="J92" t="inlineStr">
        <is>
          <t>NULL</t>
        </is>
      </c>
      <c r="K92" t="inlineStr">
        <is>
          <t xml:space="preserve"> NO!  	 c_tinyint列源备映射错误，源端为tinyint None位	期望更改为text	实际备端为tinyint None位</t>
        </is>
      </c>
      <c r="EB92" t="inlineStr">
        <is>
          <t>['210', '', '', '', '', '', '', '', '', '', '', '', '', '', '', '', '', '', '', '']行 ['267', '', '', '', '', '', '', '', '', '', '', '', '', '', '', '', '', '', '', '']列，源：062ac8d7144f137ca6f7b63434389657 备：88ccb3b81fb79f3208b670e848fa4c7f</t>
        </is>
      </c>
      <c r="EI92" t="inlineStr">
        <is>
          <t>['720', '', '', '', '', '', '', '', '', '', '', '', '', '', '', '-340282346600000016151267322115014000640', '-340282306073709652508363335590014353408', '-922337203685477.5808', '-214748.3648', '0']行 ['9', '42', '12345', '123456789', '123456789012345', '', '', '', '', '', '', '', '', '', '', '', '', '', '', '']列，源：e7f24c16ba66ef4c049c2bfe1d53a88e 备：cb1f41c38c4f51a51f38f3f6572afb83</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 xml:space="preserve"> NO!  	 c_smallint列源备映射错误，源端为smallint None位	期望更改为text	实际备端为smallint None位</t>
        </is>
      </c>
      <c r="EB93" t="inlineStr">
        <is>
          <t>['211', '', '', '', '', '', '', '', '', '', '', '', '', '', '', '', '', '', '', '']行 ['268', '', '', '', '', '', '', '', '', '', '', '', '', '', '', '', '', '', '', '']列，源：97d6d1ad51aaeea2a131713cf72d2ecf 备：9a6e6ee5705b26fe7506519a1c7e13a2</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 xml:space="preserve"> NO!  	 c_int列源备映射错误，源端为int None位	期望更改为text	实际备端为int None位</t>
        </is>
      </c>
      <c r="EB94" t="inlineStr">
        <is>
          <t>['212', '', '', '', '', '', '', '', '', '', '', '', '', '', '', '', '', '', '', '']行 ['269', '', '', '', '', '', '', '', '', '', '', '', '', '', '', '', '', '', '', '']列，源：3ad60022fb391b156035419534977bd9 备：ce06005dc44a1c5064121ee5682b0f2b</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 xml:space="preserve"> NO!  	 c_bigint列源备映射错误，源端为bigint None位	期望更改为text	实际备端为bigint None位</t>
        </is>
      </c>
      <c r="EB95" t="inlineStr">
        <is>
          <t>['213', '', '', '', '', '', '', '', '', '', '', '', '', '', '', '', '', '', '', '']行 ['270', '', '', '', '', '', '', '', '', '', '', '', '', '', '', '', '', '', '', '']列，源：cd0fe9979e136831a41897d82620c0c1 备：5b6b4f60cda13dc2f0e37e05b64c3e44</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 xml:space="preserve"> NO!  	 c_decimal列源备映射错误，源端为decimal None位	期望更改为text	实际备端为decimal None位</t>
        </is>
      </c>
      <c r="EB96" t="inlineStr">
        <is>
          <t>['214', '', '', '', '', '', '', '', '', '', '', '', '', '', '', '', '', '', '', '']行 ['3', '', '', '', '', '', '', '', '', '', '', '', '', '', '', '', '', '', '', '']列，源：8cc8344f41b860272689413247a7a836 备：3928921cf5611a846e657b0d459e50be</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 xml:space="preserve"> NO!  	 c_decimal38列源备映射错误，源端为decimal None位	期望更改为text	实际备端为decimal None位</t>
        </is>
      </c>
      <c r="EB97" t="inlineStr">
        <is>
          <t>['215', '', '', '', '', '', '', '', '', '', '', '', '', '', '', '', '', '', '', '']行 ['301', '', '', '', '', '', '', '', '', '', '', '', '', '', '', '', '', '', '', '']列，源：6c8e2c35175066aebe09e3d19edd61da 备：53b142ba461624c9d44a73a168eab0a5</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 xml:space="preserve"> NO!  	 c_decimal38_38列源备映射错误，源端为decimal None位	期望更改为text	实际备端为decimal None位</t>
        </is>
      </c>
      <c r="EB98" t="inlineStr">
        <is>
          <t>['216', '', '', '', '', '', '', '', '', '', '', '', '', '', '', '123456789000000002003480098325095514112', '340282306073709652508363335590014353408', '123456.789', '1234.5678', '1']行 ['302', '', '', '', '', '', '', '', '', '', '', '', '', '', '', '', '', '', '', '']列，源：3e48b5ad2ea436a5a2d48e2f600080ef 备：e6bf01416905add2ea764cca591ace13</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 xml:space="preserve"> NO!  	 c_decimal38_10列源备映射错误，源端为decimal None位	期望更改为text	实际备端为decimal None位</t>
        </is>
      </c>
      <c r="EB99" t="inlineStr">
        <is>
          <t>['217', '', '', '', '', '', '', '', '', '', '', '', '', '', '', '-123456789000000002003480098325095514112', '-340282306073709652508363335590014353408', '-123456.789', '-1234.5678', '0']行 ['303', '', '', '', '', '', '', '', '', '', '', '', '', '', '', '', '', '', '', '']列，源：f031ae94a2b4b8a7c58c995ae54cbb29 备：4898a6ec3a7d0c1df20cd8296e884248</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 xml:space="preserve"> NO!  	 c_decimal19_4列源备映射错误，源端为decimal None位	期望更改为text	实际备端为decimal None位</t>
        </is>
      </c>
      <c r="EB100" t="inlineStr">
        <is>
          <t>['218', '', '', '', '', '', '', '', '', '', '', '', '', '', '', '0', '0', '0.0001', '0.0001', '1']行 ['304', '', '', '', '', '', '', '', '', '', '', '', '', '', '', '', '', '', '', '']列，源：26acf5d4c0c26c4735b6dd4722a46ae0 备：008774cd5739180d9402913d8db2a73e</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c_numeric列源备映射错误，源端为numeric None位	期望更改为text	实际备端为numeric None位</t>
        </is>
      </c>
      <c r="EB101" t="inlineStr">
        <is>
          <t>['219', '', '', '', '', '', '', '', '', '', '', '', '', '', '', '340282346600000016151267322115014000640', '340282306073709652508363335590014353408', '922337203685477.5807', '214748.3647', '1']行 ['305', '', '', '', '', '', '', '', '', '', '', '', '', '', '', '', '', '', '', '']列，源：fba35677ad8b6df3b892966581664a8a 备：487cfdc61aba42796a9fb90e48678cba</t>
        </is>
      </c>
    </row>
    <row r="102">
      <c r="B102" t="inlineStr">
        <is>
          <t>NULL</t>
        </is>
      </c>
      <c r="C102" t="inlineStr">
        <is>
          <t>NULL</t>
        </is>
      </c>
      <c r="D102" t="inlineStr">
        <is>
          <t>NULL</t>
        </is>
      </c>
      <c r="E102" t="inlineStr">
        <is>
          <t>NULL</t>
        </is>
      </c>
      <c r="F102" t="inlineStr">
        <is>
          <t>NULL</t>
        </is>
      </c>
      <c r="G102" t="inlineStr">
        <is>
          <t>NULL</t>
        </is>
      </c>
      <c r="H102" t="inlineStr">
        <is>
          <t>NULL</t>
        </is>
      </c>
      <c r="I102" t="inlineStr">
        <is>
          <t>NULL</t>
        </is>
      </c>
      <c r="J102" t="inlineStr">
        <is>
          <t>NULL</t>
        </is>
      </c>
      <c r="K102" t="inlineStr">
        <is>
          <t xml:space="preserve"> NO!  	 c_numeric38列源备映射错误，源端为numeric None位	期望更改为text	实际备端为numeric None位</t>
        </is>
      </c>
      <c r="EB102" t="inlineStr">
        <is>
          <t>['220', '', '', '', '', '', '', '', '', '', '', '', '', '', '', '-340282346600000016151267322115014000640', '-340282306073709652508363335590014353408', '-922337203685477.5808', '-214748.3648', '0']行 ['306', '', '', '', '', '', '', '', '', '', '', '', '', '', '', '', '', '', '', '']列，源：78ff8bac2e5a5bbb4d1ab2f4e874de55 备：e7e578540c4ef24b3edb940e7e7e3b4f</t>
        </is>
      </c>
    </row>
    <row r="103">
      <c r="B103" t="inlineStr">
        <is>
          <t>NULL</t>
        </is>
      </c>
      <c r="C103" t="inlineStr">
        <is>
          <t>NULL</t>
        </is>
      </c>
      <c r="D103" t="inlineStr">
        <is>
          <t>NULL</t>
        </is>
      </c>
      <c r="E103" t="inlineStr">
        <is>
          <t>NULL</t>
        </is>
      </c>
      <c r="F103" t="inlineStr">
        <is>
          <t>NULL</t>
        </is>
      </c>
      <c r="G103" t="inlineStr">
        <is>
          <t>NULL</t>
        </is>
      </c>
      <c r="H103" t="inlineStr">
        <is>
          <t>NULL</t>
        </is>
      </c>
      <c r="I103" t="inlineStr">
        <is>
          <t>NULL</t>
        </is>
      </c>
      <c r="J103" t="inlineStr">
        <is>
          <t>NULL</t>
        </is>
      </c>
      <c r="K103" t="inlineStr">
        <is>
          <t xml:space="preserve"> NO!  	 c_numeric38_38列源备映射错误，源端为numeric None位	期望更改为text	实际备端为numeric None位</t>
        </is>
      </c>
      <c r="EB103" t="inlineStr">
        <is>
          <t>['251', '', '', '', '', '', '', '', '', '', '', '', '', '', '', '', '', '', '', '']行 ['307', '', '', '', '', '', '', '', '', '', '', '', '', '', '', '', '', '', '', '']列，源：153a5cf7abf56e583787e07e70552ac1 备：2d867cd6274efb9aee92c8f744b52894</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 xml:space="preserve"> NO!  	 c_numeric38_10列源备映射错误，源端为numeric None位	期望更改为text	实际备端为numeric None位</t>
        </is>
      </c>
      <c r="EB104" t="inlineStr">
        <is>
          <t>['252', '', '', '', '', '', '', '', '', '', '', '', '', '', '', '', '', '', '', '']行 ['308', '', '', '', '', '', '', '', '', '', '', '', '', '', '', '', '', '', '', '']列，源：ec9543ac788439d97c0b9363cc6ad0bf 备：d21a361325cb9e60a32c6d9e93219f65</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 xml:space="preserve"> NO!  	 c_numeric18_2列源备映射错误，源端为numeric None位	期望更改为text	实际备端为numeric None位</t>
        </is>
      </c>
      <c r="EB105" t="inlineStr">
        <is>
          <t>['253', '', '', '', '', '', '', '', '', '', '', '', '', '', '', '', '', '', '', '']行 ['309', '', '', '', '', '', '', '', '', '', '', '', '', '', '', '', '', '', '', '']列，源：e206c04bb5b8323f7147b64d00deec28 备：15762f01e35bd8359499d677fad6268d</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 xml:space="preserve"> NO!  	 c_float列源备映射错误，源端为float None位	期望更改为text	实际备端为float None位</t>
        </is>
      </c>
      <c r="EB106" t="inlineStr">
        <is>
          <t>['254', '', '', '', '', '', '', '', '', '', '', '', '', '', '', '', '', '', '', '']行 ['310', '', '', '', '', '', '', '', '', '', '', '', '', '', '', '', '', '', '', '']列，源：f0eaeedaddbff2c4cea0e75ccad2fae2 备：3c0ab3a5f23b7a4db751154475a11e21</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 xml:space="preserve"> NO!  	 c_real列源备映射错误，源端为real None位	期望更改为text	实际备端为real None位</t>
        </is>
      </c>
      <c r="EB107" t="inlineStr">
        <is>
          <t>['255', '', '', '', '', '', '', '', '', '', '', '', '', '', '', '', '', '', '', '']行 ['311', '', '', '', '', '', '', '', '', '', '', '', '', '', '', '', '', '', '', '']列，源：3a57e0440a1c60ab9216457f86ddf426 备：20f293d44b4db267fcd2d4986355755e</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 xml:space="preserve"> NO!  	 c_money列源备映射错误，源端为money None位	期望更改为text	实际备端为money None位</t>
        </is>
      </c>
      <c r="EB108" t="inlineStr">
        <is>
          <t>['256', '', '', '', '', '', '', '', '', '', '', '', '', '', '', '', '', '', '', '']行 ['312', '', '', '', '', '', '', '', '', '', '', '', '', '', '', '', '', '', '', '']列，源：e2f87834e8e46a78447008813adb15c6 备：e5e83cafe214773de4b5c43d934f9b1e</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 xml:space="preserve"> NO!  	 c_smallmoney列源备映射错误，源端为smallmoney None位	期望更改为text	实际备端为smallmoney None位</t>
        </is>
      </c>
      <c r="EB109" t="inlineStr">
        <is>
          <t>['257', '', '', '', '', '', '', '', '', '', '', '', '', '', '', '', '', '', '', '']行 ['313', '', '', '', '', '', '', '', '', '', '', '', '', '', '', '', '', '', '', '']列，源：60f4e8a9c8713ce193f5f017dfde8f62 备：b354fc5f83582fad3a229626b34b1be4</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 xml:space="preserve"> NO!  	 c_bit列源备映射错误，源端为bit None位	期望更改为text	实际备端为bit None位</t>
        </is>
      </c>
      <c r="EB110" t="inlineStr">
        <is>
          <t>['258', '', '', '', '', '', '', '', '', '', '', '', '', '', '', '', '', '', '', '']行 ['314', '', '', '', '', '', '', '', '', '', '', '', '', '', '', '', '', '', '', '']列，源：6a9806a42f6f3d4878882793b9a36cfb 备：3f6acbd42fb24afdf820f358f898d36e</t>
        </is>
      </c>
    </row>
    <row r="111">
      <c r="A111" t="inlineStr">
        <is>
          <t>info_xml_dml_single_pk_urp</t>
        </is>
      </c>
      <c r="K111" t="inlineStr">
        <is>
          <t>[0;34m info_xml_dml_single_pk_urp [0m源备字段数相同，源端字段：2 	备端字段2</t>
        </is>
      </c>
      <c r="W111" s="17">
        <f>HYPERLINK("#2026041919hbase0!AI2","NO 源备存在差异，共2个")</f>
        <v/>
      </c>
      <c r="X111">
        <f>A111</f>
        <v/>
      </c>
      <c r="EB111" t="inlineStr">
        <is>
          <t>['259', '', '', '', '', '', '', '', '', '', '', '', '', '', '', '', '', '', '', '']行 ['315', '', '', '', '', '', '', '', '', '', '', '', '', '', '', '', '', '', '', '']列，源：897c70c93ae32286f654f02c36fc0aa9 备：20d2d23d80b5108981451d51e800ab7f</t>
        </is>
      </c>
    </row>
    <row r="112">
      <c r="B112" t="inlineStr">
        <is>
          <t>YES</t>
        </is>
      </c>
      <c r="C112" t="inlineStr">
        <is>
          <t>NULL</t>
        </is>
      </c>
      <c r="D112" t="inlineStr">
        <is>
          <t>NULL</t>
        </is>
      </c>
      <c r="E112" t="inlineStr">
        <is>
          <t>NULL</t>
        </is>
      </c>
      <c r="F112" t="inlineStr">
        <is>
          <t>NULL</t>
        </is>
      </c>
      <c r="G112" t="inlineStr">
        <is>
          <t>NULL</t>
        </is>
      </c>
      <c r="H112" t="inlineStr">
        <is>
          <t>NULL</t>
        </is>
      </c>
      <c r="I112" t="inlineStr">
        <is>
          <t>YES!PK__info_xml__3213E83F248D068F</t>
        </is>
      </c>
      <c r="J112" t="inlineStr">
        <is>
          <t>YES! 主键相关索引</t>
        </is>
      </c>
      <c r="K112" t="inlineStr">
        <is>
          <t xml:space="preserve"> NO!  	 id列源备映射错误，源端为int None位	期望更改为text	实际备端为int None位</t>
        </is>
      </c>
      <c r="EB112" t="inlineStr">
        <is>
          <t>['260', '', '', '', '', '', '', '', '', '', '', '', '', '', '', '', '', '', '', '']行 ['316', '', '', '', '', '', '', '', '', '', '', '', '', '', '', '', '', '', '', '']列，源：2125c1cc02594cddbcf2386a2ae8ca54 备：11924afde71f04136f93f33355c37b87</t>
        </is>
      </c>
    </row>
    <row r="113">
      <c r="B113" t="inlineStr">
        <is>
          <t>NULL</t>
        </is>
      </c>
      <c r="C113" t="inlineStr">
        <is>
          <t>NULL</t>
        </is>
      </c>
      <c r="D113" t="inlineStr">
        <is>
          <t>NULL</t>
        </is>
      </c>
      <c r="E113" t="inlineStr">
        <is>
          <t>NULL</t>
        </is>
      </c>
      <c r="F113" t="inlineStr">
        <is>
          <t>NULL</t>
        </is>
      </c>
      <c r="G113" t="inlineStr">
        <is>
          <t>NULL</t>
        </is>
      </c>
      <c r="H113" t="inlineStr">
        <is>
          <t>NULL</t>
        </is>
      </c>
      <c r="I113" t="inlineStr">
        <is>
          <t>NULL</t>
        </is>
      </c>
      <c r="J113" t="inlineStr">
        <is>
          <t>NULL</t>
        </is>
      </c>
      <c r="K113" t="inlineStr">
        <is>
          <t xml:space="preserve"> NO!  	 c_xml列源备映射错误，源端为xml -1位	期望更改为text	实际备端为xml -1位</t>
        </is>
      </c>
      <c r="EB113" t="inlineStr">
        <is>
          <t>['261', '', '', '', '', '', '', '', '', '', '', '', '', '', '', '', '', '', '', '']行 ['317', '', '', '', '', '', '', '', '', '', '', '', '', '', '', '', '', '', '', '']列，源：72512e32ea5f3330f73d13a96c10833d 备：03d8433a223decb0acda5e255b89dbd4</t>
        </is>
      </c>
    </row>
    <row r="114">
      <c r="A114" t="inlineStr">
        <is>
          <t>info_datetime_dml_batch1_pk_irp1</t>
        </is>
      </c>
      <c r="K114" t="inlineStr">
        <is>
          <t>[0;34m info_datetime_dml_batch1_pk_irp1 [0m源备字段数相同，源端字段：2 	备端字段2</t>
        </is>
      </c>
      <c r="W114" s="17">
        <f>HYPERLINK("#2026041919hbase0!AJ2","NO 源备存在差异，共23个")</f>
        <v/>
      </c>
      <c r="X114">
        <f>A114</f>
        <v/>
      </c>
      <c r="EB114" t="inlineStr">
        <is>
          <t>['262', '', '', '', '', '', '', '', '', '', '', '', '', '', '', '', '', '', '', '']行 ['318', '', '', '', '', '', '', '', '', '', '', '', '', '', '', '', '', '', '', '']列，源：01ea1a180dc082fb8652aeb607cc174f 备：c082f3c67ff0a0117bb0fe7328bec2dd</t>
        </is>
      </c>
    </row>
    <row r="115">
      <c r="B115" t="inlineStr">
        <is>
          <t>YES</t>
        </is>
      </c>
      <c r="C115" t="inlineStr">
        <is>
          <t>NULL</t>
        </is>
      </c>
      <c r="D115" t="inlineStr">
        <is>
          <t>NULL</t>
        </is>
      </c>
      <c r="E115" t="inlineStr">
        <is>
          <t>NULL</t>
        </is>
      </c>
      <c r="F115" t="inlineStr">
        <is>
          <t>NULL</t>
        </is>
      </c>
      <c r="G115" t="inlineStr">
        <is>
          <t>NULL</t>
        </is>
      </c>
      <c r="H115" t="inlineStr">
        <is>
          <t>NULL</t>
        </is>
      </c>
      <c r="I115" t="inlineStr">
        <is>
          <t>YES!PK__info_dat__3213E83F50262958</t>
        </is>
      </c>
      <c r="J115" t="inlineStr">
        <is>
          <t>YES! 主键相关索引</t>
        </is>
      </c>
      <c r="K115" t="inlineStr">
        <is>
          <t xml:space="preserve"> NO!  	 id列源备映射错误，源端为int None位	期望更改为text	实际备端为int None位</t>
        </is>
      </c>
      <c r="EB115" t="inlineStr">
        <is>
          <t>['263', '', '', '', '', '', '', '', '', '', '', '', '', '', '', '', '', '', '', '']行 ['319', '', '', '', '', '', '', '', '', '', '', '', '', '', '', '', '', '', '', '']列，源：9f1bc7e01dbe8de420586728e601a8c7 备：772c807d9e616f1bfd486ebc6fc9701e</t>
        </is>
      </c>
    </row>
    <row r="116">
      <c r="B116" t="inlineStr">
        <is>
          <t>NULL</t>
        </is>
      </c>
      <c r="C116" t="inlineStr">
        <is>
          <t>NULL</t>
        </is>
      </c>
      <c r="D116" t="inlineStr">
        <is>
          <t>NULL</t>
        </is>
      </c>
      <c r="E116" t="inlineStr">
        <is>
          <t>NULL</t>
        </is>
      </c>
      <c r="F116" t="inlineStr">
        <is>
          <t>NULL</t>
        </is>
      </c>
      <c r="G116" t="inlineStr">
        <is>
          <t>NULL</t>
        </is>
      </c>
      <c r="H116" t="inlineStr">
        <is>
          <t>NULL</t>
        </is>
      </c>
      <c r="I116" t="inlineStr">
        <is>
          <t>NULL</t>
        </is>
      </c>
      <c r="J116" t="inlineStr">
        <is>
          <t>NULL</t>
        </is>
      </c>
      <c r="K116" t="inlineStr">
        <is>
          <t xml:space="preserve"> NO!  	 c_datetime列源备映射错误，源端为datetime None位	期望更改为text	实际备端为datetime None位</t>
        </is>
      </c>
      <c r="EB116" t="inlineStr">
        <is>
          <t>['264', '', '', '', '', '', '', '', '', '', '', '', '', '', '', '', '', '', '', '']行 ['320', '', '', '', '', '', '', '', '', '', '', '', '', '', '', '', '', '', '', '']列，源：1ea24550b9765fc1e23e6b350fa24169 备：2a2c23ffc2759fd2244cfc53167e9dbc</t>
        </is>
      </c>
    </row>
    <row r="117">
      <c r="A117" t="inlineStr">
        <is>
          <t>info_varbinary_dml_batch1_pk_urp2</t>
        </is>
      </c>
      <c r="K117" t="inlineStr">
        <is>
          <t>[0;34m info_varbinary_dml_batch1_pk_urp2 [0m源备字段数相同，源端字段：4 	备端字段4</t>
        </is>
      </c>
      <c r="W117" s="17">
        <f>HYPERLINK("#2026041919hbase0!AK2","NO 源备存在差异，共9个")</f>
        <v/>
      </c>
      <c r="X117">
        <f>A117</f>
        <v/>
      </c>
      <c r="EB117" t="inlineStr">
        <is>
          <t>['265', '', '', '', '', '', '', '', '', '', '', '', '', '', '', '', '', '', '', '']行 ['351', '', '', '', '', '', '', '', '', '', '', '', '', '', '', '', '', '', '', '']列，源：4892716399f4025f4040f5af2b4b36ae 备：dea331679dcd883ab5465c855e84f4df</t>
        </is>
      </c>
    </row>
    <row r="118">
      <c r="B118" t="inlineStr">
        <is>
          <t>YES</t>
        </is>
      </c>
      <c r="C118" t="inlineStr">
        <is>
          <t>NULL</t>
        </is>
      </c>
      <c r="D118" t="inlineStr">
        <is>
          <t>NULL</t>
        </is>
      </c>
      <c r="E118" t="inlineStr">
        <is>
          <t>NULL</t>
        </is>
      </c>
      <c r="F118" t="inlineStr">
        <is>
          <t>NULL</t>
        </is>
      </c>
      <c r="G118" t="inlineStr">
        <is>
          <t>NULL</t>
        </is>
      </c>
      <c r="H118" t="inlineStr">
        <is>
          <t>NULL</t>
        </is>
      </c>
      <c r="I118" t="inlineStr">
        <is>
          <t>YES!PK__info_var__3213E83F8B6B86DE</t>
        </is>
      </c>
      <c r="J118" t="inlineStr">
        <is>
          <t>YES! 主键相关索引</t>
        </is>
      </c>
      <c r="K118" t="inlineStr">
        <is>
          <t xml:space="preserve"> NO!  	 id列源备映射错误，源端为int None位	期望更改为text	实际备端为int None位</t>
        </is>
      </c>
      <c r="EB118" t="inlineStr">
        <is>
          <t>['266', '', '', '', '', '', '', '', '', '', '', '', '', '', '', '', '', '', '', '']行 ['352', '', '', '', '', '', '', '', '', '', '', '', '', '', '', '', '', '', '', '']列，源：1c3c9e74271444ae404b36ff2aebb8e6 备：5000277365a8558ce56a76219bbdb8c6</t>
        </is>
      </c>
    </row>
    <row r="119">
      <c r="B119" t="inlineStr">
        <is>
          <t>NULL</t>
        </is>
      </c>
      <c r="C119" t="inlineStr">
        <is>
          <t>NULL</t>
        </is>
      </c>
      <c r="D119" t="inlineStr">
        <is>
          <t>NULL</t>
        </is>
      </c>
      <c r="E119" t="inlineStr">
        <is>
          <t>NULL</t>
        </is>
      </c>
      <c r="F119" t="inlineStr">
        <is>
          <t>NULL</t>
        </is>
      </c>
      <c r="G119" t="inlineStr">
        <is>
          <t>NULL</t>
        </is>
      </c>
      <c r="H119" t="inlineStr">
        <is>
          <t>NULL</t>
        </is>
      </c>
      <c r="I119" t="inlineStr">
        <is>
          <t>NULL</t>
        </is>
      </c>
      <c r="J119" t="inlineStr">
        <is>
          <t>NULL</t>
        </is>
      </c>
      <c r="K119" t="inlineStr">
        <is>
          <t xml:space="preserve"> NO!  	 c_varbinary列源备映射错误，源端为varbinary 1位	期望更改为text	实际备端为varbinary 1位</t>
        </is>
      </c>
      <c r="EB119" t="inlineStr">
        <is>
          <t>['267', '', '', '', '', '', '', '', '', '', '', '', '', '', '', '', '', '', '', '']行 ['353', '', '', '', '', '', '', '', '', '', '', '', '', '', '', '', '', '', '', '']列，源：88ccb3b81fb79f3208b670e848fa4c7f 备：f623fb608de2174542d4cdf68875a561</t>
        </is>
      </c>
    </row>
    <row r="120">
      <c r="B120" t="inlineStr">
        <is>
          <t>NULL</t>
        </is>
      </c>
      <c r="C120" t="inlineStr">
        <is>
          <t>NULL</t>
        </is>
      </c>
      <c r="D120" t="inlineStr">
        <is>
          <t>NULL</t>
        </is>
      </c>
      <c r="E120" t="inlineStr">
        <is>
          <t>NULL</t>
        </is>
      </c>
      <c r="F120" t="inlineStr">
        <is>
          <t>NULL</t>
        </is>
      </c>
      <c r="G120" t="inlineStr">
        <is>
          <t>NULL</t>
        </is>
      </c>
      <c r="H120" t="inlineStr">
        <is>
          <t>NULL</t>
        </is>
      </c>
      <c r="I120" t="inlineStr">
        <is>
          <t>NULL</t>
        </is>
      </c>
      <c r="J120" t="inlineStr">
        <is>
          <t>NULL</t>
        </is>
      </c>
      <c r="K120" t="inlineStr">
        <is>
          <t xml:space="preserve"> NO!  	 c_varbinary_100列源备映射错误，源端为varbinary 100位	期望更改为text	实际备端为varbinary 100位</t>
        </is>
      </c>
      <c r="EB120" t="inlineStr">
        <is>
          <t>['268', '', '', '', '', '', '', '', '', '', '', '', '', '', '', '', '', '', '', '']行 ['354', '', '', '', '', '', '', '', '', '', '', '', '', '', '', '', '', '', '', '']列，源：9a6e6ee5705b26fe7506519a1c7e13a2 备：af39f93faaf3e0315514225df887f4f7</t>
        </is>
      </c>
    </row>
    <row r="121">
      <c r="B121" t="inlineStr">
        <is>
          <t>NULL</t>
        </is>
      </c>
      <c r="C121" t="inlineStr">
        <is>
          <t>NULL</t>
        </is>
      </c>
      <c r="D121" t="inlineStr">
        <is>
          <t>NULL</t>
        </is>
      </c>
      <c r="E121" t="inlineStr">
        <is>
          <t>NULL</t>
        </is>
      </c>
      <c r="F121" t="inlineStr">
        <is>
          <t>NULL</t>
        </is>
      </c>
      <c r="G121" t="inlineStr">
        <is>
          <t>NULL</t>
        </is>
      </c>
      <c r="H121" t="inlineStr">
        <is>
          <t>NULL</t>
        </is>
      </c>
      <c r="I121" t="inlineStr">
        <is>
          <t>NULL</t>
        </is>
      </c>
      <c r="J121" t="inlineStr">
        <is>
          <t>NULL</t>
        </is>
      </c>
      <c r="K121" t="inlineStr">
        <is>
          <t xml:space="preserve"> NO!  	 c_varbinary_200列源备映射错误，源端为varbinary 200位	期望更改为text	实际备端为varbinary 200位</t>
        </is>
      </c>
      <c r="EB121" t="inlineStr">
        <is>
          <t>['269', '', '', '', '', '', '', '', '', '', '', '', '', '', '', '', '', '', '', '']行 ['355', '', '', '', '', '', '', '', '', '', '', '', '', '', '', '', '', '', '', '']列，源：ce06005dc44a1c5064121ee5682b0f2b 备：beb84bf8341e592659d7df21bfff19ce</t>
        </is>
      </c>
    </row>
    <row r="122">
      <c r="A122" t="inlineStr">
        <is>
          <t>info_datetime_dml_batch1_pk_irp2</t>
        </is>
      </c>
      <c r="K122" t="inlineStr">
        <is>
          <t>[0;34m info_datetime_dml_batch1_pk_irp2 [0m源备字段数相同，源端字段：2 	备端字段2</t>
        </is>
      </c>
      <c r="W122" s="17">
        <f>HYPERLINK("#2026041919hbase0!AL2","NO 源备存在差异，共78个")</f>
        <v/>
      </c>
      <c r="X122">
        <f>A122</f>
        <v/>
      </c>
      <c r="EB122" t="inlineStr">
        <is>
          <t>['270', '', '', '', '', '', '', '', '', '', '', '', '', '', '', '', '', '', '', '']行 ['356', '', '', '', '', '', '', '', '', '', '', '', '', '', '', '', '', '', '', '']列，源：5b6b4f60cda13dc2f0e37e05b64c3e44 备：71b2d4a62314a73a0b6596cb50d9bdef</t>
        </is>
      </c>
    </row>
    <row r="123">
      <c r="B123" t="inlineStr">
        <is>
          <t>YES</t>
        </is>
      </c>
      <c r="C123" t="inlineStr">
        <is>
          <t>NULL</t>
        </is>
      </c>
      <c r="D123" t="inlineStr">
        <is>
          <t>NULL</t>
        </is>
      </c>
      <c r="E123" t="inlineStr">
        <is>
          <t>NULL</t>
        </is>
      </c>
      <c r="F123" t="inlineStr">
        <is>
          <t>NULL</t>
        </is>
      </c>
      <c r="G123" t="inlineStr">
        <is>
          <t>NULL</t>
        </is>
      </c>
      <c r="H123" t="inlineStr">
        <is>
          <t>NULL</t>
        </is>
      </c>
      <c r="I123" t="inlineStr">
        <is>
          <t>YES!PK__info_dat__3213E83FEBF995EB</t>
        </is>
      </c>
      <c r="J123" t="inlineStr">
        <is>
          <t>YES! 主键相关索引</t>
        </is>
      </c>
      <c r="K123" t="inlineStr">
        <is>
          <t xml:space="preserve"> NO!  	 id列源备映射错误，源端为int None位	期望更改为text	实际备端为int None位</t>
        </is>
      </c>
      <c r="EB123" t="inlineStr">
        <is>
          <t>['301', '', '', '', '', '', '', '', '', '', '', '', '', '', '', '', '', '', '', '']行 ['357', '', '', '', '', '', '', '', '', '', '', '', '', '', '', '', '', '', '', '']列，源：53b142ba461624c9d44a73a168eab0a5 备：fdad4e6164a2e0cf4638f54ed5607997</t>
        </is>
      </c>
    </row>
    <row r="124">
      <c r="B124" t="inlineStr">
        <is>
          <t>NULL</t>
        </is>
      </c>
      <c r="C124" t="inlineStr">
        <is>
          <t>NULL</t>
        </is>
      </c>
      <c r="D124" t="inlineStr">
        <is>
          <t>NULL</t>
        </is>
      </c>
      <c r="E124" t="inlineStr">
        <is>
          <t>NULL</t>
        </is>
      </c>
      <c r="F124" t="inlineStr">
        <is>
          <t>NULL</t>
        </is>
      </c>
      <c r="G124" t="inlineStr">
        <is>
          <t>NULL</t>
        </is>
      </c>
      <c r="H124" t="inlineStr">
        <is>
          <t>NULL</t>
        </is>
      </c>
      <c r="I124" t="inlineStr">
        <is>
          <t>NULL</t>
        </is>
      </c>
      <c r="J124" t="inlineStr">
        <is>
          <t>NULL</t>
        </is>
      </c>
      <c r="K124" t="inlineStr">
        <is>
          <t xml:space="preserve"> NO!  	 c_datetime列源备映射错误，源端为datetime None位	期望更改为text	实际备端为datetime None位</t>
        </is>
      </c>
      <c r="EB124" t="inlineStr">
        <is>
          <t>['302', '', '', '', '', '', '', '', '', '', '', '', '', '', '', '', '', '', '', '']行 ['358', '', '', '', '', '', '', '', '', '', '', '', '', '', '', '', '', '', '', '']列，源：e6bf01416905add2ea764cca591ace13 备：a57adfdaa1476c011809f108bb76af0f</t>
        </is>
      </c>
    </row>
    <row r="125">
      <c r="A125" t="inlineStr">
        <is>
          <t>info_datetimeoffset_dml_single_pk</t>
        </is>
      </c>
      <c r="K125" t="inlineStr">
        <is>
          <t>[0;34m info_datetimeoffset_dml_single_pk [0m源备字段数相同，源端字段：9 	备端字段9</t>
        </is>
      </c>
      <c r="W125" t="inlineStr">
        <is>
          <t>YES 源备无差异</t>
        </is>
      </c>
      <c r="X125">
        <f>A125</f>
        <v/>
      </c>
      <c r="EB125" t="inlineStr">
        <is>
          <t>['303', '', '', '', '', '', '', '', '', '', '', '', '', '', '', '', '', '', '', '']行 ['359', '', '', '', '', '', '', '', '', '', '', '', '', '', '', '', '', '', '', '']列，源：4898a6ec3a7d0c1df20cd8296e884248 备：74e0ada171a99978b8f03398ca5404ec</t>
        </is>
      </c>
    </row>
    <row r="126">
      <c r="B126" t="inlineStr">
        <is>
          <t>YES</t>
        </is>
      </c>
      <c r="C126" t="inlineStr">
        <is>
          <t>NULL</t>
        </is>
      </c>
      <c r="D126" t="inlineStr">
        <is>
          <t>NULL</t>
        </is>
      </c>
      <c r="E126" t="inlineStr">
        <is>
          <t>NULL</t>
        </is>
      </c>
      <c r="F126" t="inlineStr">
        <is>
          <t>NULL</t>
        </is>
      </c>
      <c r="G126" t="inlineStr">
        <is>
          <t>NULL</t>
        </is>
      </c>
      <c r="H126" t="inlineStr">
        <is>
          <t>NULL</t>
        </is>
      </c>
      <c r="I126" t="inlineStr">
        <is>
          <t>YES!PK__info_dat__3213E83FD2DA10ED</t>
        </is>
      </c>
      <c r="J126" t="inlineStr">
        <is>
          <t>YES! 主键相关索引</t>
        </is>
      </c>
      <c r="K126" t="inlineStr">
        <is>
          <t xml:space="preserve"> NO!  	 id列源备映射错误，源端为int None位	期望更改为text	实际备端为int None位</t>
        </is>
      </c>
      <c r="EB126" t="inlineStr">
        <is>
          <t>['304', '', '', '', '', '', '', '', '', '', '', '', '', '', '', '', '', '', '', '']行 ['360', '', '', '', '', '', '', '', '', '', '', '', '', '', '', '', '', '', '', '']列，源：008774cd5739180d9402913d8db2a73e 备：4fe3bffe813faa2dad43fe60d34884df</t>
        </is>
      </c>
    </row>
    <row r="127">
      <c r="B127" t="inlineStr">
        <is>
          <t>NULL</t>
        </is>
      </c>
      <c r="C127" t="inlineStr">
        <is>
          <t>NULL</t>
        </is>
      </c>
      <c r="D127" t="inlineStr">
        <is>
          <t>NULL</t>
        </is>
      </c>
      <c r="E127" t="inlineStr">
        <is>
          <t>NULL</t>
        </is>
      </c>
      <c r="F127" t="inlineStr">
        <is>
          <t>NULL</t>
        </is>
      </c>
      <c r="G127" t="inlineStr">
        <is>
          <t>NULL</t>
        </is>
      </c>
      <c r="H127" t="inlineStr">
        <is>
          <t>NULL</t>
        </is>
      </c>
      <c r="I127" t="inlineStr">
        <is>
          <t>NULL</t>
        </is>
      </c>
      <c r="J127" t="inlineStr">
        <is>
          <t>NULL</t>
        </is>
      </c>
      <c r="K127" t="inlineStr">
        <is>
          <t xml:space="preserve"> NO!  	 c_dtoffset_0列源备映射错误，源端为datetimeoffset None位	期望更改为text	实际备端为datetimeoffset None位</t>
        </is>
      </c>
      <c r="EB127" t="inlineStr">
        <is>
          <t>['305', '', '', '', '', '', '', '', '', '', '', '', '', '', '', '', '', '', '', '']行 ['361', '', '', '', '', '', '', '', '', '', '', '', '', '', '', '', '', '', '', '']列，源：487cfdc61aba42796a9fb90e48678cba 备：f2f379eb55d4179bd31461c09300e170</t>
        </is>
      </c>
    </row>
    <row r="128">
      <c r="B128" t="inlineStr">
        <is>
          <t>NULL</t>
        </is>
      </c>
      <c r="C128" t="inlineStr">
        <is>
          <t>NULL</t>
        </is>
      </c>
      <c r="D128" t="inlineStr">
        <is>
          <t>NULL</t>
        </is>
      </c>
      <c r="E128" t="inlineStr">
        <is>
          <t>NULL</t>
        </is>
      </c>
      <c r="F128" t="inlineStr">
        <is>
          <t>NULL</t>
        </is>
      </c>
      <c r="G128" t="inlineStr">
        <is>
          <t>NULL</t>
        </is>
      </c>
      <c r="H128" t="inlineStr">
        <is>
          <t>NULL</t>
        </is>
      </c>
      <c r="I128" t="inlineStr">
        <is>
          <t>NULL</t>
        </is>
      </c>
      <c r="J128" t="inlineStr">
        <is>
          <t>NULL</t>
        </is>
      </c>
      <c r="K128" t="inlineStr">
        <is>
          <t xml:space="preserve"> NO!  	 c_dtoffset_1列源备映射错误，源端为datetimeoffset None位	期望更改为text	实际备端为datetimeoffset None位</t>
        </is>
      </c>
      <c r="EB128" t="inlineStr">
        <is>
          <t>['306', '', '', '', '', '', '', '', '', '', '', '', '', '', '', '', '', '', '', '']行 ['362', '', '', '', '', '', '', '', '', '', '', '', '', '', '', '', '', '', '', '']列，源：e7e578540c4ef24b3edb940e7e7e3b4f 备：8f75e75e609de40a11074d2e28b37ad3</t>
        </is>
      </c>
    </row>
    <row r="129">
      <c r="B129" t="inlineStr">
        <is>
          <t>NULL</t>
        </is>
      </c>
      <c r="C129" t="inlineStr">
        <is>
          <t>NULL</t>
        </is>
      </c>
      <c r="D129" t="inlineStr">
        <is>
          <t>NULL</t>
        </is>
      </c>
      <c r="E129" t="inlineStr">
        <is>
          <t>NULL</t>
        </is>
      </c>
      <c r="F129" t="inlineStr">
        <is>
          <t>NULL</t>
        </is>
      </c>
      <c r="G129" t="inlineStr">
        <is>
          <t>NULL</t>
        </is>
      </c>
      <c r="H129" t="inlineStr">
        <is>
          <t>NULL</t>
        </is>
      </c>
      <c r="I129" t="inlineStr">
        <is>
          <t>NULL</t>
        </is>
      </c>
      <c r="J129" t="inlineStr">
        <is>
          <t>NULL</t>
        </is>
      </c>
      <c r="K129" t="inlineStr">
        <is>
          <t xml:space="preserve"> NO!  	 c_dtoffset_2列源备映射错误，源端为datetimeoffset None位	期望更改为text	实际备端为datetimeoffset None位</t>
        </is>
      </c>
      <c r="EB129" t="inlineStr">
        <is>
          <t>['307', '', '', '', '', '', '', '', '', '', '', '', '', '', '', '', '', '', '', '']行 ['363', '', '', '', '', '', '', '', '', '', '', '', '', '', '', '', '', '', '', '']列，源：2d867cd6274efb9aee92c8f744b52894 备：0c7d4816a3491159b86eb05e836bc1d7</t>
        </is>
      </c>
    </row>
    <row r="130">
      <c r="B130" t="inlineStr">
        <is>
          <t>NULL</t>
        </is>
      </c>
      <c r="C130" t="inlineStr">
        <is>
          <t>NULL</t>
        </is>
      </c>
      <c r="D130" t="inlineStr">
        <is>
          <t>NULL</t>
        </is>
      </c>
      <c r="E130" t="inlineStr">
        <is>
          <t>NULL</t>
        </is>
      </c>
      <c r="F130" t="inlineStr">
        <is>
          <t>NULL</t>
        </is>
      </c>
      <c r="G130" t="inlineStr">
        <is>
          <t>NULL</t>
        </is>
      </c>
      <c r="H130" t="inlineStr">
        <is>
          <t>NULL</t>
        </is>
      </c>
      <c r="I130" t="inlineStr">
        <is>
          <t>NULL</t>
        </is>
      </c>
      <c r="J130" t="inlineStr">
        <is>
          <t>NULL</t>
        </is>
      </c>
      <c r="K130" t="inlineStr">
        <is>
          <t xml:space="preserve"> NO!  	 c_dtoffset_3列源备映射错误，源端为datetimeoffset None位	期望更改为text	实际备端为datetimeoffset None位</t>
        </is>
      </c>
      <c r="EB130" t="inlineStr">
        <is>
          <t>['308', '', '', '', '', '', '', '', '', '', '', '', '', '', '', '', '', '', '', '']行 ['364', '', '', '', '', '', '', '', '', '', '', '', '', '', '', '', '', '', '', '']列，源：d21a361325cb9e60a32c6d9e93219f65 备：7d9c7fe4b0c754c9b4898c693ac9ac9e</t>
        </is>
      </c>
    </row>
    <row r="131">
      <c r="B131" t="inlineStr">
        <is>
          <t>NULL</t>
        </is>
      </c>
      <c r="C131" t="inlineStr">
        <is>
          <t>NULL</t>
        </is>
      </c>
      <c r="D131" t="inlineStr">
        <is>
          <t>NULL</t>
        </is>
      </c>
      <c r="E131" t="inlineStr">
        <is>
          <t>NULL</t>
        </is>
      </c>
      <c r="F131" t="inlineStr">
        <is>
          <t>NULL</t>
        </is>
      </c>
      <c r="G131" t="inlineStr">
        <is>
          <t>NULL</t>
        </is>
      </c>
      <c r="H131" t="inlineStr">
        <is>
          <t>NULL</t>
        </is>
      </c>
      <c r="I131" t="inlineStr">
        <is>
          <t>NULL</t>
        </is>
      </c>
      <c r="J131" t="inlineStr">
        <is>
          <t>NULL</t>
        </is>
      </c>
      <c r="K131" t="inlineStr">
        <is>
          <t xml:space="preserve"> NO!  	 c_dtoffset_4列源备映射错误，源端为datetimeoffset None位	期望更改为text	实际备端为datetimeoffset None位</t>
        </is>
      </c>
      <c r="EB131" t="inlineStr">
        <is>
          <t>['309', '', '', '', '', '', '', '', '', '', '', '', '', '', '', '', '', '', '', '']行 ['365', '', '', '', '', '', '', '', '', '', '', '', '', '', '', '', '', '', '', '']列，源：15762f01e35bd8359499d677fad6268d 备：34febf96ece9d22539c1b789b988ceaf</t>
        </is>
      </c>
    </row>
    <row r="132">
      <c r="B132" t="inlineStr">
        <is>
          <t>NULL</t>
        </is>
      </c>
      <c r="C132" t="inlineStr">
        <is>
          <t>NULL</t>
        </is>
      </c>
      <c r="D132" t="inlineStr">
        <is>
          <t>NULL</t>
        </is>
      </c>
      <c r="E132" t="inlineStr">
        <is>
          <t>NULL</t>
        </is>
      </c>
      <c r="F132" t="inlineStr">
        <is>
          <t>NULL</t>
        </is>
      </c>
      <c r="G132" t="inlineStr">
        <is>
          <t>NULL</t>
        </is>
      </c>
      <c r="H132" t="inlineStr">
        <is>
          <t>NULL</t>
        </is>
      </c>
      <c r="I132" t="inlineStr">
        <is>
          <t>NULL</t>
        </is>
      </c>
      <c r="J132" t="inlineStr">
        <is>
          <t>NULL</t>
        </is>
      </c>
      <c r="K132" t="inlineStr">
        <is>
          <t xml:space="preserve"> NO!  	 c_dtoffset_5列源备映射错误，源端为datetimeoffset None位	期望更改为text	实际备端为datetimeoffset None位</t>
        </is>
      </c>
      <c r="EB132" t="inlineStr">
        <is>
          <t>['310', '', '', '', '', '', '', '', '', '', '', '', '', '', '', '', '', '', '', '']行 ['366', '', '', '', '', '', '', '', '', '', '', '', '', '', '', '', '', '', '', '']列，源：3c0ab3a5f23b7a4db751154475a11e21 备：1a8adc520ffe5d0386a92598f214cd7b</t>
        </is>
      </c>
    </row>
    <row r="133">
      <c r="B133" t="inlineStr">
        <is>
          <t>NULL</t>
        </is>
      </c>
      <c r="C133" t="inlineStr">
        <is>
          <t>NULL</t>
        </is>
      </c>
      <c r="D133" t="inlineStr">
        <is>
          <t>NULL</t>
        </is>
      </c>
      <c r="E133" t="inlineStr">
        <is>
          <t>NULL</t>
        </is>
      </c>
      <c r="F133" t="inlineStr">
        <is>
          <t>NULL</t>
        </is>
      </c>
      <c r="G133" t="inlineStr">
        <is>
          <t>NULL</t>
        </is>
      </c>
      <c r="H133" t="inlineStr">
        <is>
          <t>NULL</t>
        </is>
      </c>
      <c r="I133" t="inlineStr">
        <is>
          <t>NULL</t>
        </is>
      </c>
      <c r="J133" t="inlineStr">
        <is>
          <t>NULL</t>
        </is>
      </c>
      <c r="K133" t="inlineStr">
        <is>
          <t xml:space="preserve"> NO!  	 c_dtoffset_6列源备映射错误，源端为datetimeoffset None位	期望更改为text	实际备端为datetimeoffset None位</t>
        </is>
      </c>
      <c r="EB133" t="inlineStr">
        <is>
          <t>['311', '', '', '', '', '', '', '', '', '', '', '', '', '', '', '', '', '', '', '']行 ['367', '', '', '', '', '', '', '', '', '', '', '', '', '', '', '', '', '', '', '']列，源：20f293d44b4db267fcd2d4986355755e 备：8b3981eb45a611e126099a4cb98474c0</t>
        </is>
      </c>
    </row>
    <row r="134">
      <c r="B134" t="inlineStr">
        <is>
          <t>NULL</t>
        </is>
      </c>
      <c r="C134" t="inlineStr">
        <is>
          <t>NULL</t>
        </is>
      </c>
      <c r="D134" t="inlineStr">
        <is>
          <t>NULL</t>
        </is>
      </c>
      <c r="E134" t="inlineStr">
        <is>
          <t>NULL</t>
        </is>
      </c>
      <c r="F134" t="inlineStr">
        <is>
          <t>NULL</t>
        </is>
      </c>
      <c r="G134" t="inlineStr">
        <is>
          <t>NULL</t>
        </is>
      </c>
      <c r="H134" t="inlineStr">
        <is>
          <t>NULL</t>
        </is>
      </c>
      <c r="I134" t="inlineStr">
        <is>
          <t>NULL</t>
        </is>
      </c>
      <c r="J134" t="inlineStr">
        <is>
          <t>NULL</t>
        </is>
      </c>
      <c r="K134" t="inlineStr">
        <is>
          <t xml:space="preserve"> NO!  	 c_dtoffset列源备映射错误，源端为datetimeoffset None位	期望更改为text	实际备端为datetimeoffset None位</t>
        </is>
      </c>
      <c r="EB134" t="inlineStr">
        <is>
          <t>['312', '', '', '', '', '', '', '', '', '', '', '', '', '', '', '', '', '', '', '']行 ['368', '', '', '', '', '', '', '', '', '', '', '', '', '', '', '', '', '', '', '']列，源：e5e83cafe214773de4b5c43d934f9b1e 备：75766d5d6ae13dfa7d9add7da97c841d</t>
        </is>
      </c>
    </row>
    <row r="135">
      <c r="A135" t="inlineStr">
        <is>
          <t>info_text_dml_single_pk_drp</t>
        </is>
      </c>
      <c r="K135" t="inlineStr">
        <is>
          <t>[0;34m info_text_dml_single_pk_drp [0m源备字段数相同，源端字段：3 	备端字段3</t>
        </is>
      </c>
      <c r="W135" t="inlineStr">
        <is>
          <t>YES 源备无差异</t>
        </is>
      </c>
      <c r="X135">
        <f>A135</f>
        <v/>
      </c>
      <c r="EB135" t="inlineStr">
        <is>
          <t>['313', '', '', '', '', '', '', '', '', '', '', '', '', '', '', '', '', '', '', '']行 ['369', '', '', '', '', '', '', '', '', '', '', '', '', '', '', '', '', '', '', '']列，源：b354fc5f83582fad3a229626b34b1be4 备：0da376d21abceaa1f4f7f2e605f090fa</t>
        </is>
      </c>
    </row>
    <row r="136">
      <c r="B136" t="inlineStr">
        <is>
          <t>YES</t>
        </is>
      </c>
      <c r="C136" t="inlineStr">
        <is>
          <t>NULL</t>
        </is>
      </c>
      <c r="D136" t="inlineStr">
        <is>
          <t>NULL</t>
        </is>
      </c>
      <c r="E136" t="inlineStr">
        <is>
          <t>NULL</t>
        </is>
      </c>
      <c r="F136" t="inlineStr">
        <is>
          <t>NULL</t>
        </is>
      </c>
      <c r="G136" t="inlineStr">
        <is>
          <t>NULL</t>
        </is>
      </c>
      <c r="H136" t="inlineStr">
        <is>
          <t>NULL</t>
        </is>
      </c>
      <c r="I136" t="inlineStr">
        <is>
          <t>YES!PK__info_tex__3213E83FE3762927</t>
        </is>
      </c>
      <c r="J136" t="inlineStr">
        <is>
          <t>YES! 主键相关索引</t>
        </is>
      </c>
      <c r="K136" t="inlineStr">
        <is>
          <t xml:space="preserve"> NO!  	 id列源备映射错误，源端为int None位	期望更改为text	实际备端为int None位</t>
        </is>
      </c>
      <c r="EB136" t="inlineStr">
        <is>
          <t>['314', '', '', '', '', '', '', '', '', '', '', '', '', '', '', '', '', '', '', '']行 ['370', '', '', '', '', '', '', '', '', '', '', '', '', '', '', '', '', '', '', '']列，源：3f6acbd42fb24afdf820f358f898d36e 备：3aac0a66375db00e8fd7436e9a668668</t>
        </is>
      </c>
    </row>
    <row r="137">
      <c r="B137" t="inlineStr">
        <is>
          <t>NULL</t>
        </is>
      </c>
      <c r="C137" t="inlineStr">
        <is>
          <t>NULL</t>
        </is>
      </c>
      <c r="D137" t="inlineStr">
        <is>
          <t>NULL</t>
        </is>
      </c>
      <c r="E137" t="inlineStr">
        <is>
          <t>NULL</t>
        </is>
      </c>
      <c r="F137" t="inlineStr">
        <is>
          <t>NULL</t>
        </is>
      </c>
      <c r="G137" t="inlineStr">
        <is>
          <t>NULL</t>
        </is>
      </c>
      <c r="H137" t="inlineStr">
        <is>
          <t>NULL</t>
        </is>
      </c>
      <c r="I137" t="inlineStr">
        <is>
          <t>NULL</t>
        </is>
      </c>
      <c r="J137" t="inlineStr">
        <is>
          <t>NULL</t>
        </is>
      </c>
      <c r="K137" t="inlineStr">
        <is>
          <t>YES! 	 c_text列源备映射正确，源端为text 2147483647位	期望更改为text	实际备端为text 2147483647位</t>
        </is>
      </c>
      <c r="EB137" t="inlineStr">
        <is>
          <t>['315', '', '', '', '', '', '', '', '', '', '', '', '', '', '', '', '', '', '', '']行 ['4', '123', '12345', '1234567890', '1234567890123456', '123456789123456789', '-1234567890123456789012345', '0.0000000000000000000000008', '1234567890123456789012345678', '-123456789012.1234', '123456789123456789', '-1234567890123456789012345', '0.0000000000000000000000008', '1234567890123456789012345678', '-123456789012.12', '0', '299792448', '-500000', '1234.5678', '1']列，源：20d2d23d80b5108981451d51e800ab7f 备：f33dd6220d6a33b0f77f242af814bd33</t>
        </is>
      </c>
    </row>
    <row r="138">
      <c r="B138" t="inlineStr">
        <is>
          <t>NULL</t>
        </is>
      </c>
      <c r="C138" t="inlineStr">
        <is>
          <t>NULL</t>
        </is>
      </c>
      <c r="D138" t="inlineStr">
        <is>
          <t>NULL</t>
        </is>
      </c>
      <c r="E138" t="inlineStr">
        <is>
          <t>NULL</t>
        </is>
      </c>
      <c r="F138" t="inlineStr">
        <is>
          <t>NULL</t>
        </is>
      </c>
      <c r="G138" t="inlineStr">
        <is>
          <t>NULL</t>
        </is>
      </c>
      <c r="H138" t="inlineStr">
        <is>
          <t>NULL</t>
        </is>
      </c>
      <c r="I138" t="inlineStr">
        <is>
          <t>NULL</t>
        </is>
      </c>
      <c r="J138" t="inlineStr">
        <is>
          <t>NULL</t>
        </is>
      </c>
      <c r="K138" t="inlineStr">
        <is>
          <t xml:space="preserve"> NO!  	 c_ntext列源备映射错误，源端为ntext 2147483646位	期望更改为text	实际备端为ntext 2147483646位</t>
        </is>
      </c>
      <c r="EB138" t="inlineStr">
        <is>
          <t>['316', '', '', '', '', '', '', '', '', '', '', '', '', '', '', '', '', '', '', '']行 ['404', '123', '12345', '1234567890', '1234567890123456', '', '', '', '', '', '', '', '', '', '', '', '', '', '', '']列，源：11924afde71f04136f93f33355c37b87 备：425733953aa620fcec13db4b1d6d7091</t>
        </is>
      </c>
    </row>
    <row r="139">
      <c r="A139" t="inlineStr">
        <is>
          <t>info_datetime_dml_batch2_pk_irp1</t>
        </is>
      </c>
      <c r="K139" t="inlineStr">
        <is>
          <t>[0;34m info_datetime_dml_batch2_pk_irp1 [0m源备字段数相同，源端字段：2 	备端字段2</t>
        </is>
      </c>
      <c r="W139" s="17">
        <f>HYPERLINK("#2026041919hbase0!AM2","NO 源备存在差异，共23个")</f>
        <v/>
      </c>
      <c r="X139">
        <f>A139</f>
        <v/>
      </c>
      <c r="EB139" t="inlineStr">
        <is>
          <t>['317', '', '', '', '', '', '', '', '', '', '', '', '', '', '', '', '', '', '', '']行 ['406', '127', '255', '65535', '4294967295', '', '', '', '', '', '', '', '', '', '', '', '', '', '', '']列，源：03d8433a223decb0acda5e255b89dbd4 备：f9f7e54761fdaffa0600e1abdacceb00</t>
        </is>
      </c>
    </row>
    <row r="140">
      <c r="B140" t="inlineStr">
        <is>
          <t>YES</t>
        </is>
      </c>
      <c r="C140" t="inlineStr">
        <is>
          <t>NULL</t>
        </is>
      </c>
      <c r="D140" t="inlineStr">
        <is>
          <t>NULL</t>
        </is>
      </c>
      <c r="E140" t="inlineStr">
        <is>
          <t>NULL</t>
        </is>
      </c>
      <c r="F140" t="inlineStr">
        <is>
          <t>NULL</t>
        </is>
      </c>
      <c r="G140" t="inlineStr">
        <is>
          <t>NULL</t>
        </is>
      </c>
      <c r="H140" t="inlineStr">
        <is>
          <t>NULL</t>
        </is>
      </c>
      <c r="I140" t="inlineStr">
        <is>
          <t>YES!PK__info_dat__3213E83FA2485911</t>
        </is>
      </c>
      <c r="J140" t="inlineStr">
        <is>
          <t>YES! 主键相关索引</t>
        </is>
      </c>
      <c r="K140" t="inlineStr">
        <is>
          <t xml:space="preserve"> NO!  	 id列源备映射错误，源端为int None位	期望更改为text	实际备端为int None位</t>
        </is>
      </c>
      <c r="EB140" t="inlineStr">
        <is>
          <t>['318', '', '', '', '', '', '', '', '', '', '', '', '', '', '', '', '', '', '', '']行 ['454', '123', '12345', '1234567890', '1234567890123456', '', '', '', '', '', '', '', '', '', '', '', '', '', '', '']列，源：c082f3c67ff0a0117bb0fe7328bec2dd 备：4065524d4190f444b588d4090ffefe59</t>
        </is>
      </c>
    </row>
    <row r="141">
      <c r="B141" t="inlineStr">
        <is>
          <t>NULL</t>
        </is>
      </c>
      <c r="C141" t="inlineStr">
        <is>
          <t>NULL</t>
        </is>
      </c>
      <c r="D141" t="inlineStr">
        <is>
          <t>NULL</t>
        </is>
      </c>
      <c r="E141" t="inlineStr">
        <is>
          <t>NULL</t>
        </is>
      </c>
      <c r="F141" t="inlineStr">
        <is>
          <t>NULL</t>
        </is>
      </c>
      <c r="G141" t="inlineStr">
        <is>
          <t>NULL</t>
        </is>
      </c>
      <c r="H141" t="inlineStr">
        <is>
          <t>NULL</t>
        </is>
      </c>
      <c r="I141" t="inlineStr">
        <is>
          <t>NULL</t>
        </is>
      </c>
      <c r="J141" t="inlineStr">
        <is>
          <t>NULL</t>
        </is>
      </c>
      <c r="K141" t="inlineStr">
        <is>
          <t xml:space="preserve"> NO!  	 c_datetime列源备映射错误，源端为datetime None位	期望更改为text	实际备端为datetime None位</t>
        </is>
      </c>
      <c r="EB141" t="inlineStr">
        <is>
          <t>['319', '', '', '', '', '', '', '', '', '', '', '', '', '', '', '', '', '', '', '']行 ['456', '127', '255', '65535', '4294967295', '', '', '', '', '', '', '', '', '', '', '', '', '', '', '']列，源：772c807d9e616f1bfd486ebc6fc9701e 备：53f61725f59f1e5f85afc835af0c00b2</t>
        </is>
      </c>
    </row>
    <row r="142">
      <c r="A142" t="inlineStr">
        <is>
          <t>info_int_dml_batch1_pk_urp2</t>
        </is>
      </c>
      <c r="K142" t="inlineStr">
        <is>
          <t>[0;34m info_int_dml_batch1_pk_urp2 [0m源备字段数相同，源端字段：20 	备端字段20</t>
        </is>
      </c>
      <c r="W142" s="17">
        <f>HYPERLINK("#2026041919hbase0!AN2","NO 源备存在差异，共19个")</f>
        <v/>
      </c>
      <c r="X142">
        <f>A142</f>
        <v/>
      </c>
      <c r="EB142" t="inlineStr">
        <is>
          <t>['320', '', '', '', '', '', '', '', '', '', '', '', '', '', '', '', '', '', '', '']行 ['5', '0', '0', '0', '0', '', '', '', '', '', '', '', '', '', '', '', '', '', '', '']列，源：2a2c23ffc2759fd2244cfc53167e9dbc 备：61f2d024da6dc2a41105ba753fc689fe</t>
        </is>
      </c>
    </row>
    <row r="143">
      <c r="B143" t="inlineStr">
        <is>
          <t>YES</t>
        </is>
      </c>
      <c r="C143" t="inlineStr">
        <is>
          <t>NULL</t>
        </is>
      </c>
      <c r="D143" t="inlineStr">
        <is>
          <t>NULL</t>
        </is>
      </c>
      <c r="E143" t="inlineStr">
        <is>
          <t>NULL</t>
        </is>
      </c>
      <c r="F143" t="inlineStr">
        <is>
          <t>NULL</t>
        </is>
      </c>
      <c r="G143" t="inlineStr">
        <is>
          <t>NULL</t>
        </is>
      </c>
      <c r="H143" t="inlineStr">
        <is>
          <t>NULL</t>
        </is>
      </c>
      <c r="I143" t="inlineStr">
        <is>
          <t>YES!PK__info_int__3213E83FF3E976FE</t>
        </is>
      </c>
      <c r="J143" t="inlineStr">
        <is>
          <t>YES! 主键相关索引</t>
        </is>
      </c>
      <c r="K143" t="inlineStr">
        <is>
          <t xml:space="preserve"> NO!  	 id列源备映射错误，源端为int None位	期望更改为text	实际备端为int None位</t>
        </is>
      </c>
      <c r="EB143" t="inlineStr">
        <is>
          <t>['351', '', '', '', '', '', '', '', '', '', '', '', '', '', '', '', '', '', '', '']行 ['502', '', '', '', '', '999999999999999999', '100000000000000000000000000000000000000', '1', '10000000000000000000000000000', '999999999999999.9999', '999999999999999999', '100000000000000000000000000000000000000', '1', '10000000000000000000000000000', '9999999999999999.99', '', '', '', '', '']列，源：dea331679dcd883ab5465c855e84f4df 备：b597c1d21e8339960a681b6f5aad6376</t>
        </is>
      </c>
    </row>
    <row r="144">
      <c r="B144" t="inlineStr">
        <is>
          <t>NULL</t>
        </is>
      </c>
      <c r="C144" t="inlineStr">
        <is>
          <t>NULL</t>
        </is>
      </c>
      <c r="D144" t="inlineStr">
        <is>
          <t>NULL</t>
        </is>
      </c>
      <c r="E144" t="inlineStr">
        <is>
          <t>NULL</t>
        </is>
      </c>
      <c r="F144" t="inlineStr">
        <is>
          <t>NULL</t>
        </is>
      </c>
      <c r="G144" t="inlineStr">
        <is>
          <t>NULL</t>
        </is>
      </c>
      <c r="H144" t="inlineStr">
        <is>
          <t>NULL</t>
        </is>
      </c>
      <c r="I144" t="inlineStr">
        <is>
          <t>NULL</t>
        </is>
      </c>
      <c r="J144" t="inlineStr">
        <is>
          <t>NULL</t>
        </is>
      </c>
      <c r="K144" t="inlineStr">
        <is>
          <t xml:space="preserve"> NO!  	 c_tinyint列源备映射错误，源端为tinyint None位	期望更改为text	实际备端为tinyint None位</t>
        </is>
      </c>
      <c r="EB144" t="inlineStr">
        <is>
          <t>['352', '', '', '', '', '', '', '', '', '', '', '', '', '', '', '', '', '', '', '']行 ['504', '', '', '', '', '123456789123456789', '-1234567890123456789012345', '0.0000000000000000000000008', '1234567890123456789012345678', '-123456789012.1234', '123456789123456789', '-1234567890123456789012345', '0.0000000000000000000000008', '1234567890123456789012345678', '-123456789012.12', '', '', '', '', '']列，源：5000277365a8558ce56a76219bbdb8c6 备：01fc26ac9d5a7276931337f5b1c7392e</t>
        </is>
      </c>
    </row>
    <row r="145">
      <c r="B145" t="inlineStr">
        <is>
          <t>NULL</t>
        </is>
      </c>
      <c r="C145" t="inlineStr">
        <is>
          <t>NULL</t>
        </is>
      </c>
      <c r="D145" t="inlineStr">
        <is>
          <t>NULL</t>
        </is>
      </c>
      <c r="E145" t="inlineStr">
        <is>
          <t>NULL</t>
        </is>
      </c>
      <c r="F145" t="inlineStr">
        <is>
          <t>NULL</t>
        </is>
      </c>
      <c r="G145" t="inlineStr">
        <is>
          <t>NULL</t>
        </is>
      </c>
      <c r="H145" t="inlineStr">
        <is>
          <t>NULL</t>
        </is>
      </c>
      <c r="I145" t="inlineStr">
        <is>
          <t>NULL</t>
        </is>
      </c>
      <c r="J145" t="inlineStr">
        <is>
          <t>NULL</t>
        </is>
      </c>
      <c r="K145" t="inlineStr">
        <is>
          <t xml:space="preserve"> NO!  	 c_smallint列源备映射错误，源端为smallint None位	期望更改为text	实际备端为smallint None位</t>
        </is>
      </c>
      <c r="EB145" t="inlineStr">
        <is>
          <t>['353', '', '', '', '', '', '', '', '', '', '', '', '', '', '', '', '', '', '', '']行 ['51', '0', '-32768', '-2147483648', '-9223372036854775808', '', '', '', '', '', '', '', '', '', '', '', '', '', '', '']列，源：f623fb608de2174542d4cdf68875a561 备：f655f07bc207e1893067d44a901d5d5a</t>
        </is>
      </c>
    </row>
    <row r="146">
      <c r="B146" t="inlineStr">
        <is>
          <t>NULL</t>
        </is>
      </c>
      <c r="C146" t="inlineStr">
        <is>
          <t>NULL</t>
        </is>
      </c>
      <c r="D146" t="inlineStr">
        <is>
          <t>NULL</t>
        </is>
      </c>
      <c r="E146" t="inlineStr">
        <is>
          <t>NULL</t>
        </is>
      </c>
      <c r="F146" t="inlineStr">
        <is>
          <t>NULL</t>
        </is>
      </c>
      <c r="G146" t="inlineStr">
        <is>
          <t>NULL</t>
        </is>
      </c>
      <c r="H146" t="inlineStr">
        <is>
          <t>NULL</t>
        </is>
      </c>
      <c r="I146" t="inlineStr">
        <is>
          <t>NULL</t>
        </is>
      </c>
      <c r="J146" t="inlineStr">
        <is>
          <t>NULL</t>
        </is>
      </c>
      <c r="K146" t="inlineStr">
        <is>
          <t xml:space="preserve"> NO!  	 c_int列源备映射错误，源端为int None位	期望更改为text	实际备端为int None位</t>
        </is>
      </c>
      <c r="EB146" t="inlineStr">
        <is>
          <t>['354', '', '', '', '', '', '', '', '', '', '', '', '', '', '', '', '', '', '', '']行 ['512', '', '', '', '', '123', '12345678901234567890123789010000000', '0.1234567890123459012345678901', '123456789012367012345678.1246', '123456712345.6789', '988', '987654321098765410987654321100000000', '0.9876543210987432109876543211', '987654321098765432105432.1099', '1234567012456.78', '', '', '', '', '']列，源：af39f93faaf3e0315514225df887f4f7 备：e2652767110e93887175ae1869f5acb2</t>
        </is>
      </c>
    </row>
    <row r="147">
      <c r="B147" t="inlineStr">
        <is>
          <t>NULL</t>
        </is>
      </c>
      <c r="C147" t="inlineStr">
        <is>
          <t>NULL</t>
        </is>
      </c>
      <c r="D147" t="inlineStr">
        <is>
          <t>NULL</t>
        </is>
      </c>
      <c r="E147" t="inlineStr">
        <is>
          <t>NULL</t>
        </is>
      </c>
      <c r="F147" t="inlineStr">
        <is>
          <t>NULL</t>
        </is>
      </c>
      <c r="G147" t="inlineStr">
        <is>
          <t>NULL</t>
        </is>
      </c>
      <c r="H147" t="inlineStr">
        <is>
          <t>NULL</t>
        </is>
      </c>
      <c r="I147" t="inlineStr">
        <is>
          <t>NULL</t>
        </is>
      </c>
      <c r="J147" t="inlineStr">
        <is>
          <t>NULL</t>
        </is>
      </c>
      <c r="K147" t="inlineStr">
        <is>
          <t xml:space="preserve"> NO!  	 c_bigint列源备映射错误，源端为bigint None位	期望更改为text	实际备端为bigint None位</t>
        </is>
      </c>
      <c r="EB147" t="inlineStr">
        <is>
          <t>['355', '', '', '', '', '', '', '', '', '', '', '', '', '', '', '', '', '', '', '']行 ['514', '', '', '', '', '1000000000000000', '100000000000000000000000000000000', '1', '9999999999999999999999.999999', '999999999999.999', '100000000000000', '999999999999999999999', '0.999999999999999999999999999', '999999999999999999999.999999', '9999999999.99', '', '', '', '', '']列，源：beb84bf8341e592659d7df21bfff19ce 备：ae27f6fa084d88934a05d8fe9f59c5c7</t>
        </is>
      </c>
    </row>
    <row r="148">
      <c r="B148" t="inlineStr">
        <is>
          <t>NULL</t>
        </is>
      </c>
      <c r="C148" t="inlineStr">
        <is>
          <t>NULL</t>
        </is>
      </c>
      <c r="D148" t="inlineStr">
        <is>
          <t>NULL</t>
        </is>
      </c>
      <c r="E148" t="inlineStr">
        <is>
          <t>NULL</t>
        </is>
      </c>
      <c r="F148" t="inlineStr">
        <is>
          <t>NULL</t>
        </is>
      </c>
      <c r="G148" t="inlineStr">
        <is>
          <t>NULL</t>
        </is>
      </c>
      <c r="H148" t="inlineStr">
        <is>
          <t>NULL</t>
        </is>
      </c>
      <c r="I148" t="inlineStr">
        <is>
          <t>NULL</t>
        </is>
      </c>
      <c r="J148" t="inlineStr">
        <is>
          <t>NULL</t>
        </is>
      </c>
      <c r="K148" t="inlineStr">
        <is>
          <t xml:space="preserve"> NO!  	 c_decimal列源备映射错误，源端为decimal None位	期望更改为text	实际备端为decimal None位</t>
        </is>
      </c>
      <c r="EB148" t="inlineStr">
        <is>
          <t>['356', '', '', '', '', '', '', '', '', '', '', '', '', '', '', '', '', '', '', '']行 ['515', '', '', '', '', '0', '1', '0.000000000000000000000000001', '0.000000001', '0.0001', '0', '1', '0.000000000000000000000000000001', '0.000001', '0.01', '', '', '', '', '']列，源：71b2d4a62314a73a0b6596cb50d9bdef 备：9f00e346b1b566fcf5833e2186e3dff8</t>
        </is>
      </c>
    </row>
    <row r="149">
      <c r="B149" t="inlineStr">
        <is>
          <t>NULL</t>
        </is>
      </c>
      <c r="C149" t="inlineStr">
        <is>
          <t>NULL</t>
        </is>
      </c>
      <c r="D149" t="inlineStr">
        <is>
          <t>NULL</t>
        </is>
      </c>
      <c r="E149" t="inlineStr">
        <is>
          <t>NULL</t>
        </is>
      </c>
      <c r="F149" t="inlineStr">
        <is>
          <t>NULL</t>
        </is>
      </c>
      <c r="G149" t="inlineStr">
        <is>
          <t>NULL</t>
        </is>
      </c>
      <c r="H149" t="inlineStr">
        <is>
          <t>NULL</t>
        </is>
      </c>
      <c r="I149" t="inlineStr">
        <is>
          <t>NULL</t>
        </is>
      </c>
      <c r="J149" t="inlineStr">
        <is>
          <t>NULL</t>
        </is>
      </c>
      <c r="K149" t="inlineStr">
        <is>
          <t xml:space="preserve"> NO!  	 c_decimal38列源备映射错误，源端为decimal None位	期望更改为text	实际备端为decimal None位</t>
        </is>
      </c>
      <c r="EB149" t="inlineStr">
        <is>
          <t>['357', '', '', '', '', '', '', '', '', '', '', '', '', '', '', '', '', '', '', '']行 ['52', '255', '32767', '2147483647', '9223372036854775807', '', '', '', '', '', '', '', '', '', '', '', '', '', '', '']列，源：fdad4e6164a2e0cf4638f54ed5607997 备：53ac74c7719a79671a4d3cc61decfa2a</t>
        </is>
      </c>
    </row>
    <row r="150">
      <c r="B150" t="inlineStr">
        <is>
          <t>NULL</t>
        </is>
      </c>
      <c r="C150" t="inlineStr">
        <is>
          <t>NULL</t>
        </is>
      </c>
      <c r="D150" t="inlineStr">
        <is>
          <t>NULL</t>
        </is>
      </c>
      <c r="E150" t="inlineStr">
        <is>
          <t>NULL</t>
        </is>
      </c>
      <c r="F150" t="inlineStr">
        <is>
          <t>NULL</t>
        </is>
      </c>
      <c r="G150" t="inlineStr">
        <is>
          <t>NULL</t>
        </is>
      </c>
      <c r="H150" t="inlineStr">
        <is>
          <t>NULL</t>
        </is>
      </c>
      <c r="I150" t="inlineStr">
        <is>
          <t>NULL</t>
        </is>
      </c>
      <c r="J150" t="inlineStr">
        <is>
          <t>NULL</t>
        </is>
      </c>
      <c r="K150" t="inlineStr">
        <is>
          <t xml:space="preserve"> NO!  	 c_decimal38_38列源备映射错误，源端为decimal None位	期望更改为text	实际备端为decimal None位</t>
        </is>
      </c>
      <c r="EB150" t="inlineStr">
        <is>
          <t>['358', '', '', '', '', '', '', '', '', '', '', '', '', '', '', '', '', '', '', '']行 ['53', '', '', '', '', '', '', '', '', '', '', '', '', '', '', '', '', '', '', '']列，源：a57adfdaa1476c011809f108bb76af0f 备：c189f39668df72e4a9429ba4b84f81df</t>
        </is>
      </c>
    </row>
    <row r="151">
      <c r="B151" t="inlineStr">
        <is>
          <t>NULL</t>
        </is>
      </c>
      <c r="C151" t="inlineStr">
        <is>
          <t>NULL</t>
        </is>
      </c>
      <c r="D151" t="inlineStr">
        <is>
          <t>NULL</t>
        </is>
      </c>
      <c r="E151" t="inlineStr">
        <is>
          <t>NULL</t>
        </is>
      </c>
      <c r="F151" t="inlineStr">
        <is>
          <t>NULL</t>
        </is>
      </c>
      <c r="G151" t="inlineStr">
        <is>
          <t>NULL</t>
        </is>
      </c>
      <c r="H151" t="inlineStr">
        <is>
          <t>NULL</t>
        </is>
      </c>
      <c r="I151" t="inlineStr">
        <is>
          <t>NULL</t>
        </is>
      </c>
      <c r="J151" t="inlineStr">
        <is>
          <t>NULL</t>
        </is>
      </c>
      <c r="K151" t="inlineStr">
        <is>
          <t xml:space="preserve"> NO!  	 c_decimal38_10列源备映射错误，源端为decimal None位	期望更改为text	实际备端为decimal None位</t>
        </is>
      </c>
      <c r="EB151" t="inlineStr">
        <is>
          <t>['359', '', '', '', '', '', '', '', '', '', '', '', '', '', '', '', '', '', '', '']行 ['54', '123', '12345', '1234567890', '1234567890123456', '', '', '', '', '', '', '', '', '', '', '', '', '', '', '']列，源：74e0ada171a99978b8f03398ca5404ec 备：8a03894f3c8b6e670dd146c34d5fc4a6</t>
        </is>
      </c>
    </row>
    <row r="152">
      <c r="B152" t="inlineStr">
        <is>
          <t>NULL</t>
        </is>
      </c>
      <c r="C152" t="inlineStr">
        <is>
          <t>NULL</t>
        </is>
      </c>
      <c r="D152" t="inlineStr">
        <is>
          <t>NULL</t>
        </is>
      </c>
      <c r="E152" t="inlineStr">
        <is>
          <t>NULL</t>
        </is>
      </c>
      <c r="F152" t="inlineStr">
        <is>
          <t>NULL</t>
        </is>
      </c>
      <c r="G152" t="inlineStr">
        <is>
          <t>NULL</t>
        </is>
      </c>
      <c r="H152" t="inlineStr">
        <is>
          <t>NULL</t>
        </is>
      </c>
      <c r="I152" t="inlineStr">
        <is>
          <t>NULL</t>
        </is>
      </c>
      <c r="J152" t="inlineStr">
        <is>
          <t>NULL</t>
        </is>
      </c>
      <c r="K152" t="inlineStr">
        <is>
          <t xml:space="preserve"> NO!  	 c_decimal19_4列源备映射错误，源端为decimal None位	期望更改为text	实际备端为decimal None位</t>
        </is>
      </c>
      <c r="EB152" t="inlineStr">
        <is>
          <t>['360', '', '', '', '', '', '', '', '', '', '', '', '', '', '', '', '', '', '', '']行 ['55', '0', '0', '0', '0', '', '', '', '', '', '', '', '', '', '', '', '', '', '', '']列，源：4fe3bffe813faa2dad43fe60d34884df 备：98b081846a1e1227e41ac042fc20cd28</t>
        </is>
      </c>
    </row>
    <row r="153">
      <c r="B153" t="inlineStr">
        <is>
          <t>NULL</t>
        </is>
      </c>
      <c r="C153" t="inlineStr">
        <is>
          <t>NULL</t>
        </is>
      </c>
      <c r="D153" t="inlineStr">
        <is>
          <t>NULL</t>
        </is>
      </c>
      <c r="E153" t="inlineStr">
        <is>
          <t>NULL</t>
        </is>
      </c>
      <c r="F153" t="inlineStr">
        <is>
          <t>NULL</t>
        </is>
      </c>
      <c r="G153" t="inlineStr">
        <is>
          <t>NULL</t>
        </is>
      </c>
      <c r="H153" t="inlineStr">
        <is>
          <t>NULL</t>
        </is>
      </c>
      <c r="I153" t="inlineStr">
        <is>
          <t>NULL</t>
        </is>
      </c>
      <c r="J153" t="inlineStr">
        <is>
          <t>NULL</t>
        </is>
      </c>
      <c r="K153" t="inlineStr">
        <is>
          <t xml:space="preserve"> NO!  	 c_numeric列源备映射错误，源端为numeric None位	期望更改为text	实际备端为numeric None位</t>
        </is>
      </c>
      <c r="EB153" t="inlineStr">
        <is>
          <t>['361', '', '', '', '', '', '', '', '', '', '', '', '', '', '', '', '', '', '', '']行 ['56', '127', '255', '65535', '4294967295', '', '', '', '', '', '', '', '', '', '', '', '', '', '', '']列，源：f2f379eb55d4179bd31461c09300e170 备：c0a8c8bdb59959471b71fb739ed1691f</t>
        </is>
      </c>
    </row>
    <row r="154">
      <c r="B154" t="inlineStr">
        <is>
          <t>NULL</t>
        </is>
      </c>
      <c r="C154" t="inlineStr">
        <is>
          <t>NULL</t>
        </is>
      </c>
      <c r="D154" t="inlineStr">
        <is>
          <t>NULL</t>
        </is>
      </c>
      <c r="E154" t="inlineStr">
        <is>
          <t>NULL</t>
        </is>
      </c>
      <c r="F154" t="inlineStr">
        <is>
          <t>NULL</t>
        </is>
      </c>
      <c r="G154" t="inlineStr">
        <is>
          <t>NULL</t>
        </is>
      </c>
      <c r="H154" t="inlineStr">
        <is>
          <t>NULL</t>
        </is>
      </c>
      <c r="I154" t="inlineStr">
        <is>
          <t>NULL</t>
        </is>
      </c>
      <c r="J154" t="inlineStr">
        <is>
          <t>NULL</t>
        </is>
      </c>
      <c r="K154" t="inlineStr">
        <is>
          <t xml:space="preserve"> NO!  	 c_numeric38列源备映射错误，源端为numeric None位	期望更改为text	实际备端为numeric None位</t>
        </is>
      </c>
      <c r="EB154" t="inlineStr">
        <is>
          <t>['362', '', '', '', '', '', '', '', '', '', '', '', '', '', '', '', '', '', '', '']行 ['57', '255', '32767', '2147483647', '9223372036854775807', '', '', '', '', '', '', '', '', '', '', '', '', '', '', '']列，源：8f75e75e609de40a11074d2e28b37ad3 备：5c6023e590239f39ad2a1e9c217e16e5</t>
        </is>
      </c>
    </row>
    <row r="155">
      <c r="B155" t="inlineStr">
        <is>
          <t>NULL</t>
        </is>
      </c>
      <c r="C155" t="inlineStr">
        <is>
          <t>NULL</t>
        </is>
      </c>
      <c r="D155" t="inlineStr">
        <is>
          <t>NULL</t>
        </is>
      </c>
      <c r="E155" t="inlineStr">
        <is>
          <t>NULL</t>
        </is>
      </c>
      <c r="F155" t="inlineStr">
        <is>
          <t>NULL</t>
        </is>
      </c>
      <c r="G155" t="inlineStr">
        <is>
          <t>NULL</t>
        </is>
      </c>
      <c r="H155" t="inlineStr">
        <is>
          <t>NULL</t>
        </is>
      </c>
      <c r="I155" t="inlineStr">
        <is>
          <t>NULL</t>
        </is>
      </c>
      <c r="J155" t="inlineStr">
        <is>
          <t>NULL</t>
        </is>
      </c>
      <c r="K155" t="inlineStr">
        <is>
          <t xml:space="preserve"> NO!  	 c_numeric38_38列源备映射错误，源端为numeric None位	期望更改为text	实际备端为numeric None位</t>
        </is>
      </c>
      <c r="EB155" t="inlineStr">
        <is>
          <t>['363', '', '', '', '', '', '', '', '', '', '', '', '', '', '', '', '', '', '', '']行 ['58', '0', '-32768', '-2147483648', '-9223372036854775808', '', '', '', '', '', '', '', '', '', '', '', '', '', '', '']列，源：0c7d4816a3491159b86eb05e836bc1d7 备：0a30a8f0b40639ad928b4b844d1c2f38</t>
        </is>
      </c>
    </row>
    <row r="156">
      <c r="B156" t="inlineStr">
        <is>
          <t>NULL</t>
        </is>
      </c>
      <c r="C156" t="inlineStr">
        <is>
          <t>NULL</t>
        </is>
      </c>
      <c r="D156" t="inlineStr">
        <is>
          <t>NULL</t>
        </is>
      </c>
      <c r="E156" t="inlineStr">
        <is>
          <t>NULL</t>
        </is>
      </c>
      <c r="F156" t="inlineStr">
        <is>
          <t>NULL</t>
        </is>
      </c>
      <c r="G156" t="inlineStr">
        <is>
          <t>NULL</t>
        </is>
      </c>
      <c r="H156" t="inlineStr">
        <is>
          <t>NULL</t>
        </is>
      </c>
      <c r="I156" t="inlineStr">
        <is>
          <t>NULL</t>
        </is>
      </c>
      <c r="J156" t="inlineStr">
        <is>
          <t>NULL</t>
        </is>
      </c>
      <c r="K156" t="inlineStr">
        <is>
          <t xml:space="preserve"> NO!  	 c_numeric38_10列源备映射错误，源端为numeric None位	期望更改为text	实际备端为numeric None位</t>
        </is>
      </c>
      <c r="EB156" t="inlineStr">
        <is>
          <t>['364', '', '', '', '', '', '', '', '', '', '', '', '', '', '', '', '', '', '', '']行 ['59', '42', '12345', '123456789', '123456789012345', '', '', '', '', '', '', '', '', '', '', '', '', '', '', '']列，源：7d9c7fe4b0c754c9b4898c693ac9ac9e 备：d9f76ffa75e30ef98d84989886814ea9</t>
        </is>
      </c>
    </row>
    <row r="157">
      <c r="B157" t="inlineStr">
        <is>
          <t>NULL</t>
        </is>
      </c>
      <c r="C157" t="inlineStr">
        <is>
          <t>NULL</t>
        </is>
      </c>
      <c r="D157" t="inlineStr">
        <is>
          <t>NULL</t>
        </is>
      </c>
      <c r="E157" t="inlineStr">
        <is>
          <t>NULL</t>
        </is>
      </c>
      <c r="F157" t="inlineStr">
        <is>
          <t>NULL</t>
        </is>
      </c>
      <c r="G157" t="inlineStr">
        <is>
          <t>NULL</t>
        </is>
      </c>
      <c r="H157" t="inlineStr">
        <is>
          <t>NULL</t>
        </is>
      </c>
      <c r="I157" t="inlineStr">
        <is>
          <t>NULL</t>
        </is>
      </c>
      <c r="J157" t="inlineStr">
        <is>
          <t>NULL</t>
        </is>
      </c>
      <c r="K157" t="inlineStr">
        <is>
          <t xml:space="preserve"> NO!  	 c_numeric18_2列源备映射错误，源端为numeric None位	期望更改为text	实际备端为numeric None位</t>
        </is>
      </c>
      <c r="EB157" t="inlineStr">
        <is>
          <t>['365', '', '', '', '', '', '', '', '', '', '', '', '', '', '', '', '', '', '', '']行 ['6', '127', '255', '65535', '4294967295', '', '', '', '', '', '', '', '', '', '', '', '', '', '', '']列，源：34febf96ece9d22539c1b789b988ceaf 备：d68f5721ae5db53f05856a030e641aba</t>
        </is>
      </c>
    </row>
    <row r="158">
      <c r="B158" t="inlineStr">
        <is>
          <t>NULL</t>
        </is>
      </c>
      <c r="C158" t="inlineStr">
        <is>
          <t>NULL</t>
        </is>
      </c>
      <c r="D158" t="inlineStr">
        <is>
          <t>NULL</t>
        </is>
      </c>
      <c r="E158" t="inlineStr">
        <is>
          <t>NULL</t>
        </is>
      </c>
      <c r="F158" t="inlineStr">
        <is>
          <t>NULL</t>
        </is>
      </c>
      <c r="G158" t="inlineStr">
        <is>
          <t>NULL</t>
        </is>
      </c>
      <c r="H158" t="inlineStr">
        <is>
          <t>NULL</t>
        </is>
      </c>
      <c r="I158" t="inlineStr">
        <is>
          <t>NULL</t>
        </is>
      </c>
      <c r="J158" t="inlineStr">
        <is>
          <t>NULL</t>
        </is>
      </c>
      <c r="K158" t="inlineStr">
        <is>
          <t xml:space="preserve"> NO!  	 c_float列源备映射错误，源端为float None位	期望更改为text	实际备端为float None位</t>
        </is>
      </c>
      <c r="EB158" t="inlineStr">
        <is>
          <t>['366', '', '', '', '', '', '', '', '', '', '', '', '', '', '', '', '', '', '', '']行 ['60', '99', '-12345', '-123456789', '-123456789012345', '', '', '', '', '', '', '', '', '', '', '', '', '', '', '']列，源：1a8adc520ffe5d0386a92598f214cd7b 备：1bb39120e7f9e04dfe39563b699e1a41</t>
        </is>
      </c>
    </row>
    <row r="159">
      <c r="B159" t="inlineStr">
        <is>
          <t>NULL</t>
        </is>
      </c>
      <c r="C159" t="inlineStr">
        <is>
          <t>NULL</t>
        </is>
      </c>
      <c r="D159" t="inlineStr">
        <is>
          <t>NULL</t>
        </is>
      </c>
      <c r="E159" t="inlineStr">
        <is>
          <t>NULL</t>
        </is>
      </c>
      <c r="F159" t="inlineStr">
        <is>
          <t>NULL</t>
        </is>
      </c>
      <c r="G159" t="inlineStr">
        <is>
          <t>NULL</t>
        </is>
      </c>
      <c r="H159" t="inlineStr">
        <is>
          <t>NULL</t>
        </is>
      </c>
      <c r="I159" t="inlineStr">
        <is>
          <t>NULL</t>
        </is>
      </c>
      <c r="J159" t="inlineStr">
        <is>
          <t>NULL</t>
        </is>
      </c>
      <c r="K159" t="inlineStr">
        <is>
          <t xml:space="preserve"> NO!  	 c_real列源备映射错误，源端为real None位	期望更改为text	实际备端为real None位</t>
        </is>
      </c>
      <c r="EB159" t="inlineStr">
        <is>
          <t>['367', '', '', '', '', '', '', '', '', '', '', '', '', '', '', '', '', '', '', '']行 ['602', '', '', '', '', '999999999999999999', '100000000000000000000000000000000000000', '1', '10000000000000000000000000000', '999999999999999.9999', '999999999999999999', '100000000000000000000000000000000000000', '1', '10000000000000000000000000000', '9999999999999999.99', '', '', '', '', '']列，源：8b3981eb45a611e126099a4cb98474c0 备：12e19316e679029567722416e7e91493</t>
        </is>
      </c>
    </row>
    <row r="160">
      <c r="B160" t="inlineStr">
        <is>
          <t>NULL</t>
        </is>
      </c>
      <c r="C160" t="inlineStr">
        <is>
          <t>NULL</t>
        </is>
      </c>
      <c r="D160" t="inlineStr">
        <is>
          <t>NULL</t>
        </is>
      </c>
      <c r="E160" t="inlineStr">
        <is>
          <t>NULL</t>
        </is>
      </c>
      <c r="F160" t="inlineStr">
        <is>
          <t>NULL</t>
        </is>
      </c>
      <c r="G160" t="inlineStr">
        <is>
          <t>NULL</t>
        </is>
      </c>
      <c r="H160" t="inlineStr">
        <is>
          <t>NULL</t>
        </is>
      </c>
      <c r="I160" t="inlineStr">
        <is>
          <t>NULL</t>
        </is>
      </c>
      <c r="J160" t="inlineStr">
        <is>
          <t>NULL</t>
        </is>
      </c>
      <c r="K160" t="inlineStr">
        <is>
          <t xml:space="preserve"> NO!  	 c_money列源备映射错误，源端为money None位	期望更改为text	实际备端为money None位</t>
        </is>
      </c>
      <c r="EB160" t="inlineStr">
        <is>
          <t>['368', '', '', '', '', '', '', '', '', '', '', '', '', '', '', '', '', '', '', '']行 ['604', '', '', '', '', '123456789123456789', '-1234567890123456789012345', '0.0000000000000000000000008', '1234567890123456789012345678', '-123456789012.1234', '123456789123456789', '-1234567890123456789012345', '0.0000000000000000000000008', '1234567890123456789012345678', '-123456789012.12', '', '', '', '', '']列，源：75766d5d6ae13dfa7d9add7da97c841d 备：99389aa2a0db0a989e5536dd03a46c33</t>
        </is>
      </c>
    </row>
    <row r="161">
      <c r="B161" t="inlineStr">
        <is>
          <t>NULL</t>
        </is>
      </c>
      <c r="C161" t="inlineStr">
        <is>
          <t>NULL</t>
        </is>
      </c>
      <c r="D161" t="inlineStr">
        <is>
          <t>NULL</t>
        </is>
      </c>
      <c r="E161" t="inlineStr">
        <is>
          <t>NULL</t>
        </is>
      </c>
      <c r="F161" t="inlineStr">
        <is>
          <t>NULL</t>
        </is>
      </c>
      <c r="G161" t="inlineStr">
        <is>
          <t>NULL</t>
        </is>
      </c>
      <c r="H161" t="inlineStr">
        <is>
          <t>NULL</t>
        </is>
      </c>
      <c r="I161" t="inlineStr">
        <is>
          <t>NULL</t>
        </is>
      </c>
      <c r="J161" t="inlineStr">
        <is>
          <t>NULL</t>
        </is>
      </c>
      <c r="K161" t="inlineStr">
        <is>
          <t xml:space="preserve"> NO!  	 c_smallmoney列源备映射错误，源端为smallmoney None位	期望更改为text	实际备端为smallmoney None位</t>
        </is>
      </c>
      <c r="EB161" t="inlineStr">
        <is>
          <t>['369', '', '', '', '', '', '', '', '', '', '', '', '', '', '', '', '', '', '', '']行 ['61', '200', '20000', '2000000000', '2000000000000000', '', '', '', '', '', '', '', '', '', '', '', '', '', '', '']列，源：0da376d21abceaa1f4f7f2e605f090fa 备：127a439893fcb60dcb5dbd20fd423142</t>
        </is>
      </c>
    </row>
    <row r="162">
      <c r="B162" t="inlineStr">
        <is>
          <t>NULL</t>
        </is>
      </c>
      <c r="C162" t="inlineStr">
        <is>
          <t>NULL</t>
        </is>
      </c>
      <c r="D162" t="inlineStr">
        <is>
          <t>NULL</t>
        </is>
      </c>
      <c r="E162" t="inlineStr">
        <is>
          <t>NULL</t>
        </is>
      </c>
      <c r="F162" t="inlineStr">
        <is>
          <t>NULL</t>
        </is>
      </c>
      <c r="G162" t="inlineStr">
        <is>
          <t>NULL</t>
        </is>
      </c>
      <c r="H162" t="inlineStr">
        <is>
          <t>NULL</t>
        </is>
      </c>
      <c r="I162" t="inlineStr">
        <is>
          <t>NULL</t>
        </is>
      </c>
      <c r="J162" t="inlineStr">
        <is>
          <t>NULL</t>
        </is>
      </c>
      <c r="K162" t="inlineStr">
        <is>
          <t xml:space="preserve"> NO!  	 c_bit列源备映射错误，源端为bit None位	期望更改为text	实际备端为bit None位</t>
        </is>
      </c>
      <c r="EB162" t="inlineStr">
        <is>
          <t>['370', '', '', '', '', '', '', '', '', '', '', '', '', '', '', '', '', '', '', '']行 ['612', '', '', '', '', '123', '12345678901234567890123789010000000', '0.1234567890123459012345678901', '123456789012367012345678.1246', '123456712345.6789', '988', '987654321098765410987654321100000000', '0.9876543210987432109876543211', '987654321098765432105432.1099', '1234567012456.78', '', '', '', '', '']列，源：3aac0a66375db00e8fd7436e9a668668 备：ef40d844829537a17a86f229f5066165</t>
        </is>
      </c>
    </row>
    <row r="163">
      <c r="A163" t="inlineStr">
        <is>
          <t>info_nvarchar_dml_batch1_pk_drp1</t>
        </is>
      </c>
      <c r="K163" t="inlineStr">
        <is>
          <t>[0;34m info_nvarchar_dml_batch1_pk_drp1 [0m源备字段数相同，源端字段：4 	备端字段4</t>
        </is>
      </c>
      <c r="W163" t="inlineStr">
        <is>
          <t>YES 源备无差异</t>
        </is>
      </c>
      <c r="X163">
        <f>A163</f>
        <v/>
      </c>
      <c r="EB163" t="inlineStr">
        <is>
          <t>['404', '123', '12345', '1234567890', '1234567890123456', '', '', '', '', '', '', '', '', '', '', '', '', '', '', '']行 ['614', '', '', '', '', '1000000000000000', '100000000000000000000000000000000', '1', '9999999999999999999999.999999', '999999999999.999', '100000000000000', '999999999999999999999', '0.999999999999999999999999999', '999999999999999999999.999999', '9999999999.99', '', '', '', '', '']列，源：425733953aa620fcec13db4b1d6d7091 备：6e899196c71f82b3f4956eb5921f2818</t>
        </is>
      </c>
    </row>
    <row r="164">
      <c r="B164" t="inlineStr">
        <is>
          <t>YES</t>
        </is>
      </c>
      <c r="C164" t="inlineStr">
        <is>
          <t>NULL</t>
        </is>
      </c>
      <c r="D164" t="inlineStr">
        <is>
          <t>NULL</t>
        </is>
      </c>
      <c r="E164" t="inlineStr">
        <is>
          <t>NULL</t>
        </is>
      </c>
      <c r="F164" t="inlineStr">
        <is>
          <t>NULL</t>
        </is>
      </c>
      <c r="G164" t="inlineStr">
        <is>
          <t>NULL</t>
        </is>
      </c>
      <c r="H164" t="inlineStr">
        <is>
          <t>NULL</t>
        </is>
      </c>
      <c r="I164" t="inlineStr">
        <is>
          <t>YES!PK__info_nva__3213E83FC3C29C6D</t>
        </is>
      </c>
      <c r="J164" t="inlineStr">
        <is>
          <t>YES! 主键相关索引</t>
        </is>
      </c>
      <c r="K164" t="inlineStr">
        <is>
          <t xml:space="preserve"> NO!  	 id列源备映射错误，源端为int None位	期望更改为text	实际备端为int None位</t>
        </is>
      </c>
      <c r="EB164" t="inlineStr">
        <is>
          <t>['406', '127', '255', '65535', '4294967295', '', '', '', '', '', '', '', '', '', '', '', '', '', '', '']行 ['615', '', '', '', '', '0', '1', '0.000000000000000000000000001', '0.000000001', '0.0001', '0', '1', '0.000000000000000000000000000001', '0.000001', '0.01', '', '', '', '', '']列，源：f9f7e54761fdaffa0600e1abdacceb00 备：34f36a32007ebec21089dbd0990acc32</t>
        </is>
      </c>
    </row>
    <row r="165">
      <c r="B165" t="inlineStr">
        <is>
          <t>NULL</t>
        </is>
      </c>
      <c r="C165" t="inlineStr">
        <is>
          <t>NULL</t>
        </is>
      </c>
      <c r="D165" t="inlineStr">
        <is>
          <t>NULL</t>
        </is>
      </c>
      <c r="E165" t="inlineStr">
        <is>
          <t>NULL</t>
        </is>
      </c>
      <c r="F165" t="inlineStr">
        <is>
          <t>NULL</t>
        </is>
      </c>
      <c r="G165" t="inlineStr">
        <is>
          <t>NULL</t>
        </is>
      </c>
      <c r="H165" t="inlineStr">
        <is>
          <t>NULL</t>
        </is>
      </c>
      <c r="I165" t="inlineStr">
        <is>
          <t>NULL</t>
        </is>
      </c>
      <c r="J165" t="inlineStr">
        <is>
          <t>NULL</t>
        </is>
      </c>
      <c r="K165" t="inlineStr">
        <is>
          <t xml:space="preserve"> NO!  	 c_nvarchar列源备映射错误，源端为nvarchar 2位	期望更改为text	实际备端为nvarchar 2位</t>
        </is>
      </c>
      <c r="EB165" t="inlineStr">
        <is>
          <t>['454', '123', '12345', '1234567890', '1234567890123456', '', '', '', '', '', '', '', '', '', '', '', '', '', '', '']行 ['62', '', '', '', '', '', '', '', '', '', '', '', '', '', '', '', '', '', '', '']列，源：4065524d4190f444b588d4090ffefe59 备：53c708da551d7abf953f080d2a4aeec8</t>
        </is>
      </c>
    </row>
    <row r="166">
      <c r="B166" t="inlineStr">
        <is>
          <t>NULL</t>
        </is>
      </c>
      <c r="C166" t="inlineStr">
        <is>
          <t>NULL</t>
        </is>
      </c>
      <c r="D166" t="inlineStr">
        <is>
          <t>NULL</t>
        </is>
      </c>
      <c r="E166" t="inlineStr">
        <is>
          <t>NULL</t>
        </is>
      </c>
      <c r="F166" t="inlineStr">
        <is>
          <t>NULL</t>
        </is>
      </c>
      <c r="G166" t="inlineStr">
        <is>
          <t>NULL</t>
        </is>
      </c>
      <c r="H166" t="inlineStr">
        <is>
          <t>NULL</t>
        </is>
      </c>
      <c r="I166" t="inlineStr">
        <is>
          <t>NULL</t>
        </is>
      </c>
      <c r="J166" t="inlineStr">
        <is>
          <t>NULL</t>
        </is>
      </c>
      <c r="K166" t="inlineStr">
        <is>
          <t xml:space="preserve"> NO!  	 c_nvarchar20列源备映射错误，源端为nvarchar 40位	期望更改为text	实际备端为nvarchar 40位</t>
        </is>
      </c>
      <c r="EB166" t="inlineStr">
        <is>
          <t>['456', '127', '255', '65535', '4294967295', '', '', '', '', '', '', '', '', '', '', '', '', '', '', '']行 ['63', '', '', '', '', '', '', '', '', '', '', '', '', '', '', '', '', '', '', '']列，源：53f61725f59f1e5f85afc835af0c00b2 备：a350c30a05b8dd2ab0e1dd8e2f0cc6aa</t>
        </is>
      </c>
    </row>
    <row r="167">
      <c r="B167" t="inlineStr">
        <is>
          <t>NULL</t>
        </is>
      </c>
      <c r="C167" t="inlineStr">
        <is>
          <t>NULL</t>
        </is>
      </c>
      <c r="D167" t="inlineStr">
        <is>
          <t>NULL</t>
        </is>
      </c>
      <c r="E167" t="inlineStr">
        <is>
          <t>NULL</t>
        </is>
      </c>
      <c r="F167" t="inlineStr">
        <is>
          <t>NULL</t>
        </is>
      </c>
      <c r="G167" t="inlineStr">
        <is>
          <t>NULL</t>
        </is>
      </c>
      <c r="H167" t="inlineStr">
        <is>
          <t>NULL</t>
        </is>
      </c>
      <c r="I167" t="inlineStr">
        <is>
          <t>NULL</t>
        </is>
      </c>
      <c r="J167" t="inlineStr">
        <is>
          <t>NULL</t>
        </is>
      </c>
      <c r="K167" t="inlineStr">
        <is>
          <t xml:space="preserve"> NO!  	 c_nvarchar3500列源备映射错误，源端为nvarchar 7000位	期望更改为text	实际备端为nvarchar 7000位</t>
        </is>
      </c>
      <c r="EB167" t="inlineStr">
        <is>
          <t>['502', '', '', '', '', '999999999999999999', '100000000000000000000000000000000000000', '1', '10000000000000000000000000000', '999999999999999.9999', '999999999999999999', '100000000000000000000000000000000000000', '1', '10000000000000000000000000000', '9999999999999999.99', '', '', '', '', '']行 ['64', '', '', '', '', '', '', '', '', '', '', '', '', '', '', '', '', '', '', '']列，源：b597c1d21e8339960a681b6f5aad6376 备：fec040c706199adf2fc50311275da743</t>
        </is>
      </c>
    </row>
    <row r="168">
      <c r="K168" t="inlineStr">
        <is>
          <t>~ 空表</t>
        </is>
      </c>
      <c r="EB168" t="inlineStr">
        <is>
          <t>['504', '', '', '', '', '123456789123456789', '-1234567890123456789012345', '0.0000000000000000000000008', '1234567890123456789012345678', '-123456789012.1234', '123456789123456789', '-1234567890123456789012345', '0.0000000000000000000000008', '1234567890123456789012345678', '-123456789012.12', '', '', '', '', '']行 ['65', '', '', '', '', '', '', '', '', '', '', '', '', '', '', '', '', '', '', '']列，源：01fc26ac9d5a7276931337f5b1c7392e 备：98275a2703466a8b33d73172fcdc6666</t>
        </is>
      </c>
    </row>
    <row r="169">
      <c r="A169" t="inlineStr">
        <is>
          <t>info_text_dml_single_pk</t>
        </is>
      </c>
      <c r="K169" t="inlineStr">
        <is>
          <t>[0;34m info_text_dml_single_pk [0m源备字段数相同，源端字段：3 	备端字段3</t>
        </is>
      </c>
      <c r="W169" t="inlineStr">
        <is>
          <t>YES 源备无差异</t>
        </is>
      </c>
      <c r="X169">
        <f>A169</f>
        <v/>
      </c>
      <c r="EB169" t="inlineStr">
        <is>
          <t>['512', '', '', '', '', '123', '12345678901234567890123789010000000', '0.1234567890123459012345678901', '123456789012367012345678.1246', '123456712345.6789', '988', '987654321098765410987654321100000000', '0.9876543210987432109876543211', '987654321098765432105432.1099', '1234567012456.78', '', '', '', '', '']行 ['66', '', '', '', '', '', '', '', '', '', '', '', '', '', '', '', '', '', '', '']列，源：e2652767110e93887175ae1869f5acb2 备：dafb2839909685d29fbfc3b4fdfaa03d</t>
        </is>
      </c>
    </row>
    <row r="170">
      <c r="B170" t="inlineStr">
        <is>
          <t>YES</t>
        </is>
      </c>
      <c r="C170" t="inlineStr">
        <is>
          <t>NULL</t>
        </is>
      </c>
      <c r="D170" t="inlineStr">
        <is>
          <t>NULL</t>
        </is>
      </c>
      <c r="E170" t="inlineStr">
        <is>
          <t>NULL</t>
        </is>
      </c>
      <c r="F170" t="inlineStr">
        <is>
          <t>NULL</t>
        </is>
      </c>
      <c r="G170" t="inlineStr">
        <is>
          <t>NULL</t>
        </is>
      </c>
      <c r="H170" t="inlineStr">
        <is>
          <t>NULL</t>
        </is>
      </c>
      <c r="I170" t="inlineStr">
        <is>
          <t>YES!PK__info_tex__3213E83FCAFD6128</t>
        </is>
      </c>
      <c r="J170" t="inlineStr">
        <is>
          <t>YES! 主键相关索引</t>
        </is>
      </c>
      <c r="K170" t="inlineStr">
        <is>
          <t xml:space="preserve"> NO!  	 id列源备映射错误，源端为int None位	期望更改为text	实际备端为int None位</t>
        </is>
      </c>
      <c r="EB170" t="inlineStr">
        <is>
          <t>['514', '', '', '', '', '1000000000000000', '100000000000000000000000000000000', '1', '9999999999999999999999.999999', '999999999999.999', '100000000000000', '999999999999999999999', '0.999999999999999999999999999', '999999999999999999999.999999', '9999999999.99', '', '', '', '', '']行 ['67', '', '', '', '', '', '', '', '', '', '', '', '', '', '', '', '', '', '', '']列，源：ae27f6fa084d88934a05d8fe9f59c5c7 备：335096f9c43f4c9730d7d32dc1d02c74</t>
        </is>
      </c>
    </row>
    <row r="171">
      <c r="B171" t="inlineStr">
        <is>
          <t>NULL</t>
        </is>
      </c>
      <c r="C171" t="inlineStr">
        <is>
          <t>NULL</t>
        </is>
      </c>
      <c r="D171" t="inlineStr">
        <is>
          <t>NULL</t>
        </is>
      </c>
      <c r="E171" t="inlineStr">
        <is>
          <t>NULL</t>
        </is>
      </c>
      <c r="F171" t="inlineStr">
        <is>
          <t>NULL</t>
        </is>
      </c>
      <c r="G171" t="inlineStr">
        <is>
          <t>NULL</t>
        </is>
      </c>
      <c r="H171" t="inlineStr">
        <is>
          <t>NULL</t>
        </is>
      </c>
      <c r="I171" t="inlineStr">
        <is>
          <t>NULL</t>
        </is>
      </c>
      <c r="J171" t="inlineStr">
        <is>
          <t>NULL</t>
        </is>
      </c>
      <c r="K171" t="inlineStr">
        <is>
          <t>YES! 	 c_text列源备映射正确，源端为text 2147483647位	期望更改为text	实际备端为text 2147483647位</t>
        </is>
      </c>
      <c r="EB171" t="inlineStr">
        <is>
          <t>['515', '', '', '', '', '0', '1', '0.000000000000000000000000001', '0.000000001', '0.0001', '0', '1', '0.000000000000000000000000000001', '0.000001', '0.01', '', '', '', '', '']行 ['68', '', '', '', '', '', '', '', '', '', '', '', '', '', '', '', '', '', '', '']列，源：9f00e346b1b566fcf5833e2186e3dff8 备：3df63b35c1d9071733ae38b706d49109</t>
        </is>
      </c>
    </row>
    <row r="172">
      <c r="B172" t="inlineStr">
        <is>
          <t>NULL</t>
        </is>
      </c>
      <c r="C172" t="inlineStr">
        <is>
          <t>NULL</t>
        </is>
      </c>
      <c r="D172" t="inlineStr">
        <is>
          <t>NULL</t>
        </is>
      </c>
      <c r="E172" t="inlineStr">
        <is>
          <t>NULL</t>
        </is>
      </c>
      <c r="F172" t="inlineStr">
        <is>
          <t>NULL</t>
        </is>
      </c>
      <c r="G172" t="inlineStr">
        <is>
          <t>NULL</t>
        </is>
      </c>
      <c r="H172" t="inlineStr">
        <is>
          <t>NULL</t>
        </is>
      </c>
      <c r="I172" t="inlineStr">
        <is>
          <t>NULL</t>
        </is>
      </c>
      <c r="J172" t="inlineStr">
        <is>
          <t>NULL</t>
        </is>
      </c>
      <c r="K172" t="inlineStr">
        <is>
          <t xml:space="preserve"> NO!  	 c_ntext列源备映射错误，源端为ntext 2147483646位	期望更改为text	实际备端为ntext 2147483646位</t>
        </is>
      </c>
      <c r="EB172" t="inlineStr">
        <is>
          <t>['602', '', '', '', '', '999999999999999999', '100000000000000000000000000000000000000', '1', '10000000000000000000000000000', '999999999999999.9999', '999999999999999999', '100000000000000000000000000000000000000', '1', '10000000000000000000000000000', '9999999999999999.99', '', '', '', '', '']行 ['69', '', '', '', '', '', '', '', '', '', '', '', '', '', '', '', '', '', '', '']列，源：12e19316e679029567722416e7e91493 备：0cfb4287715fdcb9a2965d3ce87499b6</t>
        </is>
      </c>
    </row>
    <row r="173">
      <c r="K173" t="inlineStr">
        <is>
          <t>~ 空表</t>
        </is>
      </c>
      <c r="EB173" t="inlineStr">
        <is>
          <t>['604', '', '', '', '', '123456789123456789', '-1234567890123456789012345', '0.0000000000000000000000008', '1234567890123456789012345678', '-123456789012.1234', '123456789123456789', '-1234567890123456789012345', '0.0000000000000000000000008', '1234567890123456789012345678', '-123456789012.12', '', '', '', '', '']行 ['7', '255', '32767', '2147483647', '9223372036854775807', '', '', '', '', '', '', '', '', '', '', '', '', '', '', '']列，源：99389aa2a0db0a989e5536dd03a46c33 备：40913b37c5e68ffe3e0791ff7ffc2253</t>
        </is>
      </c>
    </row>
    <row r="174">
      <c r="A174" t="inlineStr">
        <is>
          <t>info_datetime_dml_batch2_pk_irp2</t>
        </is>
      </c>
      <c r="K174" t="inlineStr">
        <is>
          <t>[0;34m info_datetime_dml_batch2_pk_irp2 [0m源备字段数相同，源端字段：2 	备端字段2</t>
        </is>
      </c>
      <c r="W174" s="17">
        <f>HYPERLINK("#2026041919hbase0!AO2","NO 源备存在差异，共50个")</f>
        <v/>
      </c>
      <c r="X174">
        <f>A174</f>
        <v/>
      </c>
      <c r="EB174" t="inlineStr">
        <is>
          <t>['612', '', '', '', '', '123', '12345678901234567890123789010000000', '0.1234567890123459012345678901', '123456789012367012345678.1246', '123456712345.6789', '988', '987654321098765410987654321100000000', '0.9876543210987432109876543211', '987654321098765432105432.1099', '1234567012456.78', '', '', '', '', '']行 ['70', '', '', '', '', '', '', '', '', '', '', '', '', '', '', '', '', '', '', '']列，源：ef40d844829537a17a86f229f5066165 备：bbfe0c65fee335ec8e1cc4c7ebd817cc</t>
        </is>
      </c>
    </row>
    <row r="175">
      <c r="B175" t="inlineStr">
        <is>
          <t>YES</t>
        </is>
      </c>
      <c r="C175" t="inlineStr">
        <is>
          <t>NULL</t>
        </is>
      </c>
      <c r="D175" t="inlineStr">
        <is>
          <t>NULL</t>
        </is>
      </c>
      <c r="E175" t="inlineStr">
        <is>
          <t>NULL</t>
        </is>
      </c>
      <c r="F175" t="inlineStr">
        <is>
          <t>NULL</t>
        </is>
      </c>
      <c r="G175" t="inlineStr">
        <is>
          <t>NULL</t>
        </is>
      </c>
      <c r="H175" t="inlineStr">
        <is>
          <t>NULL</t>
        </is>
      </c>
      <c r="I175" t="inlineStr">
        <is>
          <t>YES!PK__info_dat__3213E83F2549BA1C</t>
        </is>
      </c>
      <c r="J175" t="inlineStr">
        <is>
          <t>YES! 主键相关索引</t>
        </is>
      </c>
      <c r="K175" t="inlineStr">
        <is>
          <t xml:space="preserve"> NO!  	 id列源备映射错误，源端为int None位	期望更改为text	实际备端为int None位</t>
        </is>
      </c>
      <c r="EB175" t="inlineStr">
        <is>
          <t>['614', '', '', '', '', '1000000000000000', '100000000000000000000000000000000', '1', '9999999999999999999999.999999', '999999999999.999', '100000000000000', '999999999999999999999', '0.999999999999999999999999999', '999999999999999999999.999999', '9999999999.99', '', '', '', '', '']行 ['701',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'0']列，源：6e899196c71f82b3f4956eb5921f2818 备：862bdfe71b9b16314a537fc677d9f9be</t>
        </is>
      </c>
    </row>
    <row r="176">
      <c r="B176" t="inlineStr">
        <is>
          <t>NULL</t>
        </is>
      </c>
      <c r="C176" t="inlineStr">
        <is>
          <t>NULL</t>
        </is>
      </c>
      <c r="D176" t="inlineStr">
        <is>
          <t>NULL</t>
        </is>
      </c>
      <c r="E176" t="inlineStr">
        <is>
          <t>NULL</t>
        </is>
      </c>
      <c r="F176" t="inlineStr">
        <is>
          <t>NULL</t>
        </is>
      </c>
      <c r="G176" t="inlineStr">
        <is>
          <t>NULL</t>
        </is>
      </c>
      <c r="H176" t="inlineStr">
        <is>
          <t>NULL</t>
        </is>
      </c>
      <c r="I176" t="inlineStr">
        <is>
          <t>NULL</t>
        </is>
      </c>
      <c r="J176" t="inlineStr">
        <is>
          <t>NULL</t>
        </is>
      </c>
      <c r="K176" t="inlineStr">
        <is>
          <t xml:space="preserve"> NO!  	 c_datetime列源备映射错误，源端为datetime None位	期望更改为text	实际备端为datetime None位</t>
        </is>
      </c>
      <c r="EB176" t="inlineStr">
        <is>
          <t>['615', '', '', '', '', '0', '1', '0.000000000000000000000000001', '0.000000001', '0.0001', '0', '1', '0.000000000000000000000000000001', '0.000001', '0.01', '', '', '', '', '']行 ['717', '', '', '', '', '', '', '', '', '', '', '', '', '', '', '-123456789000000002003480098300000000000', '-340282306073709652508363335600000000000', '-123456.789', '-1234.5678', '0']列，源：34f36a32007ebec21089dbd0990acc32 备：f46445b22951f4e13095367fa188bfed</t>
        </is>
      </c>
    </row>
    <row r="177">
      <c r="A177" t="inlineStr">
        <is>
          <t>info_xml_dml_single_pk_drp</t>
        </is>
      </c>
      <c r="K177" t="inlineStr">
        <is>
          <t>[0;34m info_xml_dml_single_pk_drp [0m源备字段数相同，源端字段：2 	备端字段2</t>
        </is>
      </c>
      <c r="W177" t="inlineStr">
        <is>
          <t>YES 源备无差异</t>
        </is>
      </c>
      <c r="X177">
        <f>A177</f>
        <v/>
      </c>
      <c r="EB177" t="inlineStr">
        <is>
          <t>['701',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['720', '', '', '', '', '', '', '', '', '', '', '', '', '', '', '-340282346600000016151267322100000000000', '-340282306073709652508363335600000000000', '-922337203685477.5808', '-214748.3648', '0']列，源：36a5cc5f12929735b83a74c25c0c0968 备：5467c4e51329648b4f2e68804bc3400d</t>
        </is>
      </c>
    </row>
    <row r="178">
      <c r="B178" t="inlineStr">
        <is>
          <t>YES</t>
        </is>
      </c>
      <c r="C178" t="inlineStr">
        <is>
          <t>NULL</t>
        </is>
      </c>
      <c r="D178" t="inlineStr">
        <is>
          <t>NULL</t>
        </is>
      </c>
      <c r="E178" t="inlineStr">
        <is>
          <t>NULL</t>
        </is>
      </c>
      <c r="F178" t="inlineStr">
        <is>
          <t>NULL</t>
        </is>
      </c>
      <c r="G178" t="inlineStr">
        <is>
          <t>NULL</t>
        </is>
      </c>
      <c r="H178" t="inlineStr">
        <is>
          <t>NULL</t>
        </is>
      </c>
      <c r="I178" t="inlineStr">
        <is>
          <t>YES!PK__info_xml__3213E83F9CD7369F</t>
        </is>
      </c>
      <c r="J178" t="inlineStr">
        <is>
          <t>YES! 主键相关索引</t>
        </is>
      </c>
      <c r="K178" t="inlineStr">
        <is>
          <t xml:space="preserve"> NO!  	 id列源备映射错误，源端为int None位	期望更改为text	实际备端为int None位</t>
        </is>
      </c>
      <c r="EB178" t="inlineStr">
        <is>
          <t>['717', '', '', '', '', '', '', '', '', '', '', '', '', '', '', '-123456789000000002003480098325095514112', '-340282306073709652508363335590014353408', '-123456.789', '-1234.5678', '0']行 ['8', '0', '-32768', '-2147483648', '-9223372036854775808', '', '', '', '', '', '', '', '', '', '', '', '', '', '', '']列，源：bb8f1166d0b84dc73836ec227a34a1bc 备：1edc4e058b537207b894fced26cb6684</t>
        </is>
      </c>
    </row>
    <row r="179">
      <c r="B179" t="inlineStr">
        <is>
          <t>NULL</t>
        </is>
      </c>
      <c r="C179" t="inlineStr">
        <is>
          <t>NULL</t>
        </is>
      </c>
      <c r="D179" t="inlineStr">
        <is>
          <t>NULL</t>
        </is>
      </c>
      <c r="E179" t="inlineStr">
        <is>
          <t>NULL</t>
        </is>
      </c>
      <c r="F179" t="inlineStr">
        <is>
          <t>NULL</t>
        </is>
      </c>
      <c r="G179" t="inlineStr">
        <is>
          <t>NULL</t>
        </is>
      </c>
      <c r="H179" t="inlineStr">
        <is>
          <t>NULL</t>
        </is>
      </c>
      <c r="I179" t="inlineStr">
        <is>
          <t>NULL</t>
        </is>
      </c>
      <c r="J179" t="inlineStr">
        <is>
          <t>NULL</t>
        </is>
      </c>
      <c r="K179" t="inlineStr">
        <is>
          <t xml:space="preserve"> NO!  	 c_xml列源备映射错误，源端为xml -1位	期望更改为text	实际备端为xml -1位</t>
        </is>
      </c>
      <c r="EB179" t="inlineStr">
        <is>
          <t>['720', '', '', '', '', '', '', '', '', '', '', '', '', '', '', '-340282346600000016151267322115014000640', '-340282306073709652508363335590014353408', '-922337203685477.5808', '-214748.3648', '0']行 ['9', '42', '12345', '123456789', '123456789012345', '', '', '', '', '', '', '', '', '', '', '', '', '', '', '']列，源：e7f24c16ba66ef4c049c2bfe1d53a88e 备：cb1f41c38c4f51a51f38f3f6572afb83</t>
        </is>
      </c>
    </row>
    <row r="180">
      <c r="A180" t="inlineStr">
        <is>
          <t>info_nvarchar_dml_batch1_pk_drp2</t>
        </is>
      </c>
      <c r="K180" t="inlineStr">
        <is>
          <t>[0;34m info_nvarchar_dml_batch1_pk_drp2 [0m源备字段数相同，源端字段：4 	备端字段4</t>
        </is>
      </c>
      <c r="W180" t="inlineStr">
        <is>
          <t>YES 源备无差异</t>
        </is>
      </c>
      <c r="X180">
        <f>A180</f>
        <v/>
      </c>
      <c r="EB180" t="inlineStr">
        <is>
          <t>['901', '', '', '', '', '', '', '', '', '', '', '', '', '', '', '-178999999999999996376899522972626047077637637819240219954027593177370961667659291027329061638406108931437333529420935752785895444161234074984843178962619172326295244262722141766382622299223626438470088150218987997954747866198184686628013966119769261150988554952970462018533787926725176560021258785656871583744', '-339999995214436424907732413799364296704', '-922337203685477.5808', '-214748.3648', '0']行 ['901', '', '', '', '', '', '', '', '', '', '', '', '', '', '', '-179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 '-339999995214436424907732413800000000000', '-922337203685477.5808', '-214748.3648', '0']列，源：d8b621a1f051b15c5e88d36f11555ca8 备：d115184b64a17af51efc43f6a1bbf7b0</t>
        </is>
      </c>
    </row>
    <row r="181">
      <c r="B181" t="inlineStr">
        <is>
          <t>YES</t>
        </is>
      </c>
      <c r="C181" t="inlineStr">
        <is>
          <t>NULL</t>
        </is>
      </c>
      <c r="D181" t="inlineStr">
        <is>
          <t>NULL</t>
        </is>
      </c>
      <c r="E181" t="inlineStr">
        <is>
          <t>NULL</t>
        </is>
      </c>
      <c r="F181" t="inlineStr">
        <is>
          <t>NULL</t>
        </is>
      </c>
      <c r="G181" t="inlineStr">
        <is>
          <t>NULL</t>
        </is>
      </c>
      <c r="H181" t="inlineStr">
        <is>
          <t>NULL</t>
        </is>
      </c>
      <c r="I181" t="inlineStr">
        <is>
          <t>YES!PK__info_nva__3213E83FB2B04C94</t>
        </is>
      </c>
      <c r="J181" t="inlineStr">
        <is>
          <t>YES! 主键相关索引</t>
        </is>
      </c>
      <c r="K181" t="inlineStr">
        <is>
          <t xml:space="preserve"> NO!  	 id列源备映射错误，源端为int None位	期望更改为text	实际备端为int None位</t>
        </is>
      </c>
      <c r="EB181" t="inlineStr">
        <is>
          <t>['917', '', '', '', '', '', '', '', '', '', '', '', '', '', '', '-123456789000000002003480098325095514112', '-340282306073709652508363335590014353408', '-123456.789', '-1234.5678', '0']行 ['917', '', '', '', '', '', '', '', '', '', '', '', '', '', '', '-123456789000000002003480098300000000000', '-340282306073709652508363335600000000000', '-123456.789', '-1234.5678', '0']列，源：25eb2664c835cfda802a9e1ed5c70a8d 备：8ba1927931549b60d122f79d95db0fd6</t>
        </is>
      </c>
    </row>
    <row r="182">
      <c r="B182" t="inlineStr">
        <is>
          <t>NULL</t>
        </is>
      </c>
      <c r="C182" t="inlineStr">
        <is>
          <t>NULL</t>
        </is>
      </c>
      <c r="D182" t="inlineStr">
        <is>
          <t>NULL</t>
        </is>
      </c>
      <c r="E182" t="inlineStr">
        <is>
          <t>NULL</t>
        </is>
      </c>
      <c r="F182" t="inlineStr">
        <is>
          <t>NULL</t>
        </is>
      </c>
      <c r="G182" t="inlineStr">
        <is>
          <t>NULL</t>
        </is>
      </c>
      <c r="H182" t="inlineStr">
        <is>
          <t>NULL</t>
        </is>
      </c>
      <c r="I182" t="inlineStr">
        <is>
          <t>NULL</t>
        </is>
      </c>
      <c r="J182" t="inlineStr">
        <is>
          <t>NULL</t>
        </is>
      </c>
      <c r="K182" t="inlineStr">
        <is>
          <t xml:space="preserve"> NO!  	 c_nvarchar列源备映射错误，源端为nvarchar 2位	期望更改为text	实际备端为nvarchar 2位</t>
        </is>
      </c>
      <c r="EB182" t="inlineStr">
        <is>
          <t>['920', '', '', '', '', '', '', '', '', '', '', '', '', '', '', '-340282346600000016151267322115014000640', '-340282306073709652508363335590014353408', '-922337203685477.5808', '-214748.3648', '0']行 ['920', '', '', '', '', '', '', '', '', '', '', '', '', '', '', '-340282346600000016151267322100000000000', '-340282306073709652508363335600000000000', '-922337203685477.5808', '-214748.3648', '0']列，源：ae122dc0a185e6d683f44920b3928b38 备：7429096790e7fe8b065ec4c3290e90cc</t>
        </is>
      </c>
    </row>
    <row r="183">
      <c r="B183" t="inlineStr">
        <is>
          <t>NULL</t>
        </is>
      </c>
      <c r="C183" t="inlineStr">
        <is>
          <t>NULL</t>
        </is>
      </c>
      <c r="D183" t="inlineStr">
        <is>
          <t>NULL</t>
        </is>
      </c>
      <c r="E183" t="inlineStr">
        <is>
          <t>NULL</t>
        </is>
      </c>
      <c r="F183" t="inlineStr">
        <is>
          <t>NULL</t>
        </is>
      </c>
      <c r="G183" t="inlineStr">
        <is>
          <t>NULL</t>
        </is>
      </c>
      <c r="H183" t="inlineStr">
        <is>
          <t>NULL</t>
        </is>
      </c>
      <c r="I183" t="inlineStr">
        <is>
          <t>NULL</t>
        </is>
      </c>
      <c r="J183" t="inlineStr">
        <is>
          <t>NULL</t>
        </is>
      </c>
      <c r="K183" t="inlineStr">
        <is>
          <t xml:space="preserve"> NO!  	 c_nvarchar20列源备映射错误，源端为nvarchar 40位	期望更改为text	实际备端为nvarchar 40位</t>
        </is>
      </c>
    </row>
    <row r="184">
      <c r="B184" t="inlineStr">
        <is>
          <t>NULL</t>
        </is>
      </c>
      <c r="C184" t="inlineStr">
        <is>
          <t>NULL</t>
        </is>
      </c>
      <c r="D184" t="inlineStr">
        <is>
          <t>NULL</t>
        </is>
      </c>
      <c r="E184" t="inlineStr">
        <is>
          <t>NULL</t>
        </is>
      </c>
      <c r="F184" t="inlineStr">
        <is>
          <t>NULL</t>
        </is>
      </c>
      <c r="G184" t="inlineStr">
        <is>
          <t>NULL</t>
        </is>
      </c>
      <c r="H184" t="inlineStr">
        <is>
          <t>NULL</t>
        </is>
      </c>
      <c r="I184" t="inlineStr">
        <is>
          <t>NULL</t>
        </is>
      </c>
      <c r="J184" t="inlineStr">
        <is>
          <t>NULL</t>
        </is>
      </c>
      <c r="K184" t="inlineStr">
        <is>
          <t xml:space="preserve"> NO!  	 c_nvarchar3500列源备映射错误，源端为nchar 7000位	期望更改为text	实际备端为nchar 7000位</t>
        </is>
      </c>
    </row>
    <row r="185">
      <c r="A185" t="inlineStr">
        <is>
          <t>info_datetime_dml_batch1_pk_urp1</t>
        </is>
      </c>
      <c r="K185" t="inlineStr">
        <is>
          <t>[0;34m info_datetime_dml_batch1_pk_urp1 [0m源备字段数相同，源端字段：2 	备端字段2</t>
        </is>
      </c>
      <c r="W185" s="17">
        <f>HYPERLINK("#2026041919hbase0!AP2","NO 源备存在差异，共24个")</f>
        <v/>
      </c>
      <c r="X185">
        <f>A185</f>
        <v/>
      </c>
    </row>
    <row r="186">
      <c r="B186" t="inlineStr">
        <is>
          <t>YES</t>
        </is>
      </c>
      <c r="C186" t="inlineStr">
        <is>
          <t>NULL</t>
        </is>
      </c>
      <c r="D186" t="inlineStr">
        <is>
          <t>NULL</t>
        </is>
      </c>
      <c r="E186" t="inlineStr">
        <is>
          <t>NULL</t>
        </is>
      </c>
      <c r="F186" t="inlineStr">
        <is>
          <t>NULL</t>
        </is>
      </c>
      <c r="G186" t="inlineStr">
        <is>
          <t>NULL</t>
        </is>
      </c>
      <c r="H186" t="inlineStr">
        <is>
          <t>NULL</t>
        </is>
      </c>
      <c r="I186" t="inlineStr">
        <is>
          <t>YES!PK__info_dat__3213E83FDFFFB785</t>
        </is>
      </c>
      <c r="J186" t="inlineStr">
        <is>
          <t>YES! 主键相关索引</t>
        </is>
      </c>
      <c r="K186" t="inlineStr">
        <is>
          <t xml:space="preserve"> NO!  	 id列源备映射错误，源端为int None位	期望更改为text	实际备端为int None位</t>
        </is>
      </c>
    </row>
    <row r="187">
      <c r="B187" t="inlineStr">
        <is>
          <t>NULL</t>
        </is>
      </c>
      <c r="C187" t="inlineStr">
        <is>
          <t>NULL</t>
        </is>
      </c>
      <c r="D187" t="inlineStr">
        <is>
          <t>NULL</t>
        </is>
      </c>
      <c r="E187" t="inlineStr">
        <is>
          <t>NULL</t>
        </is>
      </c>
      <c r="F187" t="inlineStr">
        <is>
          <t>NULL</t>
        </is>
      </c>
      <c r="G187" t="inlineStr">
        <is>
          <t>NULL</t>
        </is>
      </c>
      <c r="H187" t="inlineStr">
        <is>
          <t>NULL</t>
        </is>
      </c>
      <c r="I187" t="inlineStr">
        <is>
          <t>NULL</t>
        </is>
      </c>
      <c r="J187" t="inlineStr">
        <is>
          <t>NULL</t>
        </is>
      </c>
      <c r="K187" t="inlineStr">
        <is>
          <t xml:space="preserve"> NO!  	 c_datetime列源备映射错误，源端为datetime None位	期望更改为text	实际备端为datetime None位</t>
        </is>
      </c>
    </row>
    <row r="188">
      <c r="A188" t="inlineStr">
        <is>
          <t>info_nchar_dml_single_pk_urp</t>
        </is>
      </c>
      <c r="K188" t="inlineStr">
        <is>
          <t>[0;34m info_nchar_dml_single_pk_urp [0m源备字段数相同，源端字段：4 	备端字段4</t>
        </is>
      </c>
      <c r="W188" s="17">
        <f>HYPERLINK("#2026041919hbase0!AQ2","NO 源备存在差异，共9个")</f>
        <v/>
      </c>
      <c r="X188">
        <f>A188</f>
        <v/>
      </c>
    </row>
    <row r="189">
      <c r="B189" t="inlineStr">
        <is>
          <t>YES</t>
        </is>
      </c>
      <c r="C189" t="inlineStr">
        <is>
          <t>NULL</t>
        </is>
      </c>
      <c r="D189" t="inlineStr">
        <is>
          <t>NULL</t>
        </is>
      </c>
      <c r="E189" t="inlineStr">
        <is>
          <t>NULL</t>
        </is>
      </c>
      <c r="F189" t="inlineStr">
        <is>
          <t>NULL</t>
        </is>
      </c>
      <c r="G189" t="inlineStr">
        <is>
          <t>NULL</t>
        </is>
      </c>
      <c r="H189" t="inlineStr">
        <is>
          <t>NULL</t>
        </is>
      </c>
      <c r="I189" t="inlineStr">
        <is>
          <t>YES!PK__info_nch__3213E83F8BC03FD0</t>
        </is>
      </c>
      <c r="J189" t="inlineStr">
        <is>
          <t>YES! 主键相关索引</t>
        </is>
      </c>
      <c r="K189" t="inlineStr">
        <is>
          <t xml:space="preserve"> NO!  	 id列源备映射错误，源端为int None位	期望更改为text	实际备端为int None位</t>
        </is>
      </c>
    </row>
    <row r="190">
      <c r="B190" t="inlineStr">
        <is>
          <t>NULL</t>
        </is>
      </c>
      <c r="C190" t="inlineStr">
        <is>
          <t>NULL</t>
        </is>
      </c>
      <c r="D190" t="inlineStr">
        <is>
          <t>NULL</t>
        </is>
      </c>
      <c r="E190" t="inlineStr">
        <is>
          <t>NULL</t>
        </is>
      </c>
      <c r="F190" t="inlineStr">
        <is>
          <t>NULL</t>
        </is>
      </c>
      <c r="G190" t="inlineStr">
        <is>
          <t>NULL</t>
        </is>
      </c>
      <c r="H190" t="inlineStr">
        <is>
          <t>NULL</t>
        </is>
      </c>
      <c r="I190" t="inlineStr">
        <is>
          <t>NULL</t>
        </is>
      </c>
      <c r="J190" t="inlineStr">
        <is>
          <t>NULL</t>
        </is>
      </c>
      <c r="K190" t="inlineStr">
        <is>
          <t xml:space="preserve"> NO!  	 c_nchar列源备映射错误，源端为nchar 2位	期望更改为text	实际备端为nchar 2位</t>
        </is>
      </c>
    </row>
    <row r="191">
      <c r="B191" t="inlineStr">
        <is>
          <t>NULL</t>
        </is>
      </c>
      <c r="C191" t="inlineStr">
        <is>
          <t>NULL</t>
        </is>
      </c>
      <c r="D191" t="inlineStr">
        <is>
          <t>NULL</t>
        </is>
      </c>
      <c r="E191" t="inlineStr">
        <is>
          <t>NULL</t>
        </is>
      </c>
      <c r="F191" t="inlineStr">
        <is>
          <t>NULL</t>
        </is>
      </c>
      <c r="G191" t="inlineStr">
        <is>
          <t>NULL</t>
        </is>
      </c>
      <c r="H191" t="inlineStr">
        <is>
          <t>NULL</t>
        </is>
      </c>
      <c r="I191" t="inlineStr">
        <is>
          <t>NULL</t>
        </is>
      </c>
      <c r="J191" t="inlineStr">
        <is>
          <t>NULL</t>
        </is>
      </c>
      <c r="K191" t="inlineStr">
        <is>
          <t xml:space="preserve"> NO!  	 c_nchar20列源备映射错误，源端为nchar 40位	期望更改为text	实际备端为nchar 40位</t>
        </is>
      </c>
    </row>
    <row r="192">
      <c r="B192" t="inlineStr">
        <is>
          <t>NULL</t>
        </is>
      </c>
      <c r="C192" t="inlineStr">
        <is>
          <t>NULL</t>
        </is>
      </c>
      <c r="D192" t="inlineStr">
        <is>
          <t>NULL</t>
        </is>
      </c>
      <c r="E192" t="inlineStr">
        <is>
          <t>NULL</t>
        </is>
      </c>
      <c r="F192" t="inlineStr">
        <is>
          <t>NULL</t>
        </is>
      </c>
      <c r="G192" t="inlineStr">
        <is>
          <t>NULL</t>
        </is>
      </c>
      <c r="H192" t="inlineStr">
        <is>
          <t>NULL</t>
        </is>
      </c>
      <c r="I192" t="inlineStr">
        <is>
          <t>NULL</t>
        </is>
      </c>
      <c r="J192" t="inlineStr">
        <is>
          <t>NULL</t>
        </is>
      </c>
      <c r="K192" t="inlineStr">
        <is>
          <t xml:space="preserve"> NO!  	 c_nchar3500列源备映射错误，源端为nchar 7000位	期望更改为text	实际备端为nchar 7000位</t>
        </is>
      </c>
    </row>
    <row r="193">
      <c r="A193" t="inlineStr">
        <is>
          <t>info_int_dml_batch1_pk_drp1</t>
        </is>
      </c>
      <c r="K193" t="inlineStr">
        <is>
          <t>[0;34m info_int_dml_batch1_pk_drp1 [0m源备字段数相同，源端字段：20 	备端字段20</t>
        </is>
      </c>
      <c r="W193" t="inlineStr">
        <is>
          <t>YES 源备无差异</t>
        </is>
      </c>
      <c r="X193">
        <f>A193</f>
        <v/>
      </c>
    </row>
    <row r="194">
      <c r="B194" t="inlineStr">
        <is>
          <t>YES</t>
        </is>
      </c>
      <c r="C194" t="inlineStr">
        <is>
          <t>NULL</t>
        </is>
      </c>
      <c r="D194" t="inlineStr">
        <is>
          <t>NULL</t>
        </is>
      </c>
      <c r="E194" t="inlineStr">
        <is>
          <t>NULL</t>
        </is>
      </c>
      <c r="F194" t="inlineStr">
        <is>
          <t>NULL</t>
        </is>
      </c>
      <c r="G194" t="inlineStr">
        <is>
          <t>NULL</t>
        </is>
      </c>
      <c r="H194" t="inlineStr">
        <is>
          <t>NULL</t>
        </is>
      </c>
      <c r="I194" t="inlineStr">
        <is>
          <t>YES!PK__info_int__3213E83FA623EACB</t>
        </is>
      </c>
      <c r="J194" t="inlineStr">
        <is>
          <t>YES! 主键相关索引</t>
        </is>
      </c>
      <c r="K194" t="inlineStr">
        <is>
          <t xml:space="preserve"> NO!  	 id列源备映射错误，源端为int None位	期望更改为text	实际备端为int None位</t>
        </is>
      </c>
    </row>
    <row r="195">
      <c r="B195" t="inlineStr">
        <is>
          <t>NULL</t>
        </is>
      </c>
      <c r="C195" t="inlineStr">
        <is>
          <t>NULL</t>
        </is>
      </c>
      <c r="D195" t="inlineStr">
        <is>
          <t>NULL</t>
        </is>
      </c>
      <c r="E195" t="inlineStr">
        <is>
          <t>NULL</t>
        </is>
      </c>
      <c r="F195" t="inlineStr">
        <is>
          <t>NULL</t>
        </is>
      </c>
      <c r="G195" t="inlineStr">
        <is>
          <t>NULL</t>
        </is>
      </c>
      <c r="H195" t="inlineStr">
        <is>
          <t>NULL</t>
        </is>
      </c>
      <c r="I195" t="inlineStr">
        <is>
          <t>NULL</t>
        </is>
      </c>
      <c r="J195" t="inlineStr">
        <is>
          <t>NULL</t>
        </is>
      </c>
      <c r="K195" t="inlineStr">
        <is>
          <t xml:space="preserve"> NO!  	 c_tinyint列源备映射错误，源端为tinyint None位	期望更改为text	实际备端为tinyint None位</t>
        </is>
      </c>
    </row>
    <row r="196">
      <c r="B196" t="inlineStr">
        <is>
          <t>NULL</t>
        </is>
      </c>
      <c r="C196" t="inlineStr">
        <is>
          <t>NULL</t>
        </is>
      </c>
      <c r="D196" t="inlineStr">
        <is>
          <t>NULL</t>
        </is>
      </c>
      <c r="E196" t="inlineStr">
        <is>
          <t>NULL</t>
        </is>
      </c>
      <c r="F196" t="inlineStr">
        <is>
          <t>NULL</t>
        </is>
      </c>
      <c r="G196" t="inlineStr">
        <is>
          <t>NULL</t>
        </is>
      </c>
      <c r="H196" t="inlineStr">
        <is>
          <t>NULL</t>
        </is>
      </c>
      <c r="I196" t="inlineStr">
        <is>
          <t>NULL</t>
        </is>
      </c>
      <c r="J196" t="inlineStr">
        <is>
          <t>NULL</t>
        </is>
      </c>
      <c r="K196" t="inlineStr">
        <is>
          <t xml:space="preserve"> NO!  	 c_smallint列源备映射错误，源端为smallint None位	期望更改为text	实际备端为smallint None位</t>
        </is>
      </c>
    </row>
    <row r="197">
      <c r="B197" t="inlineStr">
        <is>
          <t>NULL</t>
        </is>
      </c>
      <c r="C197" t="inlineStr">
        <is>
          <t>NULL</t>
        </is>
      </c>
      <c r="D197" t="inlineStr">
        <is>
          <t>NULL</t>
        </is>
      </c>
      <c r="E197" t="inlineStr">
        <is>
          <t>NULL</t>
        </is>
      </c>
      <c r="F197" t="inlineStr">
        <is>
          <t>NULL</t>
        </is>
      </c>
      <c r="G197" t="inlineStr">
        <is>
          <t>NULL</t>
        </is>
      </c>
      <c r="H197" t="inlineStr">
        <is>
          <t>NULL</t>
        </is>
      </c>
      <c r="I197" t="inlineStr">
        <is>
          <t>NULL</t>
        </is>
      </c>
      <c r="J197" t="inlineStr">
        <is>
          <t>NULL</t>
        </is>
      </c>
      <c r="K197" t="inlineStr">
        <is>
          <t xml:space="preserve"> NO!  	 c_int列源备映射错误，源端为int None位	期望更改为text	实际备端为int None位</t>
        </is>
      </c>
    </row>
    <row r="198">
      <c r="B198" t="inlineStr">
        <is>
          <t>NULL</t>
        </is>
      </c>
      <c r="C198" t="inlineStr">
        <is>
          <t>NULL</t>
        </is>
      </c>
      <c r="D198" t="inlineStr">
        <is>
          <t>NULL</t>
        </is>
      </c>
      <c r="E198" t="inlineStr">
        <is>
          <t>NULL</t>
        </is>
      </c>
      <c r="F198" t="inlineStr">
        <is>
          <t>NULL</t>
        </is>
      </c>
      <c r="G198" t="inlineStr">
        <is>
          <t>NULL</t>
        </is>
      </c>
      <c r="H198" t="inlineStr">
        <is>
          <t>NULL</t>
        </is>
      </c>
      <c r="I198" t="inlineStr">
        <is>
          <t>NULL</t>
        </is>
      </c>
      <c r="J198" t="inlineStr">
        <is>
          <t>NULL</t>
        </is>
      </c>
      <c r="K198" t="inlineStr">
        <is>
          <t xml:space="preserve"> NO!  	 c_bigint列源备映射错误，源端为bigint None位	期望更改为text	实际备端为bigint None位</t>
        </is>
      </c>
    </row>
    <row r="199">
      <c r="B199" t="inlineStr">
        <is>
          <t>NULL</t>
        </is>
      </c>
      <c r="C199" t="inlineStr">
        <is>
          <t>NULL</t>
        </is>
      </c>
      <c r="D199" t="inlineStr">
        <is>
          <t>NULL</t>
        </is>
      </c>
      <c r="E199" t="inlineStr">
        <is>
          <t>NULL</t>
        </is>
      </c>
      <c r="F199" t="inlineStr">
        <is>
          <t>NULL</t>
        </is>
      </c>
      <c r="G199" t="inlineStr">
        <is>
          <t>NULL</t>
        </is>
      </c>
      <c r="H199" t="inlineStr">
        <is>
          <t>NULL</t>
        </is>
      </c>
      <c r="I199" t="inlineStr">
        <is>
          <t>NULL</t>
        </is>
      </c>
      <c r="J199" t="inlineStr">
        <is>
          <t>NULL</t>
        </is>
      </c>
      <c r="K199" t="inlineStr">
        <is>
          <t xml:space="preserve"> NO!  	 c_decimal列源备映射错误，源端为decimal None位	期望更改为text	实际备端为decimal None位</t>
        </is>
      </c>
    </row>
    <row r="200">
      <c r="B200" t="inlineStr">
        <is>
          <t>NULL</t>
        </is>
      </c>
      <c r="C200" t="inlineStr">
        <is>
          <t>NULL</t>
        </is>
      </c>
      <c r="D200" t="inlineStr">
        <is>
          <t>NULL</t>
        </is>
      </c>
      <c r="E200" t="inlineStr">
        <is>
          <t>NULL</t>
        </is>
      </c>
      <c r="F200" t="inlineStr">
        <is>
          <t>NULL</t>
        </is>
      </c>
      <c r="G200" t="inlineStr">
        <is>
          <t>NULL</t>
        </is>
      </c>
      <c r="H200" t="inlineStr">
        <is>
          <t>NULL</t>
        </is>
      </c>
      <c r="I200" t="inlineStr">
        <is>
          <t>NULL</t>
        </is>
      </c>
      <c r="J200" t="inlineStr">
        <is>
          <t>NULL</t>
        </is>
      </c>
      <c r="K200" t="inlineStr">
        <is>
          <t xml:space="preserve"> NO!  	 c_decimal38列源备映射错误，源端为decimal None位	期望更改为text	实际备端为decimal None位</t>
        </is>
      </c>
    </row>
    <row r="201">
      <c r="B201" t="inlineStr">
        <is>
          <t>NULL</t>
        </is>
      </c>
      <c r="C201" t="inlineStr">
        <is>
          <t>NULL</t>
        </is>
      </c>
      <c r="D201" t="inlineStr">
        <is>
          <t>NULL</t>
        </is>
      </c>
      <c r="E201" t="inlineStr">
        <is>
          <t>NULL</t>
        </is>
      </c>
      <c r="F201" t="inlineStr">
        <is>
          <t>NULL</t>
        </is>
      </c>
      <c r="G201" t="inlineStr">
        <is>
          <t>NULL</t>
        </is>
      </c>
      <c r="H201" t="inlineStr">
        <is>
          <t>NULL</t>
        </is>
      </c>
      <c r="I201" t="inlineStr">
        <is>
          <t>NULL</t>
        </is>
      </c>
      <c r="J201" t="inlineStr">
        <is>
          <t>NULL</t>
        </is>
      </c>
      <c r="K201" t="inlineStr">
        <is>
          <t xml:space="preserve"> NO!  	 c_decimal38_38列源备映射错误，源端为decimal None位	期望更改为text	实际备端为decimal None位</t>
        </is>
      </c>
    </row>
    <row r="202">
      <c r="B202" t="inlineStr">
        <is>
          <t>NULL</t>
        </is>
      </c>
      <c r="C202" t="inlineStr">
        <is>
          <t>NULL</t>
        </is>
      </c>
      <c r="D202" t="inlineStr">
        <is>
          <t>NULL</t>
        </is>
      </c>
      <c r="E202" t="inlineStr">
        <is>
          <t>NULL</t>
        </is>
      </c>
      <c r="F202" t="inlineStr">
        <is>
          <t>NULL</t>
        </is>
      </c>
      <c r="G202" t="inlineStr">
        <is>
          <t>NULL</t>
        </is>
      </c>
      <c r="H202" t="inlineStr">
        <is>
          <t>NULL</t>
        </is>
      </c>
      <c r="I202" t="inlineStr">
        <is>
          <t>NULL</t>
        </is>
      </c>
      <c r="J202" t="inlineStr">
        <is>
          <t>NULL</t>
        </is>
      </c>
      <c r="K202" t="inlineStr">
        <is>
          <t xml:space="preserve"> NO!  	 c_decimal38_10列源备映射错误，源端为decimal None位	期望更改为text	实际备端为decimal None位</t>
        </is>
      </c>
    </row>
    <row r="203">
      <c r="B203" t="inlineStr">
        <is>
          <t>NULL</t>
        </is>
      </c>
      <c r="C203" t="inlineStr">
        <is>
          <t>NULL</t>
        </is>
      </c>
      <c r="D203" t="inlineStr">
        <is>
          <t>NULL</t>
        </is>
      </c>
      <c r="E203" t="inlineStr">
        <is>
          <t>NULL</t>
        </is>
      </c>
      <c r="F203" t="inlineStr">
        <is>
          <t>NULL</t>
        </is>
      </c>
      <c r="G203" t="inlineStr">
        <is>
          <t>NULL</t>
        </is>
      </c>
      <c r="H203" t="inlineStr">
        <is>
          <t>NULL</t>
        </is>
      </c>
      <c r="I203" t="inlineStr">
        <is>
          <t>NULL</t>
        </is>
      </c>
      <c r="J203" t="inlineStr">
        <is>
          <t>NULL</t>
        </is>
      </c>
      <c r="K203" t="inlineStr">
        <is>
          <t xml:space="preserve"> NO!  	 c_decimal19_4列源备映射错误，源端为decimal None位	期望更改为text	实际备端为decimal None位</t>
        </is>
      </c>
    </row>
    <row r="204">
      <c r="B204" t="inlineStr">
        <is>
          <t>NULL</t>
        </is>
      </c>
      <c r="C204" t="inlineStr">
        <is>
          <t>NULL</t>
        </is>
      </c>
      <c r="D204" t="inlineStr">
        <is>
          <t>NULL</t>
        </is>
      </c>
      <c r="E204" t="inlineStr">
        <is>
          <t>NULL</t>
        </is>
      </c>
      <c r="F204" t="inlineStr">
        <is>
          <t>NULL</t>
        </is>
      </c>
      <c r="G204" t="inlineStr">
        <is>
          <t>NULL</t>
        </is>
      </c>
      <c r="H204" t="inlineStr">
        <is>
          <t>NULL</t>
        </is>
      </c>
      <c r="I204" t="inlineStr">
        <is>
          <t>NULL</t>
        </is>
      </c>
      <c r="J204" t="inlineStr">
        <is>
          <t>NULL</t>
        </is>
      </c>
      <c r="K204" t="inlineStr">
        <is>
          <t xml:space="preserve"> NO!  	 c_numeric列源备映射错误，源端为numeric None位	期望更改为text	实际备端为numeric None位</t>
        </is>
      </c>
    </row>
    <row r="205">
      <c r="B205" t="inlineStr">
        <is>
          <t>NULL</t>
        </is>
      </c>
      <c r="C205" t="inlineStr">
        <is>
          <t>NULL</t>
        </is>
      </c>
      <c r="D205" t="inlineStr">
        <is>
          <t>NULL</t>
        </is>
      </c>
      <c r="E205" t="inlineStr">
        <is>
          <t>NULL</t>
        </is>
      </c>
      <c r="F205" t="inlineStr">
        <is>
          <t>NULL</t>
        </is>
      </c>
      <c r="G205" t="inlineStr">
        <is>
          <t>NULL</t>
        </is>
      </c>
      <c r="H205" t="inlineStr">
        <is>
          <t>NULL</t>
        </is>
      </c>
      <c r="I205" t="inlineStr">
        <is>
          <t>NULL</t>
        </is>
      </c>
      <c r="J205" t="inlineStr">
        <is>
          <t>NULL</t>
        </is>
      </c>
      <c r="K205" t="inlineStr">
        <is>
          <t xml:space="preserve"> NO!  	 c_numeric38列源备映射错误，源端为numeric None位	期望更改为text	实际备端为numeric None位</t>
        </is>
      </c>
    </row>
    <row r="206">
      <c r="B206" t="inlineStr">
        <is>
          <t>NULL</t>
        </is>
      </c>
      <c r="C206" t="inlineStr">
        <is>
          <t>NULL</t>
        </is>
      </c>
      <c r="D206" t="inlineStr">
        <is>
          <t>NULL</t>
        </is>
      </c>
      <c r="E206" t="inlineStr">
        <is>
          <t>NULL</t>
        </is>
      </c>
      <c r="F206" t="inlineStr">
        <is>
          <t>NULL</t>
        </is>
      </c>
      <c r="G206" t="inlineStr">
        <is>
          <t>NULL</t>
        </is>
      </c>
      <c r="H206" t="inlineStr">
        <is>
          <t>NULL</t>
        </is>
      </c>
      <c r="I206" t="inlineStr">
        <is>
          <t>NULL</t>
        </is>
      </c>
      <c r="J206" t="inlineStr">
        <is>
          <t>NULL</t>
        </is>
      </c>
      <c r="K206" t="inlineStr">
        <is>
          <t xml:space="preserve"> NO!  	 c_numeric38_38列源备映射错误，源端为numeric None位	期望更改为text	实际备端为numeric None位</t>
        </is>
      </c>
    </row>
    <row r="207">
      <c r="B207" t="inlineStr">
        <is>
          <t>NULL</t>
        </is>
      </c>
      <c r="C207" t="inlineStr">
        <is>
          <t>NULL</t>
        </is>
      </c>
      <c r="D207" t="inlineStr">
        <is>
          <t>NULL</t>
        </is>
      </c>
      <c r="E207" t="inlineStr">
        <is>
          <t>NULL</t>
        </is>
      </c>
      <c r="F207" t="inlineStr">
        <is>
          <t>NULL</t>
        </is>
      </c>
      <c r="G207" t="inlineStr">
        <is>
          <t>NULL</t>
        </is>
      </c>
      <c r="H207" t="inlineStr">
        <is>
          <t>NULL</t>
        </is>
      </c>
      <c r="I207" t="inlineStr">
        <is>
          <t>NULL</t>
        </is>
      </c>
      <c r="J207" t="inlineStr">
        <is>
          <t>NULL</t>
        </is>
      </c>
      <c r="K207" t="inlineStr">
        <is>
          <t xml:space="preserve"> NO!  	 c_numeric38_10列源备映射错误，源端为numeric None位	期望更改为text	实际备端为numeric None位</t>
        </is>
      </c>
    </row>
    <row r="208">
      <c r="B208" t="inlineStr">
        <is>
          <t>NULL</t>
        </is>
      </c>
      <c r="C208" t="inlineStr">
        <is>
          <t>NULL</t>
        </is>
      </c>
      <c r="D208" t="inlineStr">
        <is>
          <t>NULL</t>
        </is>
      </c>
      <c r="E208" t="inlineStr">
        <is>
          <t>NULL</t>
        </is>
      </c>
      <c r="F208" t="inlineStr">
        <is>
          <t>NULL</t>
        </is>
      </c>
      <c r="G208" t="inlineStr">
        <is>
          <t>NULL</t>
        </is>
      </c>
      <c r="H208" t="inlineStr">
        <is>
          <t>NULL</t>
        </is>
      </c>
      <c r="I208" t="inlineStr">
        <is>
          <t>NULL</t>
        </is>
      </c>
      <c r="J208" t="inlineStr">
        <is>
          <t>NULL</t>
        </is>
      </c>
      <c r="K208" t="inlineStr">
        <is>
          <t xml:space="preserve"> NO!  	 c_numeric18_2列源备映射错误，源端为numeric None位	期望更改为text	实际备端为numeric None位</t>
        </is>
      </c>
    </row>
    <row r="209">
      <c r="B209" t="inlineStr">
        <is>
          <t>NULL</t>
        </is>
      </c>
      <c r="C209" t="inlineStr">
        <is>
          <t>NULL</t>
        </is>
      </c>
      <c r="D209" t="inlineStr">
        <is>
          <t>NULL</t>
        </is>
      </c>
      <c r="E209" t="inlineStr">
        <is>
          <t>NULL</t>
        </is>
      </c>
      <c r="F209" t="inlineStr">
        <is>
          <t>NULL</t>
        </is>
      </c>
      <c r="G209" t="inlineStr">
        <is>
          <t>NULL</t>
        </is>
      </c>
      <c r="H209" t="inlineStr">
        <is>
          <t>NULL</t>
        </is>
      </c>
      <c r="I209" t="inlineStr">
        <is>
          <t>NULL</t>
        </is>
      </c>
      <c r="J209" t="inlineStr">
        <is>
          <t>NULL</t>
        </is>
      </c>
      <c r="K209" t="inlineStr">
        <is>
          <t xml:space="preserve"> NO!  	 c_float列源备映射错误，源端为float None位	期望更改为text	实际备端为float None位</t>
        </is>
      </c>
    </row>
    <row r="210">
      <c r="B210" t="inlineStr">
        <is>
          <t>NULL</t>
        </is>
      </c>
      <c r="C210" t="inlineStr">
        <is>
          <t>NULL</t>
        </is>
      </c>
      <c r="D210" t="inlineStr">
        <is>
          <t>NULL</t>
        </is>
      </c>
      <c r="E210" t="inlineStr">
        <is>
          <t>NULL</t>
        </is>
      </c>
      <c r="F210" t="inlineStr">
        <is>
          <t>NULL</t>
        </is>
      </c>
      <c r="G210" t="inlineStr">
        <is>
          <t>NULL</t>
        </is>
      </c>
      <c r="H210" t="inlineStr">
        <is>
          <t>NULL</t>
        </is>
      </c>
      <c r="I210" t="inlineStr">
        <is>
          <t>NULL</t>
        </is>
      </c>
      <c r="J210" t="inlineStr">
        <is>
          <t>NULL</t>
        </is>
      </c>
      <c r="K210" t="inlineStr">
        <is>
          <t xml:space="preserve"> NO!  	 c_real列源备映射错误，源端为real None位	期望更改为text	实际备端为real None位</t>
        </is>
      </c>
    </row>
    <row r="211">
      <c r="B211" t="inlineStr">
        <is>
          <t>NULL</t>
        </is>
      </c>
      <c r="C211" t="inlineStr">
        <is>
          <t>NULL</t>
        </is>
      </c>
      <c r="D211" t="inlineStr">
        <is>
          <t>NULL</t>
        </is>
      </c>
      <c r="E211" t="inlineStr">
        <is>
          <t>NULL</t>
        </is>
      </c>
      <c r="F211" t="inlineStr">
        <is>
          <t>NULL</t>
        </is>
      </c>
      <c r="G211" t="inlineStr">
        <is>
          <t>NULL</t>
        </is>
      </c>
      <c r="H211" t="inlineStr">
        <is>
          <t>NULL</t>
        </is>
      </c>
      <c r="I211" t="inlineStr">
        <is>
          <t>NULL</t>
        </is>
      </c>
      <c r="J211" t="inlineStr">
        <is>
          <t>NULL</t>
        </is>
      </c>
      <c r="K211" t="inlineStr">
        <is>
          <t xml:space="preserve"> NO!  	 c_money列源备映射错误，源端为money None位	期望更改为text	实际备端为money None位</t>
        </is>
      </c>
    </row>
    <row r="212">
      <c r="B212" t="inlineStr">
        <is>
          <t>NULL</t>
        </is>
      </c>
      <c r="C212" t="inlineStr">
        <is>
          <t>NULL</t>
        </is>
      </c>
      <c r="D212" t="inlineStr">
        <is>
          <t>NULL</t>
        </is>
      </c>
      <c r="E212" t="inlineStr">
        <is>
          <t>NULL</t>
        </is>
      </c>
      <c r="F212" t="inlineStr">
        <is>
          <t>NULL</t>
        </is>
      </c>
      <c r="G212" t="inlineStr">
        <is>
          <t>NULL</t>
        </is>
      </c>
      <c r="H212" t="inlineStr">
        <is>
          <t>NULL</t>
        </is>
      </c>
      <c r="I212" t="inlineStr">
        <is>
          <t>NULL</t>
        </is>
      </c>
      <c r="J212" t="inlineStr">
        <is>
          <t>NULL</t>
        </is>
      </c>
      <c r="K212" t="inlineStr">
        <is>
          <t xml:space="preserve"> NO!  	 c_smallmoney列源备映射错误，源端为smallmoney None位	期望更改为text	实际备端为smallmoney None位</t>
        </is>
      </c>
    </row>
    <row r="213">
      <c r="B213" t="inlineStr">
        <is>
          <t>NULL</t>
        </is>
      </c>
      <c r="C213" t="inlineStr">
        <is>
          <t>NULL</t>
        </is>
      </c>
      <c r="D213" t="inlineStr">
        <is>
          <t>NULL</t>
        </is>
      </c>
      <c r="E213" t="inlineStr">
        <is>
          <t>NULL</t>
        </is>
      </c>
      <c r="F213" t="inlineStr">
        <is>
          <t>NULL</t>
        </is>
      </c>
      <c r="G213" t="inlineStr">
        <is>
          <t>NULL</t>
        </is>
      </c>
      <c r="H213" t="inlineStr">
        <is>
          <t>NULL</t>
        </is>
      </c>
      <c r="I213" t="inlineStr">
        <is>
          <t>NULL</t>
        </is>
      </c>
      <c r="J213" t="inlineStr">
        <is>
          <t>NULL</t>
        </is>
      </c>
      <c r="K213" t="inlineStr">
        <is>
          <t xml:space="preserve"> NO!  	 c_bit列源备映射错误，源端为bit None位	期望更改为text	实际备端为bit None位</t>
        </is>
      </c>
    </row>
    <row r="214">
      <c r="K214" t="inlineStr">
        <is>
          <t>~ 空表</t>
        </is>
      </c>
    </row>
    <row r="215">
      <c r="A215" t="inlineStr">
        <is>
          <t>info_char_dml_batch1_pk_irp1</t>
        </is>
      </c>
      <c r="K215" t="inlineStr">
        <is>
          <t>[0;34m info_char_dml_batch1_pk_irp1 [0m源备字段数相同，源端字段：4 	备端字段4</t>
        </is>
      </c>
      <c r="W215" t="inlineStr">
        <is>
          <t>YES 源备无差异</t>
        </is>
      </c>
      <c r="X215">
        <f>A215</f>
        <v/>
      </c>
    </row>
    <row r="216">
      <c r="B216" t="inlineStr">
        <is>
          <t>YES</t>
        </is>
      </c>
      <c r="C216" t="inlineStr">
        <is>
          <t>NULL</t>
        </is>
      </c>
      <c r="D216" t="inlineStr">
        <is>
          <t>NULL</t>
        </is>
      </c>
      <c r="E216" t="inlineStr">
        <is>
          <t>NULL</t>
        </is>
      </c>
      <c r="F216" t="inlineStr">
        <is>
          <t>NULL</t>
        </is>
      </c>
      <c r="G216" t="inlineStr">
        <is>
          <t>NULL</t>
        </is>
      </c>
      <c r="H216" t="inlineStr">
        <is>
          <t>NULL</t>
        </is>
      </c>
      <c r="I216" t="inlineStr">
        <is>
          <t>YES!PK__info_cha__3213E83F9D165F65</t>
        </is>
      </c>
      <c r="J216" t="inlineStr">
        <is>
          <t>YES! 主键相关索引</t>
        </is>
      </c>
      <c r="K216" t="inlineStr">
        <is>
          <t xml:space="preserve"> NO!  	 id列源备映射错误，源端为int None位	期望更改为text	实际备端为int None位</t>
        </is>
      </c>
    </row>
    <row r="217">
      <c r="B217" t="inlineStr">
        <is>
          <t>NULL</t>
        </is>
      </c>
      <c r="C217" t="inlineStr">
        <is>
          <t>NULL</t>
        </is>
      </c>
      <c r="D217" t="inlineStr">
        <is>
          <t>NULL</t>
        </is>
      </c>
      <c r="E217" t="inlineStr">
        <is>
          <t>NULL</t>
        </is>
      </c>
      <c r="F217" t="inlineStr">
        <is>
          <t>NULL</t>
        </is>
      </c>
      <c r="G217" t="inlineStr">
        <is>
          <t>NULL</t>
        </is>
      </c>
      <c r="H217" t="inlineStr">
        <is>
          <t>NULL</t>
        </is>
      </c>
      <c r="I217" t="inlineStr">
        <is>
          <t>NULL</t>
        </is>
      </c>
      <c r="J217" t="inlineStr">
        <is>
          <t>NULL</t>
        </is>
      </c>
      <c r="K217" t="inlineStr">
        <is>
          <t xml:space="preserve"> NO!  	 c_char列源备映射错误，源端为char 1位	期望更改为text	实际备端为char 1位</t>
        </is>
      </c>
    </row>
    <row r="218">
      <c r="B218" t="inlineStr">
        <is>
          <t>NULL</t>
        </is>
      </c>
      <c r="C218" t="inlineStr">
        <is>
          <t>NULL</t>
        </is>
      </c>
      <c r="D218" t="inlineStr">
        <is>
          <t>NULL</t>
        </is>
      </c>
      <c r="E218" t="inlineStr">
        <is>
          <t>NULL</t>
        </is>
      </c>
      <c r="F218" t="inlineStr">
        <is>
          <t>NULL</t>
        </is>
      </c>
      <c r="G218" t="inlineStr">
        <is>
          <t>NULL</t>
        </is>
      </c>
      <c r="H218" t="inlineStr">
        <is>
          <t>NULL</t>
        </is>
      </c>
      <c r="I218" t="inlineStr">
        <is>
          <t>NULL</t>
        </is>
      </c>
      <c r="J218" t="inlineStr">
        <is>
          <t>NULL</t>
        </is>
      </c>
      <c r="K218" t="inlineStr">
        <is>
          <t xml:space="preserve"> NO!  	 c_char20列源备映射错误，源端为char 20位	期望更改为text	实际备端为char 20位</t>
        </is>
      </c>
    </row>
    <row r="219">
      <c r="B219" t="inlineStr">
        <is>
          <t>NULL</t>
        </is>
      </c>
      <c r="C219" t="inlineStr">
        <is>
          <t>NULL</t>
        </is>
      </c>
      <c r="D219" t="inlineStr">
        <is>
          <t>NULL</t>
        </is>
      </c>
      <c r="E219" t="inlineStr">
        <is>
          <t>NULL</t>
        </is>
      </c>
      <c r="F219" t="inlineStr">
        <is>
          <t>NULL</t>
        </is>
      </c>
      <c r="G219" t="inlineStr">
        <is>
          <t>NULL</t>
        </is>
      </c>
      <c r="H219" t="inlineStr">
        <is>
          <t>NULL</t>
        </is>
      </c>
      <c r="I219" t="inlineStr">
        <is>
          <t>NULL</t>
        </is>
      </c>
      <c r="J219" t="inlineStr">
        <is>
          <t>NULL</t>
        </is>
      </c>
      <c r="K219" t="inlineStr">
        <is>
          <t xml:space="preserve"> NO!  	 c_char200列源备映射错误，源端为char 200位	期望更改为text	实际备端为char 200位</t>
        </is>
      </c>
    </row>
    <row r="220">
      <c r="K220" t="inlineStr">
        <is>
          <t>~ 空表</t>
        </is>
      </c>
    </row>
    <row r="221">
      <c r="A221" t="inlineStr">
        <is>
          <t>info_xml_dml_single_pk</t>
        </is>
      </c>
      <c r="K221" t="inlineStr">
        <is>
          <t>[0;34m info_xml_dml_single_pk [0m源备字段数相同，源端字段：2 	备端字段2</t>
        </is>
      </c>
      <c r="W221" t="inlineStr">
        <is>
          <t>YES 源备无差异</t>
        </is>
      </c>
      <c r="X221">
        <f>A221</f>
        <v/>
      </c>
    </row>
    <row r="222">
      <c r="B222" t="inlineStr">
        <is>
          <t>YES</t>
        </is>
      </c>
      <c r="C222" t="inlineStr">
        <is>
          <t>NULL</t>
        </is>
      </c>
      <c r="D222" t="inlineStr">
        <is>
          <t>NULL</t>
        </is>
      </c>
      <c r="E222" t="inlineStr">
        <is>
          <t>NULL</t>
        </is>
      </c>
      <c r="F222" t="inlineStr">
        <is>
          <t>NULL</t>
        </is>
      </c>
      <c r="G222" t="inlineStr">
        <is>
          <t>NULL</t>
        </is>
      </c>
      <c r="H222" t="inlineStr">
        <is>
          <t>NULL</t>
        </is>
      </c>
      <c r="I222" t="inlineStr">
        <is>
          <t>YES!PK__info_xml__3213E83F36822F3E</t>
        </is>
      </c>
      <c r="J222" t="inlineStr">
        <is>
          <t>YES! 主键相关索引</t>
        </is>
      </c>
      <c r="K222" t="inlineStr">
        <is>
          <t xml:space="preserve"> NO!  	 id列源备映射错误，源端为int None位	期望更改为text	实际备端为int None位</t>
        </is>
      </c>
    </row>
    <row r="223">
      <c r="B223" t="inlineStr">
        <is>
          <t>NULL</t>
        </is>
      </c>
      <c r="C223" t="inlineStr">
        <is>
          <t>NULL</t>
        </is>
      </c>
      <c r="D223" t="inlineStr">
        <is>
          <t>NULL</t>
        </is>
      </c>
      <c r="E223" t="inlineStr">
        <is>
          <t>NULL</t>
        </is>
      </c>
      <c r="F223" t="inlineStr">
        <is>
          <t>NULL</t>
        </is>
      </c>
      <c r="G223" t="inlineStr">
        <is>
          <t>NULL</t>
        </is>
      </c>
      <c r="H223" t="inlineStr">
        <is>
          <t>NULL</t>
        </is>
      </c>
      <c r="I223" t="inlineStr">
        <is>
          <t>NULL</t>
        </is>
      </c>
      <c r="J223" t="inlineStr">
        <is>
          <t>NULL</t>
        </is>
      </c>
      <c r="K223" t="inlineStr">
        <is>
          <t xml:space="preserve"> NO!  	 c_xml列源备映射错误，源端为xml -1位	期望更改为text	实际备端为xml -1位</t>
        </is>
      </c>
    </row>
    <row r="224">
      <c r="A224" t="inlineStr">
        <is>
          <t>info_geometry_dml_single_pk_drp</t>
        </is>
      </c>
      <c r="K224" t="inlineStr">
        <is>
          <t>[0;34m info_geometry_dml_single_pk_drp [0m源备字段数相同，源端字段：2 	备端字段2</t>
        </is>
      </c>
      <c r="W224" t="inlineStr">
        <is>
          <t>YES 源备无差异</t>
        </is>
      </c>
      <c r="X224">
        <f>A224</f>
        <v/>
      </c>
    </row>
    <row r="225">
      <c r="B225" t="inlineStr">
        <is>
          <t>YES</t>
        </is>
      </c>
      <c r="C225" t="inlineStr">
        <is>
          <t>NULL</t>
        </is>
      </c>
      <c r="D225" t="inlineStr">
        <is>
          <t>NULL</t>
        </is>
      </c>
      <c r="E225" t="inlineStr">
        <is>
          <t>NULL</t>
        </is>
      </c>
      <c r="F225" t="inlineStr">
        <is>
          <t>NULL</t>
        </is>
      </c>
      <c r="G225" t="inlineStr">
        <is>
          <t>NULL</t>
        </is>
      </c>
      <c r="H225" t="inlineStr">
        <is>
          <t>NULL</t>
        </is>
      </c>
      <c r="I225" t="inlineStr">
        <is>
          <t>YES!PK__info_geo__3213E83FE0A4EF05</t>
        </is>
      </c>
      <c r="J225" t="inlineStr">
        <is>
          <t>YES! 主键相关索引</t>
        </is>
      </c>
      <c r="K225" t="inlineStr">
        <is>
          <t xml:space="preserve"> NO!  	 id列源备映射错误，源端为int None位	期望更改为text	实际备端为int None位</t>
        </is>
      </c>
    </row>
    <row r="226">
      <c r="B226" t="inlineStr">
        <is>
          <t>NULL</t>
        </is>
      </c>
      <c r="C226" t="inlineStr">
        <is>
          <t>NULL</t>
        </is>
      </c>
      <c r="D226" t="inlineStr">
        <is>
          <t>NULL</t>
        </is>
      </c>
      <c r="E226" t="inlineStr">
        <is>
          <t>NULL</t>
        </is>
      </c>
      <c r="F226" t="inlineStr">
        <is>
          <t>NULL</t>
        </is>
      </c>
      <c r="G226" t="inlineStr">
        <is>
          <t>NULL</t>
        </is>
      </c>
      <c r="H226" t="inlineStr">
        <is>
          <t>NULL</t>
        </is>
      </c>
      <c r="I226" t="inlineStr">
        <is>
          <t>NULL</t>
        </is>
      </c>
      <c r="J226" t="inlineStr">
        <is>
          <t>NULL</t>
        </is>
      </c>
      <c r="K226" t="inlineStr">
        <is>
          <t xml:space="preserve"> NO!  	 c_geometry列源备映射错误，源端为geometry -1位	期望更改为text	实际备端为geometry -1位</t>
        </is>
      </c>
    </row>
    <row r="227">
      <c r="A227" t="inlineStr">
        <is>
          <t>info_nchar_dml_single_pk_drp</t>
        </is>
      </c>
      <c r="K227" t="inlineStr">
        <is>
          <t>[0;34m info_nchar_dml_single_pk_drp [0m源备字段数相同，源端字段：4 	备端字段4</t>
        </is>
      </c>
      <c r="W227" t="inlineStr">
        <is>
          <t>YES 源备无差异</t>
        </is>
      </c>
      <c r="X227">
        <f>A227</f>
        <v/>
      </c>
    </row>
    <row r="228">
      <c r="B228" t="inlineStr">
        <is>
          <t>YES</t>
        </is>
      </c>
      <c r="C228" t="inlineStr">
        <is>
          <t>NULL</t>
        </is>
      </c>
      <c r="D228" t="inlineStr">
        <is>
          <t>NULL</t>
        </is>
      </c>
      <c r="E228" t="inlineStr">
        <is>
          <t>NULL</t>
        </is>
      </c>
      <c r="F228" t="inlineStr">
        <is>
          <t>NULL</t>
        </is>
      </c>
      <c r="G228" t="inlineStr">
        <is>
          <t>NULL</t>
        </is>
      </c>
      <c r="H228" t="inlineStr">
        <is>
          <t>NULL</t>
        </is>
      </c>
      <c r="I228" t="inlineStr">
        <is>
          <t>YES!PK__info_nch__3213E83FAA8E480E</t>
        </is>
      </c>
      <c r="J228" t="inlineStr">
        <is>
          <t>YES! 主键相关索引</t>
        </is>
      </c>
      <c r="K228" t="inlineStr">
        <is>
          <t xml:space="preserve"> NO!  	 id列源备映射错误，源端为int None位	期望更改为text	实际备端为int None位</t>
        </is>
      </c>
    </row>
    <row r="229">
      <c r="B229" t="inlineStr">
        <is>
          <t>NULL</t>
        </is>
      </c>
      <c r="C229" t="inlineStr">
        <is>
          <t>NULL</t>
        </is>
      </c>
      <c r="D229" t="inlineStr">
        <is>
          <t>NULL</t>
        </is>
      </c>
      <c r="E229" t="inlineStr">
        <is>
          <t>NULL</t>
        </is>
      </c>
      <c r="F229" t="inlineStr">
        <is>
          <t>NULL</t>
        </is>
      </c>
      <c r="G229" t="inlineStr">
        <is>
          <t>NULL</t>
        </is>
      </c>
      <c r="H229" t="inlineStr">
        <is>
          <t>NULL</t>
        </is>
      </c>
      <c r="I229" t="inlineStr">
        <is>
          <t>NULL</t>
        </is>
      </c>
      <c r="J229" t="inlineStr">
        <is>
          <t>NULL</t>
        </is>
      </c>
      <c r="K229" t="inlineStr">
        <is>
          <t xml:space="preserve"> NO!  	 c_nchar列源备映射错误，源端为nchar 2位	期望更改为text	实际备端为nchar 2位</t>
        </is>
      </c>
    </row>
    <row r="230">
      <c r="B230" t="inlineStr">
        <is>
          <t>NULL</t>
        </is>
      </c>
      <c r="C230" t="inlineStr">
        <is>
          <t>NULL</t>
        </is>
      </c>
      <c r="D230" t="inlineStr">
        <is>
          <t>NULL</t>
        </is>
      </c>
      <c r="E230" t="inlineStr">
        <is>
          <t>NULL</t>
        </is>
      </c>
      <c r="F230" t="inlineStr">
        <is>
          <t>NULL</t>
        </is>
      </c>
      <c r="G230" t="inlineStr">
        <is>
          <t>NULL</t>
        </is>
      </c>
      <c r="H230" t="inlineStr">
        <is>
          <t>NULL</t>
        </is>
      </c>
      <c r="I230" t="inlineStr">
        <is>
          <t>NULL</t>
        </is>
      </c>
      <c r="J230" t="inlineStr">
        <is>
          <t>NULL</t>
        </is>
      </c>
      <c r="K230" t="inlineStr">
        <is>
          <t xml:space="preserve"> NO!  	 c_nchar20列源备映射错误，源端为nchar 40位	期望更改为text	实际备端为nchar 40位</t>
        </is>
      </c>
    </row>
    <row r="231">
      <c r="B231" t="inlineStr">
        <is>
          <t>NULL</t>
        </is>
      </c>
      <c r="C231" t="inlineStr">
        <is>
          <t>NULL</t>
        </is>
      </c>
      <c r="D231" t="inlineStr">
        <is>
          <t>NULL</t>
        </is>
      </c>
      <c r="E231" t="inlineStr">
        <is>
          <t>NULL</t>
        </is>
      </c>
      <c r="F231" t="inlineStr">
        <is>
          <t>NULL</t>
        </is>
      </c>
      <c r="G231" t="inlineStr">
        <is>
          <t>NULL</t>
        </is>
      </c>
      <c r="H231" t="inlineStr">
        <is>
          <t>NULL</t>
        </is>
      </c>
      <c r="I231" t="inlineStr">
        <is>
          <t>NULL</t>
        </is>
      </c>
      <c r="J231" t="inlineStr">
        <is>
          <t>NULL</t>
        </is>
      </c>
      <c r="K231" t="inlineStr">
        <is>
          <t xml:space="preserve"> NO!  	 c_nchar3500列源备映射错误，源端为nchar 7000位	期望更改为text	实际备端为nchar 7000位</t>
        </is>
      </c>
    </row>
    <row r="232">
      <c r="A232" t="inlineStr">
        <is>
          <t>info_datetime_dml_batch1_pk_urp2</t>
        </is>
      </c>
      <c r="K232" t="inlineStr">
        <is>
          <t>[0;34m info_datetime_dml_batch1_pk_urp2 [0m源备字段数相同，源端字段：2 	备端字段2</t>
        </is>
      </c>
      <c r="W232" s="17">
        <f>HYPERLINK("#2026041919hbase0!AR2","NO 源备存在差异，共24个")</f>
        <v/>
      </c>
      <c r="X232">
        <f>A232</f>
        <v/>
      </c>
    </row>
    <row r="233">
      <c r="B233" t="inlineStr">
        <is>
          <t>YES</t>
        </is>
      </c>
      <c r="C233" t="inlineStr">
        <is>
          <t>NULL</t>
        </is>
      </c>
      <c r="D233" t="inlineStr">
        <is>
          <t>NULL</t>
        </is>
      </c>
      <c r="E233" t="inlineStr">
        <is>
          <t>NULL</t>
        </is>
      </c>
      <c r="F233" t="inlineStr">
        <is>
          <t>NULL</t>
        </is>
      </c>
      <c r="G233" t="inlineStr">
        <is>
          <t>NULL</t>
        </is>
      </c>
      <c r="H233" t="inlineStr">
        <is>
          <t>NULL</t>
        </is>
      </c>
      <c r="I233" t="inlineStr">
        <is>
          <t>YES!PK__info_dat__3213E83F7F24FA34</t>
        </is>
      </c>
      <c r="J233" t="inlineStr">
        <is>
          <t>YES! 主键相关索引</t>
        </is>
      </c>
      <c r="K233" t="inlineStr">
        <is>
          <t xml:space="preserve"> NO!  	 id列源备映射错误，源端为int None位	期望更改为text	实际备端为int None位</t>
        </is>
      </c>
    </row>
    <row r="234">
      <c r="B234" t="inlineStr">
        <is>
          <t>NULL</t>
        </is>
      </c>
      <c r="C234" t="inlineStr">
        <is>
          <t>NULL</t>
        </is>
      </c>
      <c r="D234" t="inlineStr">
        <is>
          <t>NULL</t>
        </is>
      </c>
      <c r="E234" t="inlineStr">
        <is>
          <t>NULL</t>
        </is>
      </c>
      <c r="F234" t="inlineStr">
        <is>
          <t>NULL</t>
        </is>
      </c>
      <c r="G234" t="inlineStr">
        <is>
          <t>NULL</t>
        </is>
      </c>
      <c r="H234" t="inlineStr">
        <is>
          <t>NULL</t>
        </is>
      </c>
      <c r="I234" t="inlineStr">
        <is>
          <t>NULL</t>
        </is>
      </c>
      <c r="J234" t="inlineStr">
        <is>
          <t>NULL</t>
        </is>
      </c>
      <c r="K234" t="inlineStr">
        <is>
          <t xml:space="preserve"> NO!  	 c_datetime列源备映射错误，源端为datetime None位	期望更改为text	实际备端为datetime None位</t>
        </is>
      </c>
    </row>
    <row r="235">
      <c r="A235" t="inlineStr">
        <is>
          <t>info_varchar_dml_batch1_pk</t>
        </is>
      </c>
      <c r="K235" t="inlineStr">
        <is>
          <t>[0;34m info_varchar_dml_batch1_pk [0m源备字段数相同，源端字段：4 	备端字段4</t>
        </is>
      </c>
      <c r="W235" t="inlineStr">
        <is>
          <t>YES 源备无差异</t>
        </is>
      </c>
      <c r="X235">
        <f>A235</f>
        <v/>
      </c>
    </row>
    <row r="236">
      <c r="B236" t="inlineStr">
        <is>
          <t>YES</t>
        </is>
      </c>
      <c r="C236" t="inlineStr">
        <is>
          <t>NULL</t>
        </is>
      </c>
      <c r="D236" t="inlineStr">
        <is>
          <t>NULL</t>
        </is>
      </c>
      <c r="E236" t="inlineStr">
        <is>
          <t>NULL</t>
        </is>
      </c>
      <c r="F236" t="inlineStr">
        <is>
          <t>NULL</t>
        </is>
      </c>
      <c r="G236" t="inlineStr">
        <is>
          <t>NULL</t>
        </is>
      </c>
      <c r="H236" t="inlineStr">
        <is>
          <t>NULL</t>
        </is>
      </c>
      <c r="I236" t="inlineStr">
        <is>
          <t>YES!PK__info_var__3213E83FCF95CDDA</t>
        </is>
      </c>
      <c r="J236" t="inlineStr">
        <is>
          <t>YES! 主键相关索引</t>
        </is>
      </c>
      <c r="K236" t="inlineStr">
        <is>
          <t xml:space="preserve"> NO!  	 id列源备映射错误，源端为int None位	期望更改为text	实际备端为int None位</t>
        </is>
      </c>
    </row>
    <row r="237">
      <c r="B237" t="inlineStr">
        <is>
          <t>NULL</t>
        </is>
      </c>
      <c r="C237" t="inlineStr">
        <is>
          <t>NULL</t>
        </is>
      </c>
      <c r="D237" t="inlineStr">
        <is>
          <t>NULL</t>
        </is>
      </c>
      <c r="E237" t="inlineStr">
        <is>
          <t>NULL</t>
        </is>
      </c>
      <c r="F237" t="inlineStr">
        <is>
          <t>NULL</t>
        </is>
      </c>
      <c r="G237" t="inlineStr">
        <is>
          <t>NULL</t>
        </is>
      </c>
      <c r="H237" t="inlineStr">
        <is>
          <t>NULL</t>
        </is>
      </c>
      <c r="I237" t="inlineStr">
        <is>
          <t>NULL</t>
        </is>
      </c>
      <c r="J237" t="inlineStr">
        <is>
          <t>NULL</t>
        </is>
      </c>
      <c r="K237" t="inlineStr">
        <is>
          <t xml:space="preserve"> NO!  	 c_varchar列源备映射错误，源端为varchar 1位	期望更改为text	实际备端为varchar 1位</t>
        </is>
      </c>
    </row>
    <row r="238">
      <c r="B238" t="inlineStr">
        <is>
          <t>NULL</t>
        </is>
      </c>
      <c r="C238" t="inlineStr">
        <is>
          <t>NULL</t>
        </is>
      </c>
      <c r="D238" t="inlineStr">
        <is>
          <t>NULL</t>
        </is>
      </c>
      <c r="E238" t="inlineStr">
        <is>
          <t>NULL</t>
        </is>
      </c>
      <c r="F238" t="inlineStr">
        <is>
          <t>NULL</t>
        </is>
      </c>
      <c r="G238" t="inlineStr">
        <is>
          <t>NULL</t>
        </is>
      </c>
      <c r="H238" t="inlineStr">
        <is>
          <t>NULL</t>
        </is>
      </c>
      <c r="I238" t="inlineStr">
        <is>
          <t>NULL</t>
        </is>
      </c>
      <c r="J238" t="inlineStr">
        <is>
          <t>NULL</t>
        </is>
      </c>
      <c r="K238" t="inlineStr">
        <is>
          <t xml:space="preserve"> NO!  	 c_varchar20列源备映射错误，源端为varchar 20位	期望更改为text	实际备端为varchar 20位</t>
        </is>
      </c>
    </row>
    <row r="239">
      <c r="B239" t="inlineStr">
        <is>
          <t>NULL</t>
        </is>
      </c>
      <c r="C239" t="inlineStr">
        <is>
          <t>NULL</t>
        </is>
      </c>
      <c r="D239" t="inlineStr">
        <is>
          <t>NULL</t>
        </is>
      </c>
      <c r="E239" t="inlineStr">
        <is>
          <t>NULL</t>
        </is>
      </c>
      <c r="F239" t="inlineStr">
        <is>
          <t>NULL</t>
        </is>
      </c>
      <c r="G239" t="inlineStr">
        <is>
          <t>NULL</t>
        </is>
      </c>
      <c r="H239" t="inlineStr">
        <is>
          <t>NULL</t>
        </is>
      </c>
      <c r="I239" t="inlineStr">
        <is>
          <t>NULL</t>
        </is>
      </c>
      <c r="J239" t="inlineStr">
        <is>
          <t>NULL</t>
        </is>
      </c>
      <c r="K239" t="inlineStr">
        <is>
          <t xml:space="preserve"> NO!  	 c_varchar7000列源备映射错误，源端为varchar 7000位	期望更改为text	实际备端为varchar 7000位</t>
        </is>
      </c>
    </row>
    <row r="240">
      <c r="A240" t="inlineStr">
        <is>
          <t>info_geometry_dml_single_pk</t>
        </is>
      </c>
      <c r="K240" t="inlineStr">
        <is>
          <t>[0;34m info_geometry_dml_single_pk [0m源备字段数相同，源端字段：2 	备端字段2</t>
        </is>
      </c>
      <c r="W240" s="17">
        <f>HYPERLINK("#2026041919hbase0!AS2","NO 源备存在差异，共1个")</f>
        <v/>
      </c>
      <c r="X240">
        <f>A240</f>
        <v/>
      </c>
    </row>
    <row r="241">
      <c r="B241" t="inlineStr">
        <is>
          <t>YES</t>
        </is>
      </c>
      <c r="C241" t="inlineStr">
        <is>
          <t>NULL</t>
        </is>
      </c>
      <c r="D241" t="inlineStr">
        <is>
          <t>NULL</t>
        </is>
      </c>
      <c r="E241" t="inlineStr">
        <is>
          <t>NULL</t>
        </is>
      </c>
      <c r="F241" t="inlineStr">
        <is>
          <t>NULL</t>
        </is>
      </c>
      <c r="G241" t="inlineStr">
        <is>
          <t>NULL</t>
        </is>
      </c>
      <c r="H241" t="inlineStr">
        <is>
          <t>NULL</t>
        </is>
      </c>
      <c r="I241" t="inlineStr">
        <is>
          <t>YES!PK__info_geo__3213E83F16C71C15</t>
        </is>
      </c>
      <c r="J241" t="inlineStr">
        <is>
          <t>YES! 主键相关索引</t>
        </is>
      </c>
      <c r="K241" t="inlineStr">
        <is>
          <t xml:space="preserve"> NO!  	 id列源备映射错误，源端为int None位	期望更改为text	实际备端为int None位</t>
        </is>
      </c>
    </row>
    <row r="242">
      <c r="B242" t="inlineStr">
        <is>
          <t>NULL</t>
        </is>
      </c>
      <c r="C242" t="inlineStr">
        <is>
          <t>NULL</t>
        </is>
      </c>
      <c r="D242" t="inlineStr">
        <is>
          <t>NULL</t>
        </is>
      </c>
      <c r="E242" t="inlineStr">
        <is>
          <t>NULL</t>
        </is>
      </c>
      <c r="F242" t="inlineStr">
        <is>
          <t>NULL</t>
        </is>
      </c>
      <c r="G242" t="inlineStr">
        <is>
          <t>NULL</t>
        </is>
      </c>
      <c r="H242" t="inlineStr">
        <is>
          <t>NULL</t>
        </is>
      </c>
      <c r="I242" t="inlineStr">
        <is>
          <t>NULL</t>
        </is>
      </c>
      <c r="J242" t="inlineStr">
        <is>
          <t>NULL</t>
        </is>
      </c>
      <c r="K242" t="inlineStr">
        <is>
          <t xml:space="preserve"> NO!  	 c_geometry列源备映射错误，源端为geometry -1位	期望更改为text	实际备端为geometry -1位</t>
        </is>
      </c>
    </row>
    <row r="243">
      <c r="A243" t="inlineStr">
        <is>
          <t>info_datetime_dml_batch1_pk_drp1</t>
        </is>
      </c>
      <c r="K243" t="inlineStr">
        <is>
          <t>[0;34m info_datetime_dml_batch1_pk_drp1 [0m源备字段数相同，源端字段：2 	备端字段2</t>
        </is>
      </c>
      <c r="W243" t="inlineStr">
        <is>
          <t>YES 源备无差异</t>
        </is>
      </c>
      <c r="X243">
        <f>A243</f>
        <v/>
      </c>
    </row>
    <row r="244">
      <c r="B244" t="inlineStr">
        <is>
          <t>YES</t>
        </is>
      </c>
      <c r="C244" t="inlineStr">
        <is>
          <t>NULL</t>
        </is>
      </c>
      <c r="D244" t="inlineStr">
        <is>
          <t>NULL</t>
        </is>
      </c>
      <c r="E244" t="inlineStr">
        <is>
          <t>NULL</t>
        </is>
      </c>
      <c r="F244" t="inlineStr">
        <is>
          <t>NULL</t>
        </is>
      </c>
      <c r="G244" t="inlineStr">
        <is>
          <t>NULL</t>
        </is>
      </c>
      <c r="H244" t="inlineStr">
        <is>
          <t>NULL</t>
        </is>
      </c>
      <c r="I244" t="inlineStr">
        <is>
          <t>YES!PK__info_dat__3213E83FFEC2FB48</t>
        </is>
      </c>
      <c r="J244" t="inlineStr">
        <is>
          <t>YES! 主键相关索引</t>
        </is>
      </c>
      <c r="K244" t="inlineStr">
        <is>
          <t xml:space="preserve"> NO!  	 id列源备映射错误，源端为int None位	期望更改为text	实际备端为int None位</t>
        </is>
      </c>
    </row>
    <row r="245">
      <c r="B245" t="inlineStr">
        <is>
          <t>NULL</t>
        </is>
      </c>
      <c r="C245" t="inlineStr">
        <is>
          <t>NULL</t>
        </is>
      </c>
      <c r="D245" t="inlineStr">
        <is>
          <t>NULL</t>
        </is>
      </c>
      <c r="E245" t="inlineStr">
        <is>
          <t>NULL</t>
        </is>
      </c>
      <c r="F245" t="inlineStr">
        <is>
          <t>NULL</t>
        </is>
      </c>
      <c r="G245" t="inlineStr">
        <is>
          <t>NULL</t>
        </is>
      </c>
      <c r="H245" t="inlineStr">
        <is>
          <t>NULL</t>
        </is>
      </c>
      <c r="I245" t="inlineStr">
        <is>
          <t>NULL</t>
        </is>
      </c>
      <c r="J245" t="inlineStr">
        <is>
          <t>NULL</t>
        </is>
      </c>
      <c r="K245" t="inlineStr">
        <is>
          <t xml:space="preserve"> NO!  	 c_datetime列源备映射错误，源端为datetime None位	期望更改为text	实际备端为datetime None位</t>
        </is>
      </c>
    </row>
    <row r="246">
      <c r="K246" t="inlineStr">
        <is>
          <t>~ 空表</t>
        </is>
      </c>
    </row>
    <row r="247">
      <c r="A247" t="inlineStr">
        <is>
          <t>info_datetime_dml_batch1_pk_drp2</t>
        </is>
      </c>
      <c r="K247" t="inlineStr">
        <is>
          <t>[0;34m info_datetime_dml_batch1_pk_drp2 [0m源备字段数相同，源端字段：2 	备端字段2</t>
        </is>
      </c>
      <c r="W247" s="17">
        <f>HYPERLINK("#2026041919hbase0!AT2","NO 源备存在差异，共6个")</f>
        <v/>
      </c>
      <c r="X247">
        <f>A247</f>
        <v/>
      </c>
    </row>
    <row r="248">
      <c r="B248" t="inlineStr">
        <is>
          <t>YES</t>
        </is>
      </c>
      <c r="C248" t="inlineStr">
        <is>
          <t>NULL</t>
        </is>
      </c>
      <c r="D248" t="inlineStr">
        <is>
          <t>NULL</t>
        </is>
      </c>
      <c r="E248" t="inlineStr">
        <is>
          <t>NULL</t>
        </is>
      </c>
      <c r="F248" t="inlineStr">
        <is>
          <t>NULL</t>
        </is>
      </c>
      <c r="G248" t="inlineStr">
        <is>
          <t>NULL</t>
        </is>
      </c>
      <c r="H248" t="inlineStr">
        <is>
          <t>NULL</t>
        </is>
      </c>
      <c r="I248" t="inlineStr">
        <is>
          <t>YES!PK__info_dat__3213E83FD636B077</t>
        </is>
      </c>
      <c r="J248" t="inlineStr">
        <is>
          <t>YES! 主键相关索引</t>
        </is>
      </c>
      <c r="K248" t="inlineStr">
        <is>
          <t xml:space="preserve"> NO!  	 id列源备映射错误，源端为int None位	期望更改为text	实际备端为int None位</t>
        </is>
      </c>
    </row>
    <row r="249">
      <c r="B249" t="inlineStr">
        <is>
          <t>NULL</t>
        </is>
      </c>
      <c r="C249" t="inlineStr">
        <is>
          <t>NULL</t>
        </is>
      </c>
      <c r="D249" t="inlineStr">
        <is>
          <t>NULL</t>
        </is>
      </c>
      <c r="E249" t="inlineStr">
        <is>
          <t>NULL</t>
        </is>
      </c>
      <c r="F249" t="inlineStr">
        <is>
          <t>NULL</t>
        </is>
      </c>
      <c r="G249" t="inlineStr">
        <is>
          <t>NULL</t>
        </is>
      </c>
      <c r="H249" t="inlineStr">
        <is>
          <t>NULL</t>
        </is>
      </c>
      <c r="I249" t="inlineStr">
        <is>
          <t>NULL</t>
        </is>
      </c>
      <c r="J249" t="inlineStr">
        <is>
          <t>NULL</t>
        </is>
      </c>
      <c r="K249" t="inlineStr">
        <is>
          <t xml:space="preserve"> NO!  	 c_datetime列源备映射错误，源端为datetime None位	期望更改为text	实际备端为datetime None位</t>
        </is>
      </c>
    </row>
    <row r="250">
      <c r="A250" t="inlineStr">
        <is>
          <t>info_nvarchar_dml_batch1_pk</t>
        </is>
      </c>
      <c r="K250" t="inlineStr">
        <is>
          <t>[0;34m info_nvarchar_dml_batch1_pk [0m源备字段数相同，源端字段：4 	备端字段4</t>
        </is>
      </c>
      <c r="W250" t="inlineStr">
        <is>
          <t>YES 源备无差异</t>
        </is>
      </c>
      <c r="X250">
        <f>A250</f>
        <v/>
      </c>
    </row>
    <row r="251">
      <c r="B251" t="inlineStr">
        <is>
          <t>YES</t>
        </is>
      </c>
      <c r="C251" t="inlineStr">
        <is>
          <t>NULL</t>
        </is>
      </c>
      <c r="D251" t="inlineStr">
        <is>
          <t>NULL</t>
        </is>
      </c>
      <c r="E251" t="inlineStr">
        <is>
          <t>NULL</t>
        </is>
      </c>
      <c r="F251" t="inlineStr">
        <is>
          <t>NULL</t>
        </is>
      </c>
      <c r="G251" t="inlineStr">
        <is>
          <t>NULL</t>
        </is>
      </c>
      <c r="H251" t="inlineStr">
        <is>
          <t>NULL</t>
        </is>
      </c>
      <c r="I251" t="inlineStr">
        <is>
          <t>YES!PK__info_nva__3213E83F7D35E066</t>
        </is>
      </c>
      <c r="J251" t="inlineStr">
        <is>
          <t>YES! 主键相关索引</t>
        </is>
      </c>
      <c r="K251" t="inlineStr">
        <is>
          <t xml:space="preserve"> NO!  	 id列源备映射错误，源端为int None位	期望更改为text	实际备端为int None位</t>
        </is>
      </c>
    </row>
    <row r="252">
      <c r="B252" t="inlineStr">
        <is>
          <t>NULL</t>
        </is>
      </c>
      <c r="C252" t="inlineStr">
        <is>
          <t>NULL</t>
        </is>
      </c>
      <c r="D252" t="inlineStr">
        <is>
          <t>NULL</t>
        </is>
      </c>
      <c r="E252" t="inlineStr">
        <is>
          <t>NULL</t>
        </is>
      </c>
      <c r="F252" t="inlineStr">
        <is>
          <t>NULL</t>
        </is>
      </c>
      <c r="G252" t="inlineStr">
        <is>
          <t>NULL</t>
        </is>
      </c>
      <c r="H252" t="inlineStr">
        <is>
          <t>NULL</t>
        </is>
      </c>
      <c r="I252" t="inlineStr">
        <is>
          <t>NULL</t>
        </is>
      </c>
      <c r="J252" t="inlineStr">
        <is>
          <t>NULL</t>
        </is>
      </c>
      <c r="K252" t="inlineStr">
        <is>
          <t xml:space="preserve"> NO!  	 c_nvarchar列源备映射错误，源端为nvarchar 2位	期望更改为text	实际备端为nvarchar 2位</t>
        </is>
      </c>
    </row>
    <row r="253">
      <c r="B253" t="inlineStr">
        <is>
          <t>NULL</t>
        </is>
      </c>
      <c r="C253" t="inlineStr">
        <is>
          <t>NULL</t>
        </is>
      </c>
      <c r="D253" t="inlineStr">
        <is>
          <t>NULL</t>
        </is>
      </c>
      <c r="E253" t="inlineStr">
        <is>
          <t>NULL</t>
        </is>
      </c>
      <c r="F253" t="inlineStr">
        <is>
          <t>NULL</t>
        </is>
      </c>
      <c r="G253" t="inlineStr">
        <is>
          <t>NULL</t>
        </is>
      </c>
      <c r="H253" t="inlineStr">
        <is>
          <t>NULL</t>
        </is>
      </c>
      <c r="I253" t="inlineStr">
        <is>
          <t>NULL</t>
        </is>
      </c>
      <c r="J253" t="inlineStr">
        <is>
          <t>NULL</t>
        </is>
      </c>
      <c r="K253" t="inlineStr">
        <is>
          <t xml:space="preserve"> NO!  	 c_nvarchar20列源备映射错误，源端为nvarchar 40位	期望更改为text	实际备端为nvarchar 40位</t>
        </is>
      </c>
    </row>
    <row r="254">
      <c r="B254" t="inlineStr">
        <is>
          <t>NULL</t>
        </is>
      </c>
      <c r="C254" t="inlineStr">
        <is>
          <t>NULL</t>
        </is>
      </c>
      <c r="D254" t="inlineStr">
        <is>
          <t>NULL</t>
        </is>
      </c>
      <c r="E254" t="inlineStr">
        <is>
          <t>NULL</t>
        </is>
      </c>
      <c r="F254" t="inlineStr">
        <is>
          <t>NULL</t>
        </is>
      </c>
      <c r="G254" t="inlineStr">
        <is>
          <t>NULL</t>
        </is>
      </c>
      <c r="H254" t="inlineStr">
        <is>
          <t>NULL</t>
        </is>
      </c>
      <c r="I254" t="inlineStr">
        <is>
          <t>NULL</t>
        </is>
      </c>
      <c r="J254" t="inlineStr">
        <is>
          <t>NULL</t>
        </is>
      </c>
      <c r="K254" t="inlineStr">
        <is>
          <t xml:space="preserve"> NO!  	 c_nvarchar3500列源备映射错误，源端为nchar 7000位	期望更改为text	实际备端为nchar 7000位</t>
        </is>
      </c>
    </row>
    <row r="255">
      <c r="A255" t="inlineStr">
        <is>
          <t>info_datetime_dml_batch1_pk</t>
        </is>
      </c>
      <c r="K255" t="inlineStr">
        <is>
          <t>[0;34m info_datetime_dml_batch1_pk [0m源备字段数相同，源端字段：2 	备端字段2</t>
        </is>
      </c>
      <c r="W255" s="17">
        <f>HYPERLINK("#2026041919hbase0!AU2","NO 源备存在差异，共4个")</f>
        <v/>
      </c>
      <c r="X255">
        <f>A255</f>
        <v/>
      </c>
    </row>
    <row r="256">
      <c r="B256" t="inlineStr">
        <is>
          <t>YES</t>
        </is>
      </c>
      <c r="C256" t="inlineStr">
        <is>
          <t>NULL</t>
        </is>
      </c>
      <c r="D256" t="inlineStr">
        <is>
          <t>NULL</t>
        </is>
      </c>
      <c r="E256" t="inlineStr">
        <is>
          <t>NULL</t>
        </is>
      </c>
      <c r="F256" t="inlineStr">
        <is>
          <t>NULL</t>
        </is>
      </c>
      <c r="G256" t="inlineStr">
        <is>
          <t>NULL</t>
        </is>
      </c>
      <c r="H256" t="inlineStr">
        <is>
          <t>NULL</t>
        </is>
      </c>
      <c r="I256" t="inlineStr">
        <is>
          <t>YES!PK__info_dat__3213E83F11968B32</t>
        </is>
      </c>
      <c r="J256" t="inlineStr">
        <is>
          <t>YES! 主键相关索引</t>
        </is>
      </c>
      <c r="K256" t="inlineStr">
        <is>
          <t xml:space="preserve"> NO!  	 id列源备映射错误，源端为int None位	期望更改为text	实际备端为int None位</t>
        </is>
      </c>
    </row>
    <row r="257">
      <c r="B257" t="inlineStr">
        <is>
          <t>NULL</t>
        </is>
      </c>
      <c r="C257" t="inlineStr">
        <is>
          <t>NULL</t>
        </is>
      </c>
      <c r="D257" t="inlineStr">
        <is>
          <t>NULL</t>
        </is>
      </c>
      <c r="E257" t="inlineStr">
        <is>
          <t>NULL</t>
        </is>
      </c>
      <c r="F257" t="inlineStr">
        <is>
          <t>NULL</t>
        </is>
      </c>
      <c r="G257" t="inlineStr">
        <is>
          <t>NULL</t>
        </is>
      </c>
      <c r="H257" t="inlineStr">
        <is>
          <t>NULL</t>
        </is>
      </c>
      <c r="I257" t="inlineStr">
        <is>
          <t>NULL</t>
        </is>
      </c>
      <c r="J257" t="inlineStr">
        <is>
          <t>NULL</t>
        </is>
      </c>
      <c r="K257" t="inlineStr">
        <is>
          <t xml:space="preserve"> NO!  	 c_datetime列源备映射错误，源端为datetime None位	期望更改为text	实际备端为datetime None位</t>
        </is>
      </c>
    </row>
    <row r="258">
      <c r="A258" t="inlineStr">
        <is>
          <t>info_nchar_dml_batch1_pk_irp1</t>
        </is>
      </c>
      <c r="K258" t="inlineStr">
        <is>
          <t>[0;34m info_nchar_dml_batch1_pk_irp1 [0m源备字段数相同，源端字段：4 	备端字段4</t>
        </is>
      </c>
      <c r="W258" s="17">
        <f>HYPERLINK("#2026041919hbase0!AV2","NO 源备存在差异，共15个")</f>
        <v/>
      </c>
      <c r="X258">
        <f>A258</f>
        <v/>
      </c>
    </row>
    <row r="259">
      <c r="B259" t="inlineStr">
        <is>
          <t>YES</t>
        </is>
      </c>
      <c r="C259" t="inlineStr">
        <is>
          <t>NULL</t>
        </is>
      </c>
      <c r="D259" t="inlineStr">
        <is>
          <t>NULL</t>
        </is>
      </c>
      <c r="E259" t="inlineStr">
        <is>
          <t>NULL</t>
        </is>
      </c>
      <c r="F259" t="inlineStr">
        <is>
          <t>NULL</t>
        </is>
      </c>
      <c r="G259" t="inlineStr">
        <is>
          <t>NULL</t>
        </is>
      </c>
      <c r="H259" t="inlineStr">
        <is>
          <t>NULL</t>
        </is>
      </c>
      <c r="I259" t="inlineStr">
        <is>
          <t>YES!PK__info_nch__3213E83FF431AA93</t>
        </is>
      </c>
      <c r="J259" t="inlineStr">
        <is>
          <t>YES! 主键相关索引</t>
        </is>
      </c>
      <c r="K259" t="inlineStr">
        <is>
          <t xml:space="preserve"> NO!  	 id列源备映射错误，源端为int None位	期望更改为text	实际备端为int None位</t>
        </is>
      </c>
    </row>
    <row r="260">
      <c r="B260" t="inlineStr">
        <is>
          <t>NULL</t>
        </is>
      </c>
      <c r="C260" t="inlineStr">
        <is>
          <t>NULL</t>
        </is>
      </c>
      <c r="D260" t="inlineStr">
        <is>
          <t>NULL</t>
        </is>
      </c>
      <c r="E260" t="inlineStr">
        <is>
          <t>NULL</t>
        </is>
      </c>
      <c r="F260" t="inlineStr">
        <is>
          <t>NULL</t>
        </is>
      </c>
      <c r="G260" t="inlineStr">
        <is>
          <t>NULL</t>
        </is>
      </c>
      <c r="H260" t="inlineStr">
        <is>
          <t>NULL</t>
        </is>
      </c>
      <c r="I260" t="inlineStr">
        <is>
          <t>NULL</t>
        </is>
      </c>
      <c r="J260" t="inlineStr">
        <is>
          <t>NULL</t>
        </is>
      </c>
      <c r="K260" t="inlineStr">
        <is>
          <t xml:space="preserve"> NO!  	 c_nchar列源备映射错误，源端为nchar 2位	期望更改为text	实际备端为nchar 2位</t>
        </is>
      </c>
    </row>
    <row r="261">
      <c r="B261" t="inlineStr">
        <is>
          <t>NULL</t>
        </is>
      </c>
      <c r="C261" t="inlineStr">
        <is>
          <t>NULL</t>
        </is>
      </c>
      <c r="D261" t="inlineStr">
        <is>
          <t>NULL</t>
        </is>
      </c>
      <c r="E261" t="inlineStr">
        <is>
          <t>NULL</t>
        </is>
      </c>
      <c r="F261" t="inlineStr">
        <is>
          <t>NULL</t>
        </is>
      </c>
      <c r="G261" t="inlineStr">
        <is>
          <t>NULL</t>
        </is>
      </c>
      <c r="H261" t="inlineStr">
        <is>
          <t>NULL</t>
        </is>
      </c>
      <c r="I261" t="inlineStr">
        <is>
          <t>NULL</t>
        </is>
      </c>
      <c r="J261" t="inlineStr">
        <is>
          <t>NULL</t>
        </is>
      </c>
      <c r="K261" t="inlineStr">
        <is>
          <t xml:space="preserve"> NO!  	 c_nchar20列源备映射错误，源端为nchar 40位	期望更改为text	实际备端为nchar 40位</t>
        </is>
      </c>
    </row>
    <row r="262">
      <c r="B262" t="inlineStr">
        <is>
          <t>NULL</t>
        </is>
      </c>
      <c r="C262" t="inlineStr">
        <is>
          <t>NULL</t>
        </is>
      </c>
      <c r="D262" t="inlineStr">
        <is>
          <t>NULL</t>
        </is>
      </c>
      <c r="E262" t="inlineStr">
        <is>
          <t>NULL</t>
        </is>
      </c>
      <c r="F262" t="inlineStr">
        <is>
          <t>NULL</t>
        </is>
      </c>
      <c r="G262" t="inlineStr">
        <is>
          <t>NULL</t>
        </is>
      </c>
      <c r="H262" t="inlineStr">
        <is>
          <t>NULL</t>
        </is>
      </c>
      <c r="I262" t="inlineStr">
        <is>
          <t>NULL</t>
        </is>
      </c>
      <c r="J262" t="inlineStr">
        <is>
          <t>NULL</t>
        </is>
      </c>
      <c r="K262" t="inlineStr">
        <is>
          <t xml:space="preserve"> NO!  	 c_nchar4000列源备映射错误，源端为nchar 8000位	期望更改为text	实际备端为nchar 8000位</t>
        </is>
      </c>
    </row>
    <row r="263">
      <c r="A263" t="inlineStr">
        <is>
          <t>info_char_dml_batch1_pk_irp2</t>
        </is>
      </c>
      <c r="K263" t="inlineStr">
        <is>
          <t>[0;34m info_char_dml_batch1_pk_irp2 [0m源备字段数相同，源端字段：4 	备端字段4</t>
        </is>
      </c>
      <c r="W263" t="inlineStr">
        <is>
          <t>YES 源备无差异</t>
        </is>
      </c>
      <c r="X263">
        <f>A263</f>
        <v/>
      </c>
    </row>
    <row r="264">
      <c r="B264" t="inlineStr">
        <is>
          <t>YES</t>
        </is>
      </c>
      <c r="C264" t="inlineStr">
        <is>
          <t>NULL</t>
        </is>
      </c>
      <c r="D264" t="inlineStr">
        <is>
          <t>NULL</t>
        </is>
      </c>
      <c r="E264" t="inlineStr">
        <is>
          <t>NULL</t>
        </is>
      </c>
      <c r="F264" t="inlineStr">
        <is>
          <t>NULL</t>
        </is>
      </c>
      <c r="G264" t="inlineStr">
        <is>
          <t>NULL</t>
        </is>
      </c>
      <c r="H264" t="inlineStr">
        <is>
          <t>NULL</t>
        </is>
      </c>
      <c r="I264" t="inlineStr">
        <is>
          <t>YES!PK__info_cha__3213E83F0503A303</t>
        </is>
      </c>
      <c r="J264" t="inlineStr">
        <is>
          <t>YES! 主键相关索引</t>
        </is>
      </c>
      <c r="K264" t="inlineStr">
        <is>
          <t xml:space="preserve"> NO!  	 id列源备映射错误，源端为int None位	期望更改为text	实际备端为int None位</t>
        </is>
      </c>
    </row>
    <row r="265">
      <c r="B265" t="inlineStr">
        <is>
          <t>NULL</t>
        </is>
      </c>
      <c r="C265" t="inlineStr">
        <is>
          <t>NULL</t>
        </is>
      </c>
      <c r="D265" t="inlineStr">
        <is>
          <t>NULL</t>
        </is>
      </c>
      <c r="E265" t="inlineStr">
        <is>
          <t>NULL</t>
        </is>
      </c>
      <c r="F265" t="inlineStr">
        <is>
          <t>NULL</t>
        </is>
      </c>
      <c r="G265" t="inlineStr">
        <is>
          <t>NULL</t>
        </is>
      </c>
      <c r="H265" t="inlineStr">
        <is>
          <t>NULL</t>
        </is>
      </c>
      <c r="I265" t="inlineStr">
        <is>
          <t>NULL</t>
        </is>
      </c>
      <c r="J265" t="inlineStr">
        <is>
          <t>NULL</t>
        </is>
      </c>
      <c r="K265" t="inlineStr">
        <is>
          <t xml:space="preserve"> NO!  	 c_char列源备映射错误，源端为char 1位	期望更改为text	实际备端为char 1位</t>
        </is>
      </c>
    </row>
    <row r="266">
      <c r="B266" t="inlineStr">
        <is>
          <t>NULL</t>
        </is>
      </c>
      <c r="C266" t="inlineStr">
        <is>
          <t>NULL</t>
        </is>
      </c>
      <c r="D266" t="inlineStr">
        <is>
          <t>NULL</t>
        </is>
      </c>
      <c r="E266" t="inlineStr">
        <is>
          <t>NULL</t>
        </is>
      </c>
      <c r="F266" t="inlineStr">
        <is>
          <t>NULL</t>
        </is>
      </c>
      <c r="G266" t="inlineStr">
        <is>
          <t>NULL</t>
        </is>
      </c>
      <c r="H266" t="inlineStr">
        <is>
          <t>NULL</t>
        </is>
      </c>
      <c r="I266" t="inlineStr">
        <is>
          <t>NULL</t>
        </is>
      </c>
      <c r="J266" t="inlineStr">
        <is>
          <t>NULL</t>
        </is>
      </c>
      <c r="K266" t="inlineStr">
        <is>
          <t xml:space="preserve"> NO!  	 c_char20列源备映射错误，源端为char 20位	期望更改为text	实际备端为char 20位</t>
        </is>
      </c>
    </row>
    <row r="267">
      <c r="B267" t="inlineStr">
        <is>
          <t>NULL</t>
        </is>
      </c>
      <c r="C267" t="inlineStr">
        <is>
          <t>NULL</t>
        </is>
      </c>
      <c r="D267" t="inlineStr">
        <is>
          <t>NULL</t>
        </is>
      </c>
      <c r="E267" t="inlineStr">
        <is>
          <t>NULL</t>
        </is>
      </c>
      <c r="F267" t="inlineStr">
        <is>
          <t>NULL</t>
        </is>
      </c>
      <c r="G267" t="inlineStr">
        <is>
          <t>NULL</t>
        </is>
      </c>
      <c r="H267" t="inlineStr">
        <is>
          <t>NULL</t>
        </is>
      </c>
      <c r="I267" t="inlineStr">
        <is>
          <t>NULL</t>
        </is>
      </c>
      <c r="J267" t="inlineStr">
        <is>
          <t>NULL</t>
        </is>
      </c>
      <c r="K267" t="inlineStr">
        <is>
          <t xml:space="preserve"> NO!  	 c_char200列源备映射错误，源端为char 200位	期望更改为text	实际备端为char 200位</t>
        </is>
      </c>
    </row>
    <row r="268">
      <c r="K268" t="inlineStr">
        <is>
          <t>~ 空表</t>
        </is>
      </c>
    </row>
    <row r="269">
      <c r="A269" t="inlineStr">
        <is>
          <t>info_nchar_dml_single_pk</t>
        </is>
      </c>
      <c r="K269" t="inlineStr">
        <is>
          <t>[0;34m info_nchar_dml_single_pk [0m源备字段数相同，源端字段：4 	备端字段4</t>
        </is>
      </c>
      <c r="W269" t="inlineStr">
        <is>
          <t>YES 源备无差异</t>
        </is>
      </c>
      <c r="X269">
        <f>A269</f>
        <v/>
      </c>
    </row>
    <row r="270">
      <c r="B270" t="inlineStr">
        <is>
          <t>YES</t>
        </is>
      </c>
      <c r="C270" t="inlineStr">
        <is>
          <t>NULL</t>
        </is>
      </c>
      <c r="D270" t="inlineStr">
        <is>
          <t>NULL</t>
        </is>
      </c>
      <c r="E270" t="inlineStr">
        <is>
          <t>NULL</t>
        </is>
      </c>
      <c r="F270" t="inlineStr">
        <is>
          <t>NULL</t>
        </is>
      </c>
      <c r="G270" t="inlineStr">
        <is>
          <t>NULL</t>
        </is>
      </c>
      <c r="H270" t="inlineStr">
        <is>
          <t>NULL</t>
        </is>
      </c>
      <c r="I270" t="inlineStr">
        <is>
          <t>YES!PK__info_nch__3213E83FBBB178BC</t>
        </is>
      </c>
      <c r="J270" t="inlineStr">
        <is>
          <t>YES! 主键相关索引</t>
        </is>
      </c>
      <c r="K270" t="inlineStr">
        <is>
          <t xml:space="preserve"> NO!  	 id列源备映射错误，源端为int None位	期望更改为text	实际备端为int None位</t>
        </is>
      </c>
    </row>
    <row r="271">
      <c r="B271" t="inlineStr">
        <is>
          <t>NULL</t>
        </is>
      </c>
      <c r="C271" t="inlineStr">
        <is>
          <t>NULL</t>
        </is>
      </c>
      <c r="D271" t="inlineStr">
        <is>
          <t>NULL</t>
        </is>
      </c>
      <c r="E271" t="inlineStr">
        <is>
          <t>NULL</t>
        </is>
      </c>
      <c r="F271" t="inlineStr">
        <is>
          <t>NULL</t>
        </is>
      </c>
      <c r="G271" t="inlineStr">
        <is>
          <t>NULL</t>
        </is>
      </c>
      <c r="H271" t="inlineStr">
        <is>
          <t>NULL</t>
        </is>
      </c>
      <c r="I271" t="inlineStr">
        <is>
          <t>NULL</t>
        </is>
      </c>
      <c r="J271" t="inlineStr">
        <is>
          <t>NULL</t>
        </is>
      </c>
      <c r="K271" t="inlineStr">
        <is>
          <t xml:space="preserve"> NO!  	 c_nchar列源备映射错误，源端为nchar 2位	期望更改为text	实际备端为nchar 2位</t>
        </is>
      </c>
    </row>
    <row r="272">
      <c r="B272" t="inlineStr">
        <is>
          <t>NULL</t>
        </is>
      </c>
      <c r="C272" t="inlineStr">
        <is>
          <t>NULL</t>
        </is>
      </c>
      <c r="D272" t="inlineStr">
        <is>
          <t>NULL</t>
        </is>
      </c>
      <c r="E272" t="inlineStr">
        <is>
          <t>NULL</t>
        </is>
      </c>
      <c r="F272" t="inlineStr">
        <is>
          <t>NULL</t>
        </is>
      </c>
      <c r="G272" t="inlineStr">
        <is>
          <t>NULL</t>
        </is>
      </c>
      <c r="H272" t="inlineStr">
        <is>
          <t>NULL</t>
        </is>
      </c>
      <c r="I272" t="inlineStr">
        <is>
          <t>NULL</t>
        </is>
      </c>
      <c r="J272" t="inlineStr">
        <is>
          <t>NULL</t>
        </is>
      </c>
      <c r="K272" t="inlineStr">
        <is>
          <t xml:space="preserve"> NO!  	 c_nchar20列源备映射错误，源端为nchar 40位	期望更改为text	实际备端为nchar 40位</t>
        </is>
      </c>
    </row>
    <row r="273">
      <c r="B273" t="inlineStr">
        <is>
          <t>NULL</t>
        </is>
      </c>
      <c r="C273" t="inlineStr">
        <is>
          <t>NULL</t>
        </is>
      </c>
      <c r="D273" t="inlineStr">
        <is>
          <t>NULL</t>
        </is>
      </c>
      <c r="E273" t="inlineStr">
        <is>
          <t>NULL</t>
        </is>
      </c>
      <c r="F273" t="inlineStr">
        <is>
          <t>NULL</t>
        </is>
      </c>
      <c r="G273" t="inlineStr">
        <is>
          <t>NULL</t>
        </is>
      </c>
      <c r="H273" t="inlineStr">
        <is>
          <t>NULL</t>
        </is>
      </c>
      <c r="I273" t="inlineStr">
        <is>
          <t>NULL</t>
        </is>
      </c>
      <c r="J273" t="inlineStr">
        <is>
          <t>NULL</t>
        </is>
      </c>
      <c r="K273" t="inlineStr">
        <is>
          <t xml:space="preserve"> NO!  	 c_nchar3500列源备映射错误，源端为nchar 7000位	期望更改为text	实际备端为nchar 7000位</t>
        </is>
      </c>
    </row>
    <row r="274">
      <c r="A274" t="inlineStr">
        <is>
          <t>info_datetime2_dml_batch1_pk_irp1</t>
        </is>
      </c>
      <c r="K274" t="inlineStr">
        <is>
          <t>[0;34m info_datetime2_dml_batch1_pk_irp1 [0m源备字段数相同，源端字段：9 	备端字段9</t>
        </is>
      </c>
      <c r="W274" s="17">
        <f>HYPERLINK("#2026041919hbase0!AW2","NO 源备存在差异，共6个")</f>
        <v/>
      </c>
      <c r="X274">
        <f>A274</f>
        <v/>
      </c>
    </row>
    <row r="275">
      <c r="B275" t="inlineStr">
        <is>
          <t>YES</t>
        </is>
      </c>
      <c r="C275" t="inlineStr">
        <is>
          <t>NULL</t>
        </is>
      </c>
      <c r="D275" t="inlineStr">
        <is>
          <t>NULL</t>
        </is>
      </c>
      <c r="E275" t="inlineStr">
        <is>
          <t>NULL</t>
        </is>
      </c>
      <c r="F275" t="inlineStr">
        <is>
          <t>NULL</t>
        </is>
      </c>
      <c r="G275" t="inlineStr">
        <is>
          <t>NULL</t>
        </is>
      </c>
      <c r="H275" t="inlineStr">
        <is>
          <t>NULL</t>
        </is>
      </c>
      <c r="I275" t="inlineStr">
        <is>
          <t>YES!PK__info_dat__3213E83F511BE672</t>
        </is>
      </c>
      <c r="J275" t="inlineStr">
        <is>
          <t>YES! 主键相关索引</t>
        </is>
      </c>
      <c r="K275" t="inlineStr">
        <is>
          <t xml:space="preserve"> NO!  	 id列源备映射错误，源端为int None位	期望更改为text	实际备端为int None位</t>
        </is>
      </c>
    </row>
    <row r="276">
      <c r="B276" t="inlineStr">
        <is>
          <t>NULL</t>
        </is>
      </c>
      <c r="C276" t="inlineStr">
        <is>
          <t>NULL</t>
        </is>
      </c>
      <c r="D276" t="inlineStr">
        <is>
          <t>NULL</t>
        </is>
      </c>
      <c r="E276" t="inlineStr">
        <is>
          <t>NULL</t>
        </is>
      </c>
      <c r="F276" t="inlineStr">
        <is>
          <t>NULL</t>
        </is>
      </c>
      <c r="G276" t="inlineStr">
        <is>
          <t>NULL</t>
        </is>
      </c>
      <c r="H276" t="inlineStr">
        <is>
          <t>NULL</t>
        </is>
      </c>
      <c r="I276" t="inlineStr">
        <is>
          <t>NULL</t>
        </is>
      </c>
      <c r="J276" t="inlineStr">
        <is>
          <t>NULL</t>
        </is>
      </c>
      <c r="K276" t="inlineStr">
        <is>
          <t xml:space="preserve"> NO!  	 c_dt2_0列源备映射错误，源端为datetime2 None位	期望更改为text	实际备端为datetime2 None位</t>
        </is>
      </c>
    </row>
    <row r="277">
      <c r="B277" t="inlineStr">
        <is>
          <t>NULL</t>
        </is>
      </c>
      <c r="C277" t="inlineStr">
        <is>
          <t>NULL</t>
        </is>
      </c>
      <c r="D277" t="inlineStr">
        <is>
          <t>NULL</t>
        </is>
      </c>
      <c r="E277" t="inlineStr">
        <is>
          <t>NULL</t>
        </is>
      </c>
      <c r="F277" t="inlineStr">
        <is>
          <t>NULL</t>
        </is>
      </c>
      <c r="G277" t="inlineStr">
        <is>
          <t>NULL</t>
        </is>
      </c>
      <c r="H277" t="inlineStr">
        <is>
          <t>NULL</t>
        </is>
      </c>
      <c r="I277" t="inlineStr">
        <is>
          <t>NULL</t>
        </is>
      </c>
      <c r="J277" t="inlineStr">
        <is>
          <t>NULL</t>
        </is>
      </c>
      <c r="K277" t="inlineStr">
        <is>
          <t xml:space="preserve"> NO!  	 c_dt2_1列源备映射错误，源端为datetime2 None位	期望更改为text	实际备端为datetime2 None位</t>
        </is>
      </c>
    </row>
    <row r="278">
      <c r="B278" t="inlineStr">
        <is>
          <t>NULL</t>
        </is>
      </c>
      <c r="C278" t="inlineStr">
        <is>
          <t>NULL</t>
        </is>
      </c>
      <c r="D278" t="inlineStr">
        <is>
          <t>NULL</t>
        </is>
      </c>
      <c r="E278" t="inlineStr">
        <is>
          <t>NULL</t>
        </is>
      </c>
      <c r="F278" t="inlineStr">
        <is>
          <t>NULL</t>
        </is>
      </c>
      <c r="G278" t="inlineStr">
        <is>
          <t>NULL</t>
        </is>
      </c>
      <c r="H278" t="inlineStr">
        <is>
          <t>NULL</t>
        </is>
      </c>
      <c r="I278" t="inlineStr">
        <is>
          <t>NULL</t>
        </is>
      </c>
      <c r="J278" t="inlineStr">
        <is>
          <t>NULL</t>
        </is>
      </c>
      <c r="K278" t="inlineStr">
        <is>
          <t xml:space="preserve"> NO!  	 c_dt2_2列源备映射错误，源端为datetime2 None位	期望更改为text	实际备端为datetime2 None位</t>
        </is>
      </c>
    </row>
    <row r="279">
      <c r="B279" t="inlineStr">
        <is>
          <t>NULL</t>
        </is>
      </c>
      <c r="C279" t="inlineStr">
        <is>
          <t>NULL</t>
        </is>
      </c>
      <c r="D279" t="inlineStr">
        <is>
          <t>NULL</t>
        </is>
      </c>
      <c r="E279" t="inlineStr">
        <is>
          <t>NULL</t>
        </is>
      </c>
      <c r="F279" t="inlineStr">
        <is>
          <t>NULL</t>
        </is>
      </c>
      <c r="G279" t="inlineStr">
        <is>
          <t>NULL</t>
        </is>
      </c>
      <c r="H279" t="inlineStr">
        <is>
          <t>NULL</t>
        </is>
      </c>
      <c r="I279" t="inlineStr">
        <is>
          <t>NULL</t>
        </is>
      </c>
      <c r="J279" t="inlineStr">
        <is>
          <t>NULL</t>
        </is>
      </c>
      <c r="K279" t="inlineStr">
        <is>
          <t xml:space="preserve"> NO!  	 c_dt2_3列源备映射错误，源端为datetime2 None位	期望更改为text	实际备端为datetime2 None位</t>
        </is>
      </c>
    </row>
    <row r="280">
      <c r="B280" t="inlineStr">
        <is>
          <t>NULL</t>
        </is>
      </c>
      <c r="C280" t="inlineStr">
        <is>
          <t>NULL</t>
        </is>
      </c>
      <c r="D280" t="inlineStr">
        <is>
          <t>NULL</t>
        </is>
      </c>
      <c r="E280" t="inlineStr">
        <is>
          <t>NULL</t>
        </is>
      </c>
      <c r="F280" t="inlineStr">
        <is>
          <t>NULL</t>
        </is>
      </c>
      <c r="G280" t="inlineStr">
        <is>
          <t>NULL</t>
        </is>
      </c>
      <c r="H280" t="inlineStr">
        <is>
          <t>NULL</t>
        </is>
      </c>
      <c r="I280" t="inlineStr">
        <is>
          <t>NULL</t>
        </is>
      </c>
      <c r="J280" t="inlineStr">
        <is>
          <t>NULL</t>
        </is>
      </c>
      <c r="K280" t="inlineStr">
        <is>
          <t xml:space="preserve"> NO!  	 c_dt2_4列源备映射错误，源端为datetime2 None位	期望更改为text	实际备端为datetime2 None位</t>
        </is>
      </c>
    </row>
    <row r="281">
      <c r="B281" t="inlineStr">
        <is>
          <t>NULL</t>
        </is>
      </c>
      <c r="C281" t="inlineStr">
        <is>
          <t>NULL</t>
        </is>
      </c>
      <c r="D281" t="inlineStr">
        <is>
          <t>NULL</t>
        </is>
      </c>
      <c r="E281" t="inlineStr">
        <is>
          <t>NULL</t>
        </is>
      </c>
      <c r="F281" t="inlineStr">
        <is>
          <t>NULL</t>
        </is>
      </c>
      <c r="G281" t="inlineStr">
        <is>
          <t>NULL</t>
        </is>
      </c>
      <c r="H281" t="inlineStr">
        <is>
          <t>NULL</t>
        </is>
      </c>
      <c r="I281" t="inlineStr">
        <is>
          <t>NULL</t>
        </is>
      </c>
      <c r="J281" t="inlineStr">
        <is>
          <t>NULL</t>
        </is>
      </c>
      <c r="K281" t="inlineStr">
        <is>
          <t xml:space="preserve"> NO!  	 c_dt2_5列源备映射错误，源端为datetime2 None位	期望更改为text	实际备端为datetime2 None位</t>
        </is>
      </c>
    </row>
    <row r="282">
      <c r="B282" t="inlineStr">
        <is>
          <t>NULL</t>
        </is>
      </c>
      <c r="C282" t="inlineStr">
        <is>
          <t>NULL</t>
        </is>
      </c>
      <c r="D282" t="inlineStr">
        <is>
          <t>NULL</t>
        </is>
      </c>
      <c r="E282" t="inlineStr">
        <is>
          <t>NULL</t>
        </is>
      </c>
      <c r="F282" t="inlineStr">
        <is>
          <t>NULL</t>
        </is>
      </c>
      <c r="G282" t="inlineStr">
        <is>
          <t>NULL</t>
        </is>
      </c>
      <c r="H282" t="inlineStr">
        <is>
          <t>NULL</t>
        </is>
      </c>
      <c r="I282" t="inlineStr">
        <is>
          <t>NULL</t>
        </is>
      </c>
      <c r="J282" t="inlineStr">
        <is>
          <t>NULL</t>
        </is>
      </c>
      <c r="K282" t="inlineStr">
        <is>
          <t xml:space="preserve"> NO!  	 c_dt2_6列源备映射错误，源端为datetime2 None位	期望更改为text	实际备端为datetime2 None位</t>
        </is>
      </c>
    </row>
    <row r="283">
      <c r="B283" t="inlineStr">
        <is>
          <t>NULL</t>
        </is>
      </c>
      <c r="C283" t="inlineStr">
        <is>
          <t>NULL</t>
        </is>
      </c>
      <c r="D283" t="inlineStr">
        <is>
          <t>NULL</t>
        </is>
      </c>
      <c r="E283" t="inlineStr">
        <is>
          <t>NULL</t>
        </is>
      </c>
      <c r="F283" t="inlineStr">
        <is>
          <t>NULL</t>
        </is>
      </c>
      <c r="G283" t="inlineStr">
        <is>
          <t>NULL</t>
        </is>
      </c>
      <c r="H283" t="inlineStr">
        <is>
          <t>NULL</t>
        </is>
      </c>
      <c r="I283" t="inlineStr">
        <is>
          <t>NULL</t>
        </is>
      </c>
      <c r="J283" t="inlineStr">
        <is>
          <t>NULL</t>
        </is>
      </c>
      <c r="K283" t="inlineStr">
        <is>
          <t xml:space="preserve"> NO!  	 c_dt2列源备映射错误，源端为datetime2 None位	期望更改为text	实际备端为datetime2 None位</t>
        </is>
      </c>
    </row>
    <row r="284">
      <c r="A284" t="inlineStr">
        <is>
          <t>info_date_dml_single_pk_irp</t>
        </is>
      </c>
      <c r="K284" t="inlineStr">
        <is>
          <t>[0;34m info_date_dml_single_pk_irp [0m源备字段数相同，源端字段：2 	备端字段2</t>
        </is>
      </c>
      <c r="W284" s="17">
        <f>HYPERLINK("#2026041919hbase0!AX2","NO 源备存在差异，共10个")</f>
        <v/>
      </c>
      <c r="X284">
        <f>A284</f>
        <v/>
      </c>
    </row>
    <row r="285">
      <c r="B285" t="inlineStr">
        <is>
          <t>YES</t>
        </is>
      </c>
      <c r="C285" t="inlineStr">
        <is>
          <t>NULL</t>
        </is>
      </c>
      <c r="D285" t="inlineStr">
        <is>
          <t>NULL</t>
        </is>
      </c>
      <c r="E285" t="inlineStr">
        <is>
          <t>NULL</t>
        </is>
      </c>
      <c r="F285" t="inlineStr">
        <is>
          <t>NULL</t>
        </is>
      </c>
      <c r="G285" t="inlineStr">
        <is>
          <t>NULL</t>
        </is>
      </c>
      <c r="H285" t="inlineStr">
        <is>
          <t>NULL</t>
        </is>
      </c>
      <c r="I285" t="inlineStr">
        <is>
          <t>YES!PK__info_dat__3213E83FF1779527</t>
        </is>
      </c>
      <c r="J285" t="inlineStr">
        <is>
          <t>YES! 主键相关索引</t>
        </is>
      </c>
      <c r="K285" t="inlineStr">
        <is>
          <t xml:space="preserve"> NO!  	 id列源备映射错误，源端为int None位	期望更改为text	实际备端为int None位</t>
        </is>
      </c>
    </row>
    <row r="286">
      <c r="B286" t="inlineStr">
        <is>
          <t>NULL</t>
        </is>
      </c>
      <c r="C286" t="inlineStr">
        <is>
          <t>NULL</t>
        </is>
      </c>
      <c r="D286" t="inlineStr">
        <is>
          <t>NULL</t>
        </is>
      </c>
      <c r="E286" t="inlineStr">
        <is>
          <t>NULL</t>
        </is>
      </c>
      <c r="F286" t="inlineStr">
        <is>
          <t>NULL</t>
        </is>
      </c>
      <c r="G286" t="inlineStr">
        <is>
          <t>NULL</t>
        </is>
      </c>
      <c r="H286" t="inlineStr">
        <is>
          <t>NULL</t>
        </is>
      </c>
      <c r="I286" t="inlineStr">
        <is>
          <t>NULL</t>
        </is>
      </c>
      <c r="J286" t="inlineStr">
        <is>
          <t>NULL</t>
        </is>
      </c>
      <c r="K286" t="inlineStr">
        <is>
          <t xml:space="preserve"> NO!  	 c_date列源备映射错误，源端为date None位	期望更改为text	实际备端为date None位</t>
        </is>
      </c>
    </row>
    <row r="287">
      <c r="A287" t="inlineStr">
        <is>
          <t>info_datetime2_dml_batch2_pk_irp1</t>
        </is>
      </c>
      <c r="K287" t="inlineStr">
        <is>
          <t>[0;34m info_datetime2_dml_batch2_pk_irp1 [0m源备字段数相同，源端字段：9 	备端字段9</t>
        </is>
      </c>
      <c r="W287" s="17">
        <f>HYPERLINK("#2026041919hbase0!AY2","NO 源备存在差异，共6个")</f>
        <v/>
      </c>
      <c r="X287">
        <f>A287</f>
        <v/>
      </c>
    </row>
    <row r="288">
      <c r="B288" t="inlineStr">
        <is>
          <t>YES</t>
        </is>
      </c>
      <c r="C288" t="inlineStr">
        <is>
          <t>NULL</t>
        </is>
      </c>
      <c r="D288" t="inlineStr">
        <is>
          <t>NULL</t>
        </is>
      </c>
      <c r="E288" t="inlineStr">
        <is>
          <t>NULL</t>
        </is>
      </c>
      <c r="F288" t="inlineStr">
        <is>
          <t>NULL</t>
        </is>
      </c>
      <c r="G288" t="inlineStr">
        <is>
          <t>NULL</t>
        </is>
      </c>
      <c r="H288" t="inlineStr">
        <is>
          <t>NULL</t>
        </is>
      </c>
      <c r="I288" t="inlineStr">
        <is>
          <t>YES!PK__info_dat__3213E83F47E4FBC7</t>
        </is>
      </c>
      <c r="J288" t="inlineStr">
        <is>
          <t>YES! 主键相关索引</t>
        </is>
      </c>
      <c r="K288" t="inlineStr">
        <is>
          <t xml:space="preserve"> NO!  	 id列源备映射错误，源端为int None位	期望更改为text	实际备端为int None位</t>
        </is>
      </c>
    </row>
    <row r="289">
      <c r="B289" t="inlineStr">
        <is>
          <t>NULL</t>
        </is>
      </c>
      <c r="C289" t="inlineStr">
        <is>
          <t>NULL</t>
        </is>
      </c>
      <c r="D289" t="inlineStr">
        <is>
          <t>NULL</t>
        </is>
      </c>
      <c r="E289" t="inlineStr">
        <is>
          <t>NULL</t>
        </is>
      </c>
      <c r="F289" t="inlineStr">
        <is>
          <t>NULL</t>
        </is>
      </c>
      <c r="G289" t="inlineStr">
        <is>
          <t>NULL</t>
        </is>
      </c>
      <c r="H289" t="inlineStr">
        <is>
          <t>NULL</t>
        </is>
      </c>
      <c r="I289" t="inlineStr">
        <is>
          <t>NULL</t>
        </is>
      </c>
      <c r="J289" t="inlineStr">
        <is>
          <t>NULL</t>
        </is>
      </c>
      <c r="K289" t="inlineStr">
        <is>
          <t xml:space="preserve"> NO!  	 c_dt2_0列源备映射错误，源端为datetime2 None位	期望更改为text	实际备端为datetime2 None位</t>
        </is>
      </c>
    </row>
    <row r="290">
      <c r="B290" t="inlineStr">
        <is>
          <t>NULL</t>
        </is>
      </c>
      <c r="C290" t="inlineStr">
        <is>
          <t>NULL</t>
        </is>
      </c>
      <c r="D290" t="inlineStr">
        <is>
          <t>NULL</t>
        </is>
      </c>
      <c r="E290" t="inlineStr">
        <is>
          <t>NULL</t>
        </is>
      </c>
      <c r="F290" t="inlineStr">
        <is>
          <t>NULL</t>
        </is>
      </c>
      <c r="G290" t="inlineStr">
        <is>
          <t>NULL</t>
        </is>
      </c>
      <c r="H290" t="inlineStr">
        <is>
          <t>NULL</t>
        </is>
      </c>
      <c r="I290" t="inlineStr">
        <is>
          <t>NULL</t>
        </is>
      </c>
      <c r="J290" t="inlineStr">
        <is>
          <t>NULL</t>
        </is>
      </c>
      <c r="K290" t="inlineStr">
        <is>
          <t xml:space="preserve"> NO!  	 c_dt2_1列源备映射错误，源端为datetime2 None位	期望更改为text	实际备端为datetime2 None位</t>
        </is>
      </c>
    </row>
    <row r="291">
      <c r="B291" t="inlineStr">
        <is>
          <t>NULL</t>
        </is>
      </c>
      <c r="C291" t="inlineStr">
        <is>
          <t>NULL</t>
        </is>
      </c>
      <c r="D291" t="inlineStr">
        <is>
          <t>NULL</t>
        </is>
      </c>
      <c r="E291" t="inlineStr">
        <is>
          <t>NULL</t>
        </is>
      </c>
      <c r="F291" t="inlineStr">
        <is>
          <t>NULL</t>
        </is>
      </c>
      <c r="G291" t="inlineStr">
        <is>
          <t>NULL</t>
        </is>
      </c>
      <c r="H291" t="inlineStr">
        <is>
          <t>NULL</t>
        </is>
      </c>
      <c r="I291" t="inlineStr">
        <is>
          <t>NULL</t>
        </is>
      </c>
      <c r="J291" t="inlineStr">
        <is>
          <t>NULL</t>
        </is>
      </c>
      <c r="K291" t="inlineStr">
        <is>
          <t xml:space="preserve"> NO!  	 c_dt2_2列源备映射错误，源端为datetime2 None位	期望更改为text	实际备端为datetime2 None位</t>
        </is>
      </c>
    </row>
    <row r="292">
      <c r="B292" t="inlineStr">
        <is>
          <t>NULL</t>
        </is>
      </c>
      <c r="C292" t="inlineStr">
        <is>
          <t>NULL</t>
        </is>
      </c>
      <c r="D292" t="inlineStr">
        <is>
          <t>NULL</t>
        </is>
      </c>
      <c r="E292" t="inlineStr">
        <is>
          <t>NULL</t>
        </is>
      </c>
      <c r="F292" t="inlineStr">
        <is>
          <t>NULL</t>
        </is>
      </c>
      <c r="G292" t="inlineStr">
        <is>
          <t>NULL</t>
        </is>
      </c>
      <c r="H292" t="inlineStr">
        <is>
          <t>NULL</t>
        </is>
      </c>
      <c r="I292" t="inlineStr">
        <is>
          <t>NULL</t>
        </is>
      </c>
      <c r="J292" t="inlineStr">
        <is>
          <t>NULL</t>
        </is>
      </c>
      <c r="K292" t="inlineStr">
        <is>
          <t xml:space="preserve"> NO!  	 c_dt2_3列源备映射错误，源端为datetime2 None位	期望更改为text	实际备端为datetime2 None位</t>
        </is>
      </c>
    </row>
    <row r="293">
      <c r="B293" t="inlineStr">
        <is>
          <t>NULL</t>
        </is>
      </c>
      <c r="C293" t="inlineStr">
        <is>
          <t>NULL</t>
        </is>
      </c>
      <c r="D293" t="inlineStr">
        <is>
          <t>NULL</t>
        </is>
      </c>
      <c r="E293" t="inlineStr">
        <is>
          <t>NULL</t>
        </is>
      </c>
      <c r="F293" t="inlineStr">
        <is>
          <t>NULL</t>
        </is>
      </c>
      <c r="G293" t="inlineStr">
        <is>
          <t>NULL</t>
        </is>
      </c>
      <c r="H293" t="inlineStr">
        <is>
          <t>NULL</t>
        </is>
      </c>
      <c r="I293" t="inlineStr">
        <is>
          <t>NULL</t>
        </is>
      </c>
      <c r="J293" t="inlineStr">
        <is>
          <t>NULL</t>
        </is>
      </c>
      <c r="K293" t="inlineStr">
        <is>
          <t xml:space="preserve"> NO!  	 c_dt2_4列源备映射错误，源端为datetime2 None位	期望更改为text	实际备端为datetime2 None位</t>
        </is>
      </c>
    </row>
    <row r="294">
      <c r="B294" t="inlineStr">
        <is>
          <t>NULL</t>
        </is>
      </c>
      <c r="C294" t="inlineStr">
        <is>
          <t>NULL</t>
        </is>
      </c>
      <c r="D294" t="inlineStr">
        <is>
          <t>NULL</t>
        </is>
      </c>
      <c r="E294" t="inlineStr">
        <is>
          <t>NULL</t>
        </is>
      </c>
      <c r="F294" t="inlineStr">
        <is>
          <t>NULL</t>
        </is>
      </c>
      <c r="G294" t="inlineStr">
        <is>
          <t>NULL</t>
        </is>
      </c>
      <c r="H294" t="inlineStr">
        <is>
          <t>NULL</t>
        </is>
      </c>
      <c r="I294" t="inlineStr">
        <is>
          <t>NULL</t>
        </is>
      </c>
      <c r="J294" t="inlineStr">
        <is>
          <t>NULL</t>
        </is>
      </c>
      <c r="K294" t="inlineStr">
        <is>
          <t xml:space="preserve"> NO!  	 c_dt2_5列源备映射错误，源端为datetime2 None位	期望更改为text	实际备端为datetime2 None位</t>
        </is>
      </c>
    </row>
    <row r="295">
      <c r="B295" t="inlineStr">
        <is>
          <t>NULL</t>
        </is>
      </c>
      <c r="C295" t="inlineStr">
        <is>
          <t>NULL</t>
        </is>
      </c>
      <c r="D295" t="inlineStr">
        <is>
          <t>NULL</t>
        </is>
      </c>
      <c r="E295" t="inlineStr">
        <is>
          <t>NULL</t>
        </is>
      </c>
      <c r="F295" t="inlineStr">
        <is>
          <t>NULL</t>
        </is>
      </c>
      <c r="G295" t="inlineStr">
        <is>
          <t>NULL</t>
        </is>
      </c>
      <c r="H295" t="inlineStr">
        <is>
          <t>NULL</t>
        </is>
      </c>
      <c r="I295" t="inlineStr">
        <is>
          <t>NULL</t>
        </is>
      </c>
      <c r="J295" t="inlineStr">
        <is>
          <t>NULL</t>
        </is>
      </c>
      <c r="K295" t="inlineStr">
        <is>
          <t xml:space="preserve"> NO!  	 c_dt2_6列源备映射错误，源端为datetime2 None位	期望更改为text	实际备端为datetime2 None位</t>
        </is>
      </c>
    </row>
    <row r="296">
      <c r="B296" t="inlineStr">
        <is>
          <t>NULL</t>
        </is>
      </c>
      <c r="C296" t="inlineStr">
        <is>
          <t>NULL</t>
        </is>
      </c>
      <c r="D296" t="inlineStr">
        <is>
          <t>NULL</t>
        </is>
      </c>
      <c r="E296" t="inlineStr">
        <is>
          <t>NULL</t>
        </is>
      </c>
      <c r="F296" t="inlineStr">
        <is>
          <t>NULL</t>
        </is>
      </c>
      <c r="G296" t="inlineStr">
        <is>
          <t>NULL</t>
        </is>
      </c>
      <c r="H296" t="inlineStr">
        <is>
          <t>NULL</t>
        </is>
      </c>
      <c r="I296" t="inlineStr">
        <is>
          <t>NULL</t>
        </is>
      </c>
      <c r="J296" t="inlineStr">
        <is>
          <t>NULL</t>
        </is>
      </c>
      <c r="K296" t="inlineStr">
        <is>
          <t xml:space="preserve"> NO!  	 c_dt2列源备映射错误，源端为datetime2 None位	期望更改为text	实际备端为datetime2 None位</t>
        </is>
      </c>
    </row>
    <row r="297">
      <c r="A297" t="inlineStr">
        <is>
          <t>info_datetime2_dml_batch1_pk_irp2</t>
        </is>
      </c>
      <c r="K297" t="inlineStr">
        <is>
          <t>[0;34m info_datetime2_dml_batch1_pk_irp2 [0m源备字段数相同，源端字段：9 	备端字段9</t>
        </is>
      </c>
      <c r="W297" s="17">
        <f>HYPERLINK("#2026041919hbase0!AZ2","NO 源备存在差异，共34个")</f>
        <v/>
      </c>
      <c r="X297">
        <f>A297</f>
        <v/>
      </c>
    </row>
    <row r="298">
      <c r="B298" t="inlineStr">
        <is>
          <t>YES</t>
        </is>
      </c>
      <c r="C298" t="inlineStr">
        <is>
          <t>NULL</t>
        </is>
      </c>
      <c r="D298" t="inlineStr">
        <is>
          <t>NULL</t>
        </is>
      </c>
      <c r="E298" t="inlineStr">
        <is>
          <t>NULL</t>
        </is>
      </c>
      <c r="F298" t="inlineStr">
        <is>
          <t>NULL</t>
        </is>
      </c>
      <c r="G298" t="inlineStr">
        <is>
          <t>NULL</t>
        </is>
      </c>
      <c r="H298" t="inlineStr">
        <is>
          <t>NULL</t>
        </is>
      </c>
      <c r="I298" t="inlineStr">
        <is>
          <t>YES!PK__info_dat__3213E83FF4E49ABA</t>
        </is>
      </c>
      <c r="J298" t="inlineStr">
        <is>
          <t>YES! 主键相关索引</t>
        </is>
      </c>
      <c r="K298" t="inlineStr">
        <is>
          <t xml:space="preserve"> NO!  	 id列源备映射错误，源端为int None位	期望更改为text	实际备端为int None位</t>
        </is>
      </c>
    </row>
    <row r="299">
      <c r="B299" t="inlineStr">
        <is>
          <t>NULL</t>
        </is>
      </c>
      <c r="C299" t="inlineStr">
        <is>
          <t>NULL</t>
        </is>
      </c>
      <c r="D299" t="inlineStr">
        <is>
          <t>NULL</t>
        </is>
      </c>
      <c r="E299" t="inlineStr">
        <is>
          <t>NULL</t>
        </is>
      </c>
      <c r="F299" t="inlineStr">
        <is>
          <t>NULL</t>
        </is>
      </c>
      <c r="G299" t="inlineStr">
        <is>
          <t>NULL</t>
        </is>
      </c>
      <c r="H299" t="inlineStr">
        <is>
          <t>NULL</t>
        </is>
      </c>
      <c r="I299" t="inlineStr">
        <is>
          <t>NULL</t>
        </is>
      </c>
      <c r="J299" t="inlineStr">
        <is>
          <t>NULL</t>
        </is>
      </c>
      <c r="K299" t="inlineStr">
        <is>
          <t xml:space="preserve"> NO!  	 c_dt2_0列源备映射错误，源端为datetime2 None位	期望更改为text	实际备端为datetime2 None位</t>
        </is>
      </c>
    </row>
    <row r="300">
      <c r="B300" t="inlineStr">
        <is>
          <t>NULL</t>
        </is>
      </c>
      <c r="C300" t="inlineStr">
        <is>
          <t>NULL</t>
        </is>
      </c>
      <c r="D300" t="inlineStr">
        <is>
          <t>NULL</t>
        </is>
      </c>
      <c r="E300" t="inlineStr">
        <is>
          <t>NULL</t>
        </is>
      </c>
      <c r="F300" t="inlineStr">
        <is>
          <t>NULL</t>
        </is>
      </c>
      <c r="G300" t="inlineStr">
        <is>
          <t>NULL</t>
        </is>
      </c>
      <c r="H300" t="inlineStr">
        <is>
          <t>NULL</t>
        </is>
      </c>
      <c r="I300" t="inlineStr">
        <is>
          <t>NULL</t>
        </is>
      </c>
      <c r="J300" t="inlineStr">
        <is>
          <t>NULL</t>
        </is>
      </c>
      <c r="K300" t="inlineStr">
        <is>
          <t xml:space="preserve"> NO!  	 c_dt2_1列源备映射错误，源端为datetime2 None位	期望更改为text	实际备端为datetime2 None位</t>
        </is>
      </c>
    </row>
    <row r="301">
      <c r="B301" t="inlineStr">
        <is>
          <t>NULL</t>
        </is>
      </c>
      <c r="C301" t="inlineStr">
        <is>
          <t>NULL</t>
        </is>
      </c>
      <c r="D301" t="inlineStr">
        <is>
          <t>NULL</t>
        </is>
      </c>
      <c r="E301" t="inlineStr">
        <is>
          <t>NULL</t>
        </is>
      </c>
      <c r="F301" t="inlineStr">
        <is>
          <t>NULL</t>
        </is>
      </c>
      <c r="G301" t="inlineStr">
        <is>
          <t>NULL</t>
        </is>
      </c>
      <c r="H301" t="inlineStr">
        <is>
          <t>NULL</t>
        </is>
      </c>
      <c r="I301" t="inlineStr">
        <is>
          <t>NULL</t>
        </is>
      </c>
      <c r="J301" t="inlineStr">
        <is>
          <t>NULL</t>
        </is>
      </c>
      <c r="K301" t="inlineStr">
        <is>
          <t xml:space="preserve"> NO!  	 c_dt2_2列源备映射错误，源端为datetime2 None位	期望更改为text	实际备端为datetime2 None位</t>
        </is>
      </c>
    </row>
    <row r="302">
      <c r="B302" t="inlineStr">
        <is>
          <t>NULL</t>
        </is>
      </c>
      <c r="C302" t="inlineStr">
        <is>
          <t>NULL</t>
        </is>
      </c>
      <c r="D302" t="inlineStr">
        <is>
          <t>NULL</t>
        </is>
      </c>
      <c r="E302" t="inlineStr">
        <is>
          <t>NULL</t>
        </is>
      </c>
      <c r="F302" t="inlineStr">
        <is>
          <t>NULL</t>
        </is>
      </c>
      <c r="G302" t="inlineStr">
        <is>
          <t>NULL</t>
        </is>
      </c>
      <c r="H302" t="inlineStr">
        <is>
          <t>NULL</t>
        </is>
      </c>
      <c r="I302" t="inlineStr">
        <is>
          <t>NULL</t>
        </is>
      </c>
      <c r="J302" t="inlineStr">
        <is>
          <t>NULL</t>
        </is>
      </c>
      <c r="K302" t="inlineStr">
        <is>
          <t xml:space="preserve"> NO!  	 c_dt2_3列源备映射错误，源端为datetime2 None位	期望更改为text	实际备端为datetime2 None位</t>
        </is>
      </c>
    </row>
    <row r="303">
      <c r="B303" t="inlineStr">
        <is>
          <t>NULL</t>
        </is>
      </c>
      <c r="C303" t="inlineStr">
        <is>
          <t>NULL</t>
        </is>
      </c>
      <c r="D303" t="inlineStr">
        <is>
          <t>NULL</t>
        </is>
      </c>
      <c r="E303" t="inlineStr">
        <is>
          <t>NULL</t>
        </is>
      </c>
      <c r="F303" t="inlineStr">
        <is>
          <t>NULL</t>
        </is>
      </c>
      <c r="G303" t="inlineStr">
        <is>
          <t>NULL</t>
        </is>
      </c>
      <c r="H303" t="inlineStr">
        <is>
          <t>NULL</t>
        </is>
      </c>
      <c r="I303" t="inlineStr">
        <is>
          <t>NULL</t>
        </is>
      </c>
      <c r="J303" t="inlineStr">
        <is>
          <t>NULL</t>
        </is>
      </c>
      <c r="K303" t="inlineStr">
        <is>
          <t xml:space="preserve"> NO!  	 c_dt2_4列源备映射错误，源端为datetime2 None位	期望更改为text	实际备端为datetime2 None位</t>
        </is>
      </c>
    </row>
    <row r="304">
      <c r="B304" t="inlineStr">
        <is>
          <t>NULL</t>
        </is>
      </c>
      <c r="C304" t="inlineStr">
        <is>
          <t>NULL</t>
        </is>
      </c>
      <c r="D304" t="inlineStr">
        <is>
          <t>NULL</t>
        </is>
      </c>
      <c r="E304" t="inlineStr">
        <is>
          <t>NULL</t>
        </is>
      </c>
      <c r="F304" t="inlineStr">
        <is>
          <t>NULL</t>
        </is>
      </c>
      <c r="G304" t="inlineStr">
        <is>
          <t>NULL</t>
        </is>
      </c>
      <c r="H304" t="inlineStr">
        <is>
          <t>NULL</t>
        </is>
      </c>
      <c r="I304" t="inlineStr">
        <is>
          <t>NULL</t>
        </is>
      </c>
      <c r="J304" t="inlineStr">
        <is>
          <t>NULL</t>
        </is>
      </c>
      <c r="K304" t="inlineStr">
        <is>
          <t xml:space="preserve"> NO!  	 c_dt2_5列源备映射错误，源端为datetime2 None位	期望更改为text	实际备端为datetime2 None位</t>
        </is>
      </c>
    </row>
    <row r="305">
      <c r="B305" t="inlineStr">
        <is>
          <t>NULL</t>
        </is>
      </c>
      <c r="C305" t="inlineStr">
        <is>
          <t>NULL</t>
        </is>
      </c>
      <c r="D305" t="inlineStr">
        <is>
          <t>NULL</t>
        </is>
      </c>
      <c r="E305" t="inlineStr">
        <is>
          <t>NULL</t>
        </is>
      </c>
      <c r="F305" t="inlineStr">
        <is>
          <t>NULL</t>
        </is>
      </c>
      <c r="G305" t="inlineStr">
        <is>
          <t>NULL</t>
        </is>
      </c>
      <c r="H305" t="inlineStr">
        <is>
          <t>NULL</t>
        </is>
      </c>
      <c r="I305" t="inlineStr">
        <is>
          <t>NULL</t>
        </is>
      </c>
      <c r="J305" t="inlineStr">
        <is>
          <t>NULL</t>
        </is>
      </c>
      <c r="K305" t="inlineStr">
        <is>
          <t xml:space="preserve"> NO!  	 c_dt2_6列源备映射错误，源端为datetime2 None位	期望更改为text	实际备端为datetime2 None位</t>
        </is>
      </c>
    </row>
    <row r="306">
      <c r="B306" t="inlineStr">
        <is>
          <t>NULL</t>
        </is>
      </c>
      <c r="C306" t="inlineStr">
        <is>
          <t>NULL</t>
        </is>
      </c>
      <c r="D306" t="inlineStr">
        <is>
          <t>NULL</t>
        </is>
      </c>
      <c r="E306" t="inlineStr">
        <is>
          <t>NULL</t>
        </is>
      </c>
      <c r="F306" t="inlineStr">
        <is>
          <t>NULL</t>
        </is>
      </c>
      <c r="G306" t="inlineStr">
        <is>
          <t>NULL</t>
        </is>
      </c>
      <c r="H306" t="inlineStr">
        <is>
          <t>NULL</t>
        </is>
      </c>
      <c r="I306" t="inlineStr">
        <is>
          <t>NULL</t>
        </is>
      </c>
      <c r="J306" t="inlineStr">
        <is>
          <t>NULL</t>
        </is>
      </c>
      <c r="K306" t="inlineStr">
        <is>
          <t xml:space="preserve"> NO!  	 c_dt2列源备映射错误，源端为datetime2 None位	期望更改为text	实际备端为datetime2 None位</t>
        </is>
      </c>
    </row>
    <row r="307">
      <c r="A307" t="inlineStr">
        <is>
          <t>info_int_dml_batch1_pk_drp2</t>
        </is>
      </c>
      <c r="K307" t="inlineStr">
        <is>
          <t>[0;34m info_int_dml_batch1_pk_drp2 [0m源备字段数相同，源端字段：20 	备端字段20</t>
        </is>
      </c>
      <c r="W307" s="17">
        <f>HYPERLINK("#2026041919hbase0!BA2","NO 源备存在差异，共11个")</f>
        <v/>
      </c>
      <c r="X307">
        <f>A307</f>
        <v/>
      </c>
    </row>
    <row r="308">
      <c r="B308" t="inlineStr">
        <is>
          <t>YES</t>
        </is>
      </c>
      <c r="C308" t="inlineStr">
        <is>
          <t>NULL</t>
        </is>
      </c>
      <c r="D308" t="inlineStr">
        <is>
          <t>NULL</t>
        </is>
      </c>
      <c r="E308" t="inlineStr">
        <is>
          <t>NULL</t>
        </is>
      </c>
      <c r="F308" t="inlineStr">
        <is>
          <t>NULL</t>
        </is>
      </c>
      <c r="G308" t="inlineStr">
        <is>
          <t>NULL</t>
        </is>
      </c>
      <c r="H308" t="inlineStr">
        <is>
          <t>NULL</t>
        </is>
      </c>
      <c r="I308" t="inlineStr">
        <is>
          <t>YES!PK__info_int__3213E83F4B78E8C8</t>
        </is>
      </c>
      <c r="J308" t="inlineStr">
        <is>
          <t>YES! 主键相关索引</t>
        </is>
      </c>
      <c r="K308" t="inlineStr">
        <is>
          <t xml:space="preserve"> NO!  	 id列源备映射错误，源端为int None位	期望更改为text	实际备端为int None位</t>
        </is>
      </c>
    </row>
    <row r="309">
      <c r="B309" t="inlineStr">
        <is>
          <t>NULL</t>
        </is>
      </c>
      <c r="C309" t="inlineStr">
        <is>
          <t>NULL</t>
        </is>
      </c>
      <c r="D309" t="inlineStr">
        <is>
          <t>NULL</t>
        </is>
      </c>
      <c r="E309" t="inlineStr">
        <is>
          <t>NULL</t>
        </is>
      </c>
      <c r="F309" t="inlineStr">
        <is>
          <t>NULL</t>
        </is>
      </c>
      <c r="G309" t="inlineStr">
        <is>
          <t>NULL</t>
        </is>
      </c>
      <c r="H309" t="inlineStr">
        <is>
          <t>NULL</t>
        </is>
      </c>
      <c r="I309" t="inlineStr">
        <is>
          <t>NULL</t>
        </is>
      </c>
      <c r="J309" t="inlineStr">
        <is>
          <t>NULL</t>
        </is>
      </c>
      <c r="K309" t="inlineStr">
        <is>
          <t xml:space="preserve"> NO!  	 c_tinyint列源备映射错误，源端为tinyint None位	期望更改为text	实际备端为tinyint None位</t>
        </is>
      </c>
    </row>
    <row r="310">
      <c r="B310" t="inlineStr">
        <is>
          <t>NULL</t>
        </is>
      </c>
      <c r="C310" t="inlineStr">
        <is>
          <t>NULL</t>
        </is>
      </c>
      <c r="D310" t="inlineStr">
        <is>
          <t>NULL</t>
        </is>
      </c>
      <c r="E310" t="inlineStr">
        <is>
          <t>NULL</t>
        </is>
      </c>
      <c r="F310" t="inlineStr">
        <is>
          <t>NULL</t>
        </is>
      </c>
      <c r="G310" t="inlineStr">
        <is>
          <t>NULL</t>
        </is>
      </c>
      <c r="H310" t="inlineStr">
        <is>
          <t>NULL</t>
        </is>
      </c>
      <c r="I310" t="inlineStr">
        <is>
          <t>NULL</t>
        </is>
      </c>
      <c r="J310" t="inlineStr">
        <is>
          <t>NULL</t>
        </is>
      </c>
      <c r="K310" t="inlineStr">
        <is>
          <t xml:space="preserve"> NO!  	 c_smallint列源备映射错误，源端为smallint None位	期望更改为text	实际备端为smallint None位</t>
        </is>
      </c>
    </row>
    <row r="311">
      <c r="B311" t="inlineStr">
        <is>
          <t>NULL</t>
        </is>
      </c>
      <c r="C311" t="inlineStr">
        <is>
          <t>NULL</t>
        </is>
      </c>
      <c r="D311" t="inlineStr">
        <is>
          <t>NULL</t>
        </is>
      </c>
      <c r="E311" t="inlineStr">
        <is>
          <t>NULL</t>
        </is>
      </c>
      <c r="F311" t="inlineStr">
        <is>
          <t>NULL</t>
        </is>
      </c>
      <c r="G311" t="inlineStr">
        <is>
          <t>NULL</t>
        </is>
      </c>
      <c r="H311" t="inlineStr">
        <is>
          <t>NULL</t>
        </is>
      </c>
      <c r="I311" t="inlineStr">
        <is>
          <t>NULL</t>
        </is>
      </c>
      <c r="J311" t="inlineStr">
        <is>
          <t>NULL</t>
        </is>
      </c>
      <c r="K311" t="inlineStr">
        <is>
          <t xml:space="preserve"> NO!  	 c_int列源备映射错误，源端为int None位	期望更改为text	实际备端为int None位</t>
        </is>
      </c>
    </row>
    <row r="312">
      <c r="B312" t="inlineStr">
        <is>
          <t>NULL</t>
        </is>
      </c>
      <c r="C312" t="inlineStr">
        <is>
          <t>NULL</t>
        </is>
      </c>
      <c r="D312" t="inlineStr">
        <is>
          <t>NULL</t>
        </is>
      </c>
      <c r="E312" t="inlineStr">
        <is>
          <t>NULL</t>
        </is>
      </c>
      <c r="F312" t="inlineStr">
        <is>
          <t>NULL</t>
        </is>
      </c>
      <c r="G312" t="inlineStr">
        <is>
          <t>NULL</t>
        </is>
      </c>
      <c r="H312" t="inlineStr">
        <is>
          <t>NULL</t>
        </is>
      </c>
      <c r="I312" t="inlineStr">
        <is>
          <t>NULL</t>
        </is>
      </c>
      <c r="J312" t="inlineStr">
        <is>
          <t>NULL</t>
        </is>
      </c>
      <c r="K312" t="inlineStr">
        <is>
          <t xml:space="preserve"> NO!  	 c_bigint列源备映射错误，源端为bigint None位	期望更改为text	实际备端为bigint None位</t>
        </is>
      </c>
    </row>
    <row r="313">
      <c r="B313" t="inlineStr">
        <is>
          <t>NULL</t>
        </is>
      </c>
      <c r="C313" t="inlineStr">
        <is>
          <t>NULL</t>
        </is>
      </c>
      <c r="D313" t="inlineStr">
        <is>
          <t>NULL</t>
        </is>
      </c>
      <c r="E313" t="inlineStr">
        <is>
          <t>NULL</t>
        </is>
      </c>
      <c r="F313" t="inlineStr">
        <is>
          <t>NULL</t>
        </is>
      </c>
      <c r="G313" t="inlineStr">
        <is>
          <t>NULL</t>
        </is>
      </c>
      <c r="H313" t="inlineStr">
        <is>
          <t>NULL</t>
        </is>
      </c>
      <c r="I313" t="inlineStr">
        <is>
          <t>NULL</t>
        </is>
      </c>
      <c r="J313" t="inlineStr">
        <is>
          <t>NULL</t>
        </is>
      </c>
      <c r="K313" t="inlineStr">
        <is>
          <t xml:space="preserve"> NO!  	 c_decimal列源备映射错误，源端为decimal None位	期望更改为text	实际备端为decimal None位</t>
        </is>
      </c>
    </row>
    <row r="314">
      <c r="B314" t="inlineStr">
        <is>
          <t>NULL</t>
        </is>
      </c>
      <c r="C314" t="inlineStr">
        <is>
          <t>NULL</t>
        </is>
      </c>
      <c r="D314" t="inlineStr">
        <is>
          <t>NULL</t>
        </is>
      </c>
      <c r="E314" t="inlineStr">
        <is>
          <t>NULL</t>
        </is>
      </c>
      <c r="F314" t="inlineStr">
        <is>
          <t>NULL</t>
        </is>
      </c>
      <c r="G314" t="inlineStr">
        <is>
          <t>NULL</t>
        </is>
      </c>
      <c r="H314" t="inlineStr">
        <is>
          <t>NULL</t>
        </is>
      </c>
      <c r="I314" t="inlineStr">
        <is>
          <t>NULL</t>
        </is>
      </c>
      <c r="J314" t="inlineStr">
        <is>
          <t>NULL</t>
        </is>
      </c>
      <c r="K314" t="inlineStr">
        <is>
          <t xml:space="preserve"> NO!  	 c_decimal38列源备映射错误，源端为decimal None位	期望更改为text	实际备端为decimal None位</t>
        </is>
      </c>
    </row>
    <row r="315">
      <c r="B315" t="inlineStr">
        <is>
          <t>NULL</t>
        </is>
      </c>
      <c r="C315" t="inlineStr">
        <is>
          <t>NULL</t>
        </is>
      </c>
      <c r="D315" t="inlineStr">
        <is>
          <t>NULL</t>
        </is>
      </c>
      <c r="E315" t="inlineStr">
        <is>
          <t>NULL</t>
        </is>
      </c>
      <c r="F315" t="inlineStr">
        <is>
          <t>NULL</t>
        </is>
      </c>
      <c r="G315" t="inlineStr">
        <is>
          <t>NULL</t>
        </is>
      </c>
      <c r="H315" t="inlineStr">
        <is>
          <t>NULL</t>
        </is>
      </c>
      <c r="I315" t="inlineStr">
        <is>
          <t>NULL</t>
        </is>
      </c>
      <c r="J315" t="inlineStr">
        <is>
          <t>NULL</t>
        </is>
      </c>
      <c r="K315" t="inlineStr">
        <is>
          <t xml:space="preserve"> NO!  	 c_decimal38_38列源备映射错误，源端为decimal None位	期望更改为text	实际备端为decimal None位</t>
        </is>
      </c>
    </row>
    <row r="316">
      <c r="B316" t="inlineStr">
        <is>
          <t>NULL</t>
        </is>
      </c>
      <c r="C316" t="inlineStr">
        <is>
          <t>NULL</t>
        </is>
      </c>
      <c r="D316" t="inlineStr">
        <is>
          <t>NULL</t>
        </is>
      </c>
      <c r="E316" t="inlineStr">
        <is>
          <t>NULL</t>
        </is>
      </c>
      <c r="F316" t="inlineStr">
        <is>
          <t>NULL</t>
        </is>
      </c>
      <c r="G316" t="inlineStr">
        <is>
          <t>NULL</t>
        </is>
      </c>
      <c r="H316" t="inlineStr">
        <is>
          <t>NULL</t>
        </is>
      </c>
      <c r="I316" t="inlineStr">
        <is>
          <t>NULL</t>
        </is>
      </c>
      <c r="J316" t="inlineStr">
        <is>
          <t>NULL</t>
        </is>
      </c>
      <c r="K316" t="inlineStr">
        <is>
          <t xml:space="preserve"> NO!  	 c_decimal38_10列源备映射错误，源端为decimal None位	期望更改为text	实际备端为decimal None位</t>
        </is>
      </c>
    </row>
    <row r="317">
      <c r="B317" t="inlineStr">
        <is>
          <t>NULL</t>
        </is>
      </c>
      <c r="C317" t="inlineStr">
        <is>
          <t>NULL</t>
        </is>
      </c>
      <c r="D317" t="inlineStr">
        <is>
          <t>NULL</t>
        </is>
      </c>
      <c r="E317" t="inlineStr">
        <is>
          <t>NULL</t>
        </is>
      </c>
      <c r="F317" t="inlineStr">
        <is>
          <t>NULL</t>
        </is>
      </c>
      <c r="G317" t="inlineStr">
        <is>
          <t>NULL</t>
        </is>
      </c>
      <c r="H317" t="inlineStr">
        <is>
          <t>NULL</t>
        </is>
      </c>
      <c r="I317" t="inlineStr">
        <is>
          <t>NULL</t>
        </is>
      </c>
      <c r="J317" t="inlineStr">
        <is>
          <t>NULL</t>
        </is>
      </c>
      <c r="K317" t="inlineStr">
        <is>
          <t xml:space="preserve"> NO!  	 c_decimal19_4列源备映射错误，源端为decimal None位	期望更改为text	实际备端为decimal None位</t>
        </is>
      </c>
    </row>
    <row r="318">
      <c r="B318" t="inlineStr">
        <is>
          <t>NULL</t>
        </is>
      </c>
      <c r="C318" t="inlineStr">
        <is>
          <t>NULL</t>
        </is>
      </c>
      <c r="D318" t="inlineStr">
        <is>
          <t>NULL</t>
        </is>
      </c>
      <c r="E318" t="inlineStr">
        <is>
          <t>NULL</t>
        </is>
      </c>
      <c r="F318" t="inlineStr">
        <is>
          <t>NULL</t>
        </is>
      </c>
      <c r="G318" t="inlineStr">
        <is>
          <t>NULL</t>
        </is>
      </c>
      <c r="H318" t="inlineStr">
        <is>
          <t>NULL</t>
        </is>
      </c>
      <c r="I318" t="inlineStr">
        <is>
          <t>NULL</t>
        </is>
      </c>
      <c r="J318" t="inlineStr">
        <is>
          <t>NULL</t>
        </is>
      </c>
      <c r="K318" t="inlineStr">
        <is>
          <t xml:space="preserve"> NO!  	 c_numeric列源备映射错误，源端为numeric None位	期望更改为text	实际备端为numeric None位</t>
        </is>
      </c>
    </row>
    <row r="319">
      <c r="B319" t="inlineStr">
        <is>
          <t>NULL</t>
        </is>
      </c>
      <c r="C319" t="inlineStr">
        <is>
          <t>NULL</t>
        </is>
      </c>
      <c r="D319" t="inlineStr">
        <is>
          <t>NULL</t>
        </is>
      </c>
      <c r="E319" t="inlineStr">
        <is>
          <t>NULL</t>
        </is>
      </c>
      <c r="F319" t="inlineStr">
        <is>
          <t>NULL</t>
        </is>
      </c>
      <c r="G319" t="inlineStr">
        <is>
          <t>NULL</t>
        </is>
      </c>
      <c r="H319" t="inlineStr">
        <is>
          <t>NULL</t>
        </is>
      </c>
      <c r="I319" t="inlineStr">
        <is>
          <t>NULL</t>
        </is>
      </c>
      <c r="J319" t="inlineStr">
        <is>
          <t>NULL</t>
        </is>
      </c>
      <c r="K319" t="inlineStr">
        <is>
          <t xml:space="preserve"> NO!  	 c_numeric38列源备映射错误，源端为numeric None位	期望更改为text	实际备端为numeric None位</t>
        </is>
      </c>
    </row>
    <row r="320">
      <c r="B320" t="inlineStr">
        <is>
          <t>NULL</t>
        </is>
      </c>
      <c r="C320" t="inlineStr">
        <is>
          <t>NULL</t>
        </is>
      </c>
      <c r="D320" t="inlineStr">
        <is>
          <t>NULL</t>
        </is>
      </c>
      <c r="E320" t="inlineStr">
        <is>
          <t>NULL</t>
        </is>
      </c>
      <c r="F320" t="inlineStr">
        <is>
          <t>NULL</t>
        </is>
      </c>
      <c r="G320" t="inlineStr">
        <is>
          <t>NULL</t>
        </is>
      </c>
      <c r="H320" t="inlineStr">
        <is>
          <t>NULL</t>
        </is>
      </c>
      <c r="I320" t="inlineStr">
        <is>
          <t>NULL</t>
        </is>
      </c>
      <c r="J320" t="inlineStr">
        <is>
          <t>NULL</t>
        </is>
      </c>
      <c r="K320" t="inlineStr">
        <is>
          <t xml:space="preserve"> NO!  	 c_numeric38_38列源备映射错误，源端为numeric None位	期望更改为text	实际备端为numeric None位</t>
        </is>
      </c>
    </row>
    <row r="321">
      <c r="B321" t="inlineStr">
        <is>
          <t>NULL</t>
        </is>
      </c>
      <c r="C321" t="inlineStr">
        <is>
          <t>NULL</t>
        </is>
      </c>
      <c r="D321" t="inlineStr">
        <is>
          <t>NULL</t>
        </is>
      </c>
      <c r="E321" t="inlineStr">
        <is>
          <t>NULL</t>
        </is>
      </c>
      <c r="F321" t="inlineStr">
        <is>
          <t>NULL</t>
        </is>
      </c>
      <c r="G321" t="inlineStr">
        <is>
          <t>NULL</t>
        </is>
      </c>
      <c r="H321" t="inlineStr">
        <is>
          <t>NULL</t>
        </is>
      </c>
      <c r="I321" t="inlineStr">
        <is>
          <t>NULL</t>
        </is>
      </c>
      <c r="J321" t="inlineStr">
        <is>
          <t>NULL</t>
        </is>
      </c>
      <c r="K321" t="inlineStr">
        <is>
          <t xml:space="preserve"> NO!  	 c_numeric38_10列源备映射错误，源端为numeric None位	期望更改为text	实际备端为numeric None位</t>
        </is>
      </c>
    </row>
    <row r="322">
      <c r="B322" t="inlineStr">
        <is>
          <t>NULL</t>
        </is>
      </c>
      <c r="C322" t="inlineStr">
        <is>
          <t>NULL</t>
        </is>
      </c>
      <c r="D322" t="inlineStr">
        <is>
          <t>NULL</t>
        </is>
      </c>
      <c r="E322" t="inlineStr">
        <is>
          <t>NULL</t>
        </is>
      </c>
      <c r="F322" t="inlineStr">
        <is>
          <t>NULL</t>
        </is>
      </c>
      <c r="G322" t="inlineStr">
        <is>
          <t>NULL</t>
        </is>
      </c>
      <c r="H322" t="inlineStr">
        <is>
          <t>NULL</t>
        </is>
      </c>
      <c r="I322" t="inlineStr">
        <is>
          <t>NULL</t>
        </is>
      </c>
      <c r="J322" t="inlineStr">
        <is>
          <t>NULL</t>
        </is>
      </c>
      <c r="K322" t="inlineStr">
        <is>
          <t xml:space="preserve"> NO!  	 c_numeric18_2列源备映射错误，源端为numeric None位	期望更改为text	实际备端为numeric None位</t>
        </is>
      </c>
    </row>
    <row r="323">
      <c r="B323" t="inlineStr">
        <is>
          <t>NULL</t>
        </is>
      </c>
      <c r="C323" t="inlineStr">
        <is>
          <t>NULL</t>
        </is>
      </c>
      <c r="D323" t="inlineStr">
        <is>
          <t>NULL</t>
        </is>
      </c>
      <c r="E323" t="inlineStr">
        <is>
          <t>NULL</t>
        </is>
      </c>
      <c r="F323" t="inlineStr">
        <is>
          <t>NULL</t>
        </is>
      </c>
      <c r="G323" t="inlineStr">
        <is>
          <t>NULL</t>
        </is>
      </c>
      <c r="H323" t="inlineStr">
        <is>
          <t>NULL</t>
        </is>
      </c>
      <c r="I323" t="inlineStr">
        <is>
          <t>NULL</t>
        </is>
      </c>
      <c r="J323" t="inlineStr">
        <is>
          <t>NULL</t>
        </is>
      </c>
      <c r="K323" t="inlineStr">
        <is>
          <t xml:space="preserve"> NO!  	 c_float列源备映射错误，源端为float None位	期望更改为text	实际备端为float None位</t>
        </is>
      </c>
    </row>
    <row r="324">
      <c r="B324" t="inlineStr">
        <is>
          <t>NULL</t>
        </is>
      </c>
      <c r="C324" t="inlineStr">
        <is>
          <t>NULL</t>
        </is>
      </c>
      <c r="D324" t="inlineStr">
        <is>
          <t>NULL</t>
        </is>
      </c>
      <c r="E324" t="inlineStr">
        <is>
          <t>NULL</t>
        </is>
      </c>
      <c r="F324" t="inlineStr">
        <is>
          <t>NULL</t>
        </is>
      </c>
      <c r="G324" t="inlineStr">
        <is>
          <t>NULL</t>
        </is>
      </c>
      <c r="H324" t="inlineStr">
        <is>
          <t>NULL</t>
        </is>
      </c>
      <c r="I324" t="inlineStr">
        <is>
          <t>NULL</t>
        </is>
      </c>
      <c r="J324" t="inlineStr">
        <is>
          <t>NULL</t>
        </is>
      </c>
      <c r="K324" t="inlineStr">
        <is>
          <t xml:space="preserve"> NO!  	 c_real列源备映射错误，源端为real None位	期望更改为text	实际备端为real None位</t>
        </is>
      </c>
    </row>
    <row r="325">
      <c r="B325" t="inlineStr">
        <is>
          <t>NULL</t>
        </is>
      </c>
      <c r="C325" t="inlineStr">
        <is>
          <t>NULL</t>
        </is>
      </c>
      <c r="D325" t="inlineStr">
        <is>
          <t>NULL</t>
        </is>
      </c>
      <c r="E325" t="inlineStr">
        <is>
          <t>NULL</t>
        </is>
      </c>
      <c r="F325" t="inlineStr">
        <is>
          <t>NULL</t>
        </is>
      </c>
      <c r="G325" t="inlineStr">
        <is>
          <t>NULL</t>
        </is>
      </c>
      <c r="H325" t="inlineStr">
        <is>
          <t>NULL</t>
        </is>
      </c>
      <c r="I325" t="inlineStr">
        <is>
          <t>NULL</t>
        </is>
      </c>
      <c r="J325" t="inlineStr">
        <is>
          <t>NULL</t>
        </is>
      </c>
      <c r="K325" t="inlineStr">
        <is>
          <t xml:space="preserve"> NO!  	 c_money列源备映射错误，源端为money None位	期望更改为text	实际备端为money None位</t>
        </is>
      </c>
    </row>
    <row r="326">
      <c r="B326" t="inlineStr">
        <is>
          <t>NULL</t>
        </is>
      </c>
      <c r="C326" t="inlineStr">
        <is>
          <t>NULL</t>
        </is>
      </c>
      <c r="D326" t="inlineStr">
        <is>
          <t>NULL</t>
        </is>
      </c>
      <c r="E326" t="inlineStr">
        <is>
          <t>NULL</t>
        </is>
      </c>
      <c r="F326" t="inlineStr">
        <is>
          <t>NULL</t>
        </is>
      </c>
      <c r="G326" t="inlineStr">
        <is>
          <t>NULL</t>
        </is>
      </c>
      <c r="H326" t="inlineStr">
        <is>
          <t>NULL</t>
        </is>
      </c>
      <c r="I326" t="inlineStr">
        <is>
          <t>NULL</t>
        </is>
      </c>
      <c r="J326" t="inlineStr">
        <is>
          <t>NULL</t>
        </is>
      </c>
      <c r="K326" t="inlineStr">
        <is>
          <t xml:space="preserve"> NO!  	 c_smallmoney列源备映射错误，源端为smallmoney None位	期望更改为text	实际备端为smallmoney None位</t>
        </is>
      </c>
    </row>
    <row r="327">
      <c r="B327" t="inlineStr">
        <is>
          <t>NULL</t>
        </is>
      </c>
      <c r="C327" t="inlineStr">
        <is>
          <t>NULL</t>
        </is>
      </c>
      <c r="D327" t="inlineStr">
        <is>
          <t>NULL</t>
        </is>
      </c>
      <c r="E327" t="inlineStr">
        <is>
          <t>NULL</t>
        </is>
      </c>
      <c r="F327" t="inlineStr">
        <is>
          <t>NULL</t>
        </is>
      </c>
      <c r="G327" t="inlineStr">
        <is>
          <t>NULL</t>
        </is>
      </c>
      <c r="H327" t="inlineStr">
        <is>
          <t>NULL</t>
        </is>
      </c>
      <c r="I327" t="inlineStr">
        <is>
          <t>NULL</t>
        </is>
      </c>
      <c r="J327" t="inlineStr">
        <is>
          <t>NULL</t>
        </is>
      </c>
      <c r="K327" t="inlineStr">
        <is>
          <t xml:space="preserve"> NO!  	 c_bit列源备映射错误，源端为bit None位	期望更改为text	实际备端为bit None位</t>
        </is>
      </c>
    </row>
    <row r="328">
      <c r="A328" t="inlineStr">
        <is>
          <t>info_binary_dml_batch1_pk_irp1</t>
        </is>
      </c>
      <c r="K328" t="inlineStr">
        <is>
          <t>[0;34m info_binary_dml_batch1_pk_irp1 [0m源备字段数相同，源端字段：4 	备端字段4</t>
        </is>
      </c>
      <c r="W328" s="17">
        <f>HYPERLINK("#2026041919hbase0!BB2","NO 源备存在差异，共9个")</f>
        <v/>
      </c>
      <c r="X328">
        <f>A328</f>
        <v/>
      </c>
    </row>
    <row r="329">
      <c r="B329" t="inlineStr">
        <is>
          <t>YES</t>
        </is>
      </c>
      <c r="C329" t="inlineStr">
        <is>
          <t>NULL</t>
        </is>
      </c>
      <c r="D329" t="inlineStr">
        <is>
          <t>NULL</t>
        </is>
      </c>
      <c r="E329" t="inlineStr">
        <is>
          <t>NULL</t>
        </is>
      </c>
      <c r="F329" t="inlineStr">
        <is>
          <t>NULL</t>
        </is>
      </c>
      <c r="G329" t="inlineStr">
        <is>
          <t>NULL</t>
        </is>
      </c>
      <c r="H329" t="inlineStr">
        <is>
          <t>NULL</t>
        </is>
      </c>
      <c r="I329" t="inlineStr">
        <is>
          <t>YES!PK__info_bin__3213E83F4C93DF41</t>
        </is>
      </c>
      <c r="J329" t="inlineStr">
        <is>
          <t>YES! 主键相关索引</t>
        </is>
      </c>
      <c r="K329" t="inlineStr">
        <is>
          <t xml:space="preserve"> NO!  	 id列源备映射错误，源端为int None位	期望更改为text	实际备端为int None位</t>
        </is>
      </c>
    </row>
    <row r="330">
      <c r="B330" t="inlineStr">
        <is>
          <t>NULL</t>
        </is>
      </c>
      <c r="C330" t="inlineStr">
        <is>
          <t>NULL</t>
        </is>
      </c>
      <c r="D330" t="inlineStr">
        <is>
          <t>NULL</t>
        </is>
      </c>
      <c r="E330" t="inlineStr">
        <is>
          <t>NULL</t>
        </is>
      </c>
      <c r="F330" t="inlineStr">
        <is>
          <t>NULL</t>
        </is>
      </c>
      <c r="G330" t="inlineStr">
        <is>
          <t>NULL</t>
        </is>
      </c>
      <c r="H330" t="inlineStr">
        <is>
          <t>NULL</t>
        </is>
      </c>
      <c r="I330" t="inlineStr">
        <is>
          <t>NULL</t>
        </is>
      </c>
      <c r="J330" t="inlineStr">
        <is>
          <t>NULL</t>
        </is>
      </c>
      <c r="K330" t="inlineStr">
        <is>
          <t xml:space="preserve"> NO!  	 c_binary列源备映射错误，源端为binary 1位	期望更改为text	实际备端为binary 1位</t>
        </is>
      </c>
    </row>
    <row r="331">
      <c r="B331" t="inlineStr">
        <is>
          <t>NULL</t>
        </is>
      </c>
      <c r="C331" t="inlineStr">
        <is>
          <t>NULL</t>
        </is>
      </c>
      <c r="D331" t="inlineStr">
        <is>
          <t>NULL</t>
        </is>
      </c>
      <c r="E331" t="inlineStr">
        <is>
          <t>NULL</t>
        </is>
      </c>
      <c r="F331" t="inlineStr">
        <is>
          <t>NULL</t>
        </is>
      </c>
      <c r="G331" t="inlineStr">
        <is>
          <t>NULL</t>
        </is>
      </c>
      <c r="H331" t="inlineStr">
        <is>
          <t>NULL</t>
        </is>
      </c>
      <c r="I331" t="inlineStr">
        <is>
          <t>NULL</t>
        </is>
      </c>
      <c r="J331" t="inlineStr">
        <is>
          <t>NULL</t>
        </is>
      </c>
      <c r="K331" t="inlineStr">
        <is>
          <t xml:space="preserve"> NO!  	 c_binary_20列源备映射错误，源端为binary 20位	期望更改为text	实际备端为binary 20位</t>
        </is>
      </c>
    </row>
    <row r="332">
      <c r="B332" t="inlineStr">
        <is>
          <t>NULL</t>
        </is>
      </c>
      <c r="C332" t="inlineStr">
        <is>
          <t>NULL</t>
        </is>
      </c>
      <c r="D332" t="inlineStr">
        <is>
          <t>NULL</t>
        </is>
      </c>
      <c r="E332" t="inlineStr">
        <is>
          <t>NULL</t>
        </is>
      </c>
      <c r="F332" t="inlineStr">
        <is>
          <t>NULL</t>
        </is>
      </c>
      <c r="G332" t="inlineStr">
        <is>
          <t>NULL</t>
        </is>
      </c>
      <c r="H332" t="inlineStr">
        <is>
          <t>NULL</t>
        </is>
      </c>
      <c r="I332" t="inlineStr">
        <is>
          <t>NULL</t>
        </is>
      </c>
      <c r="J332" t="inlineStr">
        <is>
          <t>NULL</t>
        </is>
      </c>
      <c r="K332" t="inlineStr">
        <is>
          <t xml:space="preserve"> NO!  	 c_binary_200列源备映射错误，源端为binary 200位	期望更改为text	实际备端为binary 200位</t>
        </is>
      </c>
    </row>
    <row r="333">
      <c r="A333" t="inlineStr">
        <is>
          <t>info_datetime2_dml_batch2_pk_irp2</t>
        </is>
      </c>
      <c r="K333" t="inlineStr">
        <is>
          <t>[0;34m info_datetime2_dml_batch2_pk_irp2 [0m源备字段数相同，源端字段：9 	备端字段9</t>
        </is>
      </c>
      <c r="W333" s="17">
        <f>HYPERLINK("#2026041919hbase0!BC2","NO 源备存在差异，共18个")</f>
        <v/>
      </c>
      <c r="X333">
        <f>A333</f>
        <v/>
      </c>
    </row>
    <row r="334">
      <c r="B334" t="inlineStr">
        <is>
          <t>YES</t>
        </is>
      </c>
      <c r="C334" t="inlineStr">
        <is>
          <t>NULL</t>
        </is>
      </c>
      <c r="D334" t="inlineStr">
        <is>
          <t>NULL</t>
        </is>
      </c>
      <c r="E334" t="inlineStr">
        <is>
          <t>NULL</t>
        </is>
      </c>
      <c r="F334" t="inlineStr">
        <is>
          <t>NULL</t>
        </is>
      </c>
      <c r="G334" t="inlineStr">
        <is>
          <t>NULL</t>
        </is>
      </c>
      <c r="H334" t="inlineStr">
        <is>
          <t>NULL</t>
        </is>
      </c>
      <c r="I334" t="inlineStr">
        <is>
          <t>YES!PK__info_dat__3213E83FED5F417A</t>
        </is>
      </c>
      <c r="J334" t="inlineStr">
        <is>
          <t>YES! 主键相关索引</t>
        </is>
      </c>
      <c r="K334" t="inlineStr">
        <is>
          <t xml:space="preserve"> NO!  	 id列源备映射错误，源端为int None位	期望更改为text	实际备端为int None位</t>
        </is>
      </c>
    </row>
    <row r="335">
      <c r="B335" t="inlineStr">
        <is>
          <t>NULL</t>
        </is>
      </c>
      <c r="C335" t="inlineStr">
        <is>
          <t>NULL</t>
        </is>
      </c>
      <c r="D335" t="inlineStr">
        <is>
          <t>NULL</t>
        </is>
      </c>
      <c r="E335" t="inlineStr">
        <is>
          <t>NULL</t>
        </is>
      </c>
      <c r="F335" t="inlineStr">
        <is>
          <t>NULL</t>
        </is>
      </c>
      <c r="G335" t="inlineStr">
        <is>
          <t>NULL</t>
        </is>
      </c>
      <c r="H335" t="inlineStr">
        <is>
          <t>NULL</t>
        </is>
      </c>
      <c r="I335" t="inlineStr">
        <is>
          <t>NULL</t>
        </is>
      </c>
      <c r="J335" t="inlineStr">
        <is>
          <t>NULL</t>
        </is>
      </c>
      <c r="K335" t="inlineStr">
        <is>
          <t xml:space="preserve"> NO!  	 c_dt2_0列源备映射错误，源端为datetime2 None位	期望更改为text	实际备端为datetime2 None位</t>
        </is>
      </c>
    </row>
    <row r="336">
      <c r="B336" t="inlineStr">
        <is>
          <t>NULL</t>
        </is>
      </c>
      <c r="C336" t="inlineStr">
        <is>
          <t>NULL</t>
        </is>
      </c>
      <c r="D336" t="inlineStr">
        <is>
          <t>NULL</t>
        </is>
      </c>
      <c r="E336" t="inlineStr">
        <is>
          <t>NULL</t>
        </is>
      </c>
      <c r="F336" t="inlineStr">
        <is>
          <t>NULL</t>
        </is>
      </c>
      <c r="G336" t="inlineStr">
        <is>
          <t>NULL</t>
        </is>
      </c>
      <c r="H336" t="inlineStr">
        <is>
          <t>NULL</t>
        </is>
      </c>
      <c r="I336" t="inlineStr">
        <is>
          <t>NULL</t>
        </is>
      </c>
      <c r="J336" t="inlineStr">
        <is>
          <t>NULL</t>
        </is>
      </c>
      <c r="K336" t="inlineStr">
        <is>
          <t xml:space="preserve"> NO!  	 c_dt2_1列源备映射错误，源端为datetime2 None位	期望更改为text	实际备端为datetime2 None位</t>
        </is>
      </c>
    </row>
    <row r="337">
      <c r="B337" t="inlineStr">
        <is>
          <t>NULL</t>
        </is>
      </c>
      <c r="C337" t="inlineStr">
        <is>
          <t>NULL</t>
        </is>
      </c>
      <c r="D337" t="inlineStr">
        <is>
          <t>NULL</t>
        </is>
      </c>
      <c r="E337" t="inlineStr">
        <is>
          <t>NULL</t>
        </is>
      </c>
      <c r="F337" t="inlineStr">
        <is>
          <t>NULL</t>
        </is>
      </c>
      <c r="G337" t="inlineStr">
        <is>
          <t>NULL</t>
        </is>
      </c>
      <c r="H337" t="inlineStr">
        <is>
          <t>NULL</t>
        </is>
      </c>
      <c r="I337" t="inlineStr">
        <is>
          <t>NULL</t>
        </is>
      </c>
      <c r="J337" t="inlineStr">
        <is>
          <t>NULL</t>
        </is>
      </c>
      <c r="K337" t="inlineStr">
        <is>
          <t xml:space="preserve"> NO!  	 c_dt2_2列源备映射错误，源端为datetime2 None位	期望更改为text	实际备端为datetime2 None位</t>
        </is>
      </c>
    </row>
    <row r="338">
      <c r="B338" t="inlineStr">
        <is>
          <t>NULL</t>
        </is>
      </c>
      <c r="C338" t="inlineStr">
        <is>
          <t>NULL</t>
        </is>
      </c>
      <c r="D338" t="inlineStr">
        <is>
          <t>NULL</t>
        </is>
      </c>
      <c r="E338" t="inlineStr">
        <is>
          <t>NULL</t>
        </is>
      </c>
      <c r="F338" t="inlineStr">
        <is>
          <t>NULL</t>
        </is>
      </c>
      <c r="G338" t="inlineStr">
        <is>
          <t>NULL</t>
        </is>
      </c>
      <c r="H338" t="inlineStr">
        <is>
          <t>NULL</t>
        </is>
      </c>
      <c r="I338" t="inlineStr">
        <is>
          <t>NULL</t>
        </is>
      </c>
      <c r="J338" t="inlineStr">
        <is>
          <t>NULL</t>
        </is>
      </c>
      <c r="K338" t="inlineStr">
        <is>
          <t xml:space="preserve"> NO!  	 c_dt2_3列源备映射错误，源端为datetime2 None位	期望更改为text	实际备端为datetime2 None位</t>
        </is>
      </c>
    </row>
    <row r="339">
      <c r="B339" t="inlineStr">
        <is>
          <t>NULL</t>
        </is>
      </c>
      <c r="C339" t="inlineStr">
        <is>
          <t>NULL</t>
        </is>
      </c>
      <c r="D339" t="inlineStr">
        <is>
          <t>NULL</t>
        </is>
      </c>
      <c r="E339" t="inlineStr">
        <is>
          <t>NULL</t>
        </is>
      </c>
      <c r="F339" t="inlineStr">
        <is>
          <t>NULL</t>
        </is>
      </c>
      <c r="G339" t="inlineStr">
        <is>
          <t>NULL</t>
        </is>
      </c>
      <c r="H339" t="inlineStr">
        <is>
          <t>NULL</t>
        </is>
      </c>
      <c r="I339" t="inlineStr">
        <is>
          <t>NULL</t>
        </is>
      </c>
      <c r="J339" t="inlineStr">
        <is>
          <t>NULL</t>
        </is>
      </c>
      <c r="K339" t="inlineStr">
        <is>
          <t xml:space="preserve"> NO!  	 c_dt2_4列源备映射错误，源端为datetime2 None位	期望更改为text	实际备端为datetime2 None位</t>
        </is>
      </c>
    </row>
    <row r="340">
      <c r="B340" t="inlineStr">
        <is>
          <t>NULL</t>
        </is>
      </c>
      <c r="C340" t="inlineStr">
        <is>
          <t>NULL</t>
        </is>
      </c>
      <c r="D340" t="inlineStr">
        <is>
          <t>NULL</t>
        </is>
      </c>
      <c r="E340" t="inlineStr">
        <is>
          <t>NULL</t>
        </is>
      </c>
      <c r="F340" t="inlineStr">
        <is>
          <t>NULL</t>
        </is>
      </c>
      <c r="G340" t="inlineStr">
        <is>
          <t>NULL</t>
        </is>
      </c>
      <c r="H340" t="inlineStr">
        <is>
          <t>NULL</t>
        </is>
      </c>
      <c r="I340" t="inlineStr">
        <is>
          <t>NULL</t>
        </is>
      </c>
      <c r="J340" t="inlineStr">
        <is>
          <t>NULL</t>
        </is>
      </c>
      <c r="K340" t="inlineStr">
        <is>
          <t xml:space="preserve"> NO!  	 c_dt2_5列源备映射错误，源端为datetime2 None位	期望更改为text	实际备端为datetime2 None位</t>
        </is>
      </c>
    </row>
    <row r="341">
      <c r="B341" t="inlineStr">
        <is>
          <t>NULL</t>
        </is>
      </c>
      <c r="C341" t="inlineStr">
        <is>
          <t>NULL</t>
        </is>
      </c>
      <c r="D341" t="inlineStr">
        <is>
          <t>NULL</t>
        </is>
      </c>
      <c r="E341" t="inlineStr">
        <is>
          <t>NULL</t>
        </is>
      </c>
      <c r="F341" t="inlineStr">
        <is>
          <t>NULL</t>
        </is>
      </c>
      <c r="G341" t="inlineStr">
        <is>
          <t>NULL</t>
        </is>
      </c>
      <c r="H341" t="inlineStr">
        <is>
          <t>NULL</t>
        </is>
      </c>
      <c r="I341" t="inlineStr">
        <is>
          <t>NULL</t>
        </is>
      </c>
      <c r="J341" t="inlineStr">
        <is>
          <t>NULL</t>
        </is>
      </c>
      <c r="K341" t="inlineStr">
        <is>
          <t xml:space="preserve"> NO!  	 c_dt2_6列源备映射错误，源端为datetime2 None位	期望更改为text	实际备端为datetime2 None位</t>
        </is>
      </c>
    </row>
    <row r="342">
      <c r="B342" t="inlineStr">
        <is>
          <t>NULL</t>
        </is>
      </c>
      <c r="C342" t="inlineStr">
        <is>
          <t>NULL</t>
        </is>
      </c>
      <c r="D342" t="inlineStr">
        <is>
          <t>NULL</t>
        </is>
      </c>
      <c r="E342" t="inlineStr">
        <is>
          <t>NULL</t>
        </is>
      </c>
      <c r="F342" t="inlineStr">
        <is>
          <t>NULL</t>
        </is>
      </c>
      <c r="G342" t="inlineStr">
        <is>
          <t>NULL</t>
        </is>
      </c>
      <c r="H342" t="inlineStr">
        <is>
          <t>NULL</t>
        </is>
      </c>
      <c r="I342" t="inlineStr">
        <is>
          <t>NULL</t>
        </is>
      </c>
      <c r="J342" t="inlineStr">
        <is>
          <t>NULL</t>
        </is>
      </c>
      <c r="K342" t="inlineStr">
        <is>
          <t xml:space="preserve"> NO!  	 c_dt2列源备映射错误，源端为datetime2 None位	期望更改为text	实际备端为datetime2 None位</t>
        </is>
      </c>
    </row>
    <row r="343">
      <c r="A343" t="inlineStr">
        <is>
          <t>info_char_dml_batch2_pk_irp1</t>
        </is>
      </c>
      <c r="K343" t="inlineStr">
        <is>
          <t>[0;34m info_char_dml_batch2_pk_irp1 [0m源备字段数相同，源端字段：4 	备端字段4</t>
        </is>
      </c>
      <c r="W343" t="inlineStr">
        <is>
          <t>YES 源备无差异</t>
        </is>
      </c>
      <c r="X343">
        <f>A343</f>
        <v/>
      </c>
    </row>
    <row r="344">
      <c r="B344" t="inlineStr">
        <is>
          <t>YES</t>
        </is>
      </c>
      <c r="C344" t="inlineStr">
        <is>
          <t>NULL</t>
        </is>
      </c>
      <c r="D344" t="inlineStr">
        <is>
          <t>NULL</t>
        </is>
      </c>
      <c r="E344" t="inlineStr">
        <is>
          <t>NULL</t>
        </is>
      </c>
      <c r="F344" t="inlineStr">
        <is>
          <t>NULL</t>
        </is>
      </c>
      <c r="G344" t="inlineStr">
        <is>
          <t>NULL</t>
        </is>
      </c>
      <c r="H344" t="inlineStr">
        <is>
          <t>NULL</t>
        </is>
      </c>
      <c r="I344" t="inlineStr">
        <is>
          <t>YES!PK__info_cha__3213E83F9CD6126E</t>
        </is>
      </c>
      <c r="J344" t="inlineStr">
        <is>
          <t>YES! 主键相关索引</t>
        </is>
      </c>
      <c r="K344" t="inlineStr">
        <is>
          <t xml:space="preserve"> NO!  	 id列源备映射错误，源端为int None位	期望更改为text	实际备端为int None位</t>
        </is>
      </c>
    </row>
    <row r="345">
      <c r="B345" t="inlineStr">
        <is>
          <t>NULL</t>
        </is>
      </c>
      <c r="C345" t="inlineStr">
        <is>
          <t>NULL</t>
        </is>
      </c>
      <c r="D345" t="inlineStr">
        <is>
          <t>NULL</t>
        </is>
      </c>
      <c r="E345" t="inlineStr">
        <is>
          <t>NULL</t>
        </is>
      </c>
      <c r="F345" t="inlineStr">
        <is>
          <t>NULL</t>
        </is>
      </c>
      <c r="G345" t="inlineStr">
        <is>
          <t>NULL</t>
        </is>
      </c>
      <c r="H345" t="inlineStr">
        <is>
          <t>NULL</t>
        </is>
      </c>
      <c r="I345" t="inlineStr">
        <is>
          <t>NULL</t>
        </is>
      </c>
      <c r="J345" t="inlineStr">
        <is>
          <t>NULL</t>
        </is>
      </c>
      <c r="K345" t="inlineStr">
        <is>
          <t xml:space="preserve"> NO!  	 c_char列源备映射错误，源端为char 1位	期望更改为text	实际备端为char 1位</t>
        </is>
      </c>
    </row>
    <row r="346">
      <c r="B346" t="inlineStr">
        <is>
          <t>NULL</t>
        </is>
      </c>
      <c r="C346" t="inlineStr">
        <is>
          <t>NULL</t>
        </is>
      </c>
      <c r="D346" t="inlineStr">
        <is>
          <t>NULL</t>
        </is>
      </c>
      <c r="E346" t="inlineStr">
        <is>
          <t>NULL</t>
        </is>
      </c>
      <c r="F346" t="inlineStr">
        <is>
          <t>NULL</t>
        </is>
      </c>
      <c r="G346" t="inlineStr">
        <is>
          <t>NULL</t>
        </is>
      </c>
      <c r="H346" t="inlineStr">
        <is>
          <t>NULL</t>
        </is>
      </c>
      <c r="I346" t="inlineStr">
        <is>
          <t>NULL</t>
        </is>
      </c>
      <c r="J346" t="inlineStr">
        <is>
          <t>NULL</t>
        </is>
      </c>
      <c r="K346" t="inlineStr">
        <is>
          <t xml:space="preserve"> NO!  	 c_char20列源备映射错误，源端为char 20位	期望更改为text	实际备端为char 20位</t>
        </is>
      </c>
    </row>
    <row r="347">
      <c r="B347" t="inlineStr">
        <is>
          <t>NULL</t>
        </is>
      </c>
      <c r="C347" t="inlineStr">
        <is>
          <t>NULL</t>
        </is>
      </c>
      <c r="D347" t="inlineStr">
        <is>
          <t>NULL</t>
        </is>
      </c>
      <c r="E347" t="inlineStr">
        <is>
          <t>NULL</t>
        </is>
      </c>
      <c r="F347" t="inlineStr">
        <is>
          <t>NULL</t>
        </is>
      </c>
      <c r="G347" t="inlineStr">
        <is>
          <t>NULL</t>
        </is>
      </c>
      <c r="H347" t="inlineStr">
        <is>
          <t>NULL</t>
        </is>
      </c>
      <c r="I347" t="inlineStr">
        <is>
          <t>NULL</t>
        </is>
      </c>
      <c r="J347" t="inlineStr">
        <is>
          <t>NULL</t>
        </is>
      </c>
      <c r="K347" t="inlineStr">
        <is>
          <t xml:space="preserve"> NO!  	 c_char200列源备映射错误，源端为char 200位	期望更改为text	实际备端为char 200位</t>
        </is>
      </c>
    </row>
    <row r="348">
      <c r="K348" t="inlineStr">
        <is>
          <t>~ 空表</t>
        </is>
      </c>
    </row>
    <row r="349">
      <c r="A349" t="inlineStr">
        <is>
          <t>info_int_dml_batch1_pk</t>
        </is>
      </c>
      <c r="K349" t="inlineStr">
        <is>
          <t>[0;34m info_int_dml_batch1_pk [0m源备字段数相同，源端字段：20 	备端字段20</t>
        </is>
      </c>
      <c r="W349" s="17">
        <f>HYPERLINK("#2026041919hbase0!BD2","NO 源备存在差异，共18个")</f>
        <v/>
      </c>
      <c r="X349">
        <f>A349</f>
        <v/>
      </c>
    </row>
    <row r="350">
      <c r="B350" t="inlineStr">
        <is>
          <t>YES</t>
        </is>
      </c>
      <c r="C350" t="inlineStr">
        <is>
          <t>NULL</t>
        </is>
      </c>
      <c r="D350" t="inlineStr">
        <is>
          <t>NULL</t>
        </is>
      </c>
      <c r="E350" t="inlineStr">
        <is>
          <t>NULL</t>
        </is>
      </c>
      <c r="F350" t="inlineStr">
        <is>
          <t>NULL</t>
        </is>
      </c>
      <c r="G350" t="inlineStr">
        <is>
          <t>NULL</t>
        </is>
      </c>
      <c r="H350" t="inlineStr">
        <is>
          <t>NULL</t>
        </is>
      </c>
      <c r="I350" t="inlineStr">
        <is>
          <t>YES!PK__info_int__3213E83F1805D2F1</t>
        </is>
      </c>
      <c r="J350" t="inlineStr">
        <is>
          <t>YES! 主键相关索引</t>
        </is>
      </c>
      <c r="K350" t="inlineStr">
        <is>
          <t xml:space="preserve"> NO!  	 id列源备映射错误，源端为int None位	期望更改为text	实际备端为int None位</t>
        </is>
      </c>
    </row>
    <row r="351">
      <c r="B351" t="inlineStr">
        <is>
          <t>NULL</t>
        </is>
      </c>
      <c r="C351" t="inlineStr">
        <is>
          <t>NULL</t>
        </is>
      </c>
      <c r="D351" t="inlineStr">
        <is>
          <t>NULL</t>
        </is>
      </c>
      <c r="E351" t="inlineStr">
        <is>
          <t>NULL</t>
        </is>
      </c>
      <c r="F351" t="inlineStr">
        <is>
          <t>NULL</t>
        </is>
      </c>
      <c r="G351" t="inlineStr">
        <is>
          <t>NULL</t>
        </is>
      </c>
      <c r="H351" t="inlineStr">
        <is>
          <t>NULL</t>
        </is>
      </c>
      <c r="I351" t="inlineStr">
        <is>
          <t>NULL</t>
        </is>
      </c>
      <c r="J351" t="inlineStr">
        <is>
          <t>NULL</t>
        </is>
      </c>
      <c r="K351" t="inlineStr">
        <is>
          <t xml:space="preserve"> NO!  	 c_tinyint列源备映射错误，源端为tinyint None位	期望更改为text	实际备端为tinyint None位</t>
        </is>
      </c>
    </row>
    <row r="352">
      <c r="B352" t="inlineStr">
        <is>
          <t>NULL</t>
        </is>
      </c>
      <c r="C352" t="inlineStr">
        <is>
          <t>NULL</t>
        </is>
      </c>
      <c r="D352" t="inlineStr">
        <is>
          <t>NULL</t>
        </is>
      </c>
      <c r="E352" t="inlineStr">
        <is>
          <t>NULL</t>
        </is>
      </c>
      <c r="F352" t="inlineStr">
        <is>
          <t>NULL</t>
        </is>
      </c>
      <c r="G352" t="inlineStr">
        <is>
          <t>NULL</t>
        </is>
      </c>
      <c r="H352" t="inlineStr">
        <is>
          <t>NULL</t>
        </is>
      </c>
      <c r="I352" t="inlineStr">
        <is>
          <t>NULL</t>
        </is>
      </c>
      <c r="J352" t="inlineStr">
        <is>
          <t>NULL</t>
        </is>
      </c>
      <c r="K352" t="inlineStr">
        <is>
          <t xml:space="preserve"> NO!  	 c_smallint列源备映射错误，源端为smallint None位	期望更改为text	实际备端为smallint None位</t>
        </is>
      </c>
    </row>
    <row r="353">
      <c r="B353" t="inlineStr">
        <is>
          <t>NULL</t>
        </is>
      </c>
      <c r="C353" t="inlineStr">
        <is>
          <t>NULL</t>
        </is>
      </c>
      <c r="D353" t="inlineStr">
        <is>
          <t>NULL</t>
        </is>
      </c>
      <c r="E353" t="inlineStr">
        <is>
          <t>NULL</t>
        </is>
      </c>
      <c r="F353" t="inlineStr">
        <is>
          <t>NULL</t>
        </is>
      </c>
      <c r="G353" t="inlineStr">
        <is>
          <t>NULL</t>
        </is>
      </c>
      <c r="H353" t="inlineStr">
        <is>
          <t>NULL</t>
        </is>
      </c>
      <c r="I353" t="inlineStr">
        <is>
          <t>NULL</t>
        </is>
      </c>
      <c r="J353" t="inlineStr">
        <is>
          <t>NULL</t>
        </is>
      </c>
      <c r="K353" t="inlineStr">
        <is>
          <t xml:space="preserve"> NO!  	 c_int列源备映射错误，源端为int None位	期望更改为text	实际备端为int None位</t>
        </is>
      </c>
    </row>
    <row r="354">
      <c r="B354" t="inlineStr">
        <is>
          <t>NULL</t>
        </is>
      </c>
      <c r="C354" t="inlineStr">
        <is>
          <t>NULL</t>
        </is>
      </c>
      <c r="D354" t="inlineStr">
        <is>
          <t>NULL</t>
        </is>
      </c>
      <c r="E354" t="inlineStr">
        <is>
          <t>NULL</t>
        </is>
      </c>
      <c r="F354" t="inlineStr">
        <is>
          <t>NULL</t>
        </is>
      </c>
      <c r="G354" t="inlineStr">
        <is>
          <t>NULL</t>
        </is>
      </c>
      <c r="H354" t="inlineStr">
        <is>
          <t>NULL</t>
        </is>
      </c>
      <c r="I354" t="inlineStr">
        <is>
          <t>NULL</t>
        </is>
      </c>
      <c r="J354" t="inlineStr">
        <is>
          <t>NULL</t>
        </is>
      </c>
      <c r="K354" t="inlineStr">
        <is>
          <t xml:space="preserve"> NO!  	 c_bigint列源备映射错误，源端为bigint None位	期望更改为text	实际备端为bigint None位</t>
        </is>
      </c>
    </row>
    <row r="355">
      <c r="B355" t="inlineStr">
        <is>
          <t>NULL</t>
        </is>
      </c>
      <c r="C355" t="inlineStr">
        <is>
          <t>NULL</t>
        </is>
      </c>
      <c r="D355" t="inlineStr">
        <is>
          <t>NULL</t>
        </is>
      </c>
      <c r="E355" t="inlineStr">
        <is>
          <t>NULL</t>
        </is>
      </c>
      <c r="F355" t="inlineStr">
        <is>
          <t>NULL</t>
        </is>
      </c>
      <c r="G355" t="inlineStr">
        <is>
          <t>NULL</t>
        </is>
      </c>
      <c r="H355" t="inlineStr">
        <is>
          <t>NULL</t>
        </is>
      </c>
      <c r="I355" t="inlineStr">
        <is>
          <t>NULL</t>
        </is>
      </c>
      <c r="J355" t="inlineStr">
        <is>
          <t>NULL</t>
        </is>
      </c>
      <c r="K355" t="inlineStr">
        <is>
          <t xml:space="preserve"> NO!  	 c_decimal列源备映射错误，源端为decimal None位	期望更改为text	实际备端为decimal None位</t>
        </is>
      </c>
    </row>
    <row r="356">
      <c r="B356" t="inlineStr">
        <is>
          <t>NULL</t>
        </is>
      </c>
      <c r="C356" t="inlineStr">
        <is>
          <t>NULL</t>
        </is>
      </c>
      <c r="D356" t="inlineStr">
        <is>
          <t>NULL</t>
        </is>
      </c>
      <c r="E356" t="inlineStr">
        <is>
          <t>NULL</t>
        </is>
      </c>
      <c r="F356" t="inlineStr">
        <is>
          <t>NULL</t>
        </is>
      </c>
      <c r="G356" t="inlineStr">
        <is>
          <t>NULL</t>
        </is>
      </c>
      <c r="H356" t="inlineStr">
        <is>
          <t>NULL</t>
        </is>
      </c>
      <c r="I356" t="inlineStr">
        <is>
          <t>NULL</t>
        </is>
      </c>
      <c r="J356" t="inlineStr">
        <is>
          <t>NULL</t>
        </is>
      </c>
      <c r="K356" t="inlineStr">
        <is>
          <t xml:space="preserve"> NO!  	 c_decimal38列源备映射错误，源端为decimal None位	期望更改为text	实际备端为decimal None位</t>
        </is>
      </c>
    </row>
    <row r="357">
      <c r="B357" t="inlineStr">
        <is>
          <t>NULL</t>
        </is>
      </c>
      <c r="C357" t="inlineStr">
        <is>
          <t>NULL</t>
        </is>
      </c>
      <c r="D357" t="inlineStr">
        <is>
          <t>NULL</t>
        </is>
      </c>
      <c r="E357" t="inlineStr">
        <is>
          <t>NULL</t>
        </is>
      </c>
      <c r="F357" t="inlineStr">
        <is>
          <t>NULL</t>
        </is>
      </c>
      <c r="G357" t="inlineStr">
        <is>
          <t>NULL</t>
        </is>
      </c>
      <c r="H357" t="inlineStr">
        <is>
          <t>NULL</t>
        </is>
      </c>
      <c r="I357" t="inlineStr">
        <is>
          <t>NULL</t>
        </is>
      </c>
      <c r="J357" t="inlineStr">
        <is>
          <t>NULL</t>
        </is>
      </c>
      <c r="K357" t="inlineStr">
        <is>
          <t xml:space="preserve"> NO!  	 c_decimal38_38列源备映射错误，源端为decimal None位	期望更改为text	实际备端为decimal None位</t>
        </is>
      </c>
    </row>
    <row r="358">
      <c r="B358" t="inlineStr">
        <is>
          <t>NULL</t>
        </is>
      </c>
      <c r="C358" t="inlineStr">
        <is>
          <t>NULL</t>
        </is>
      </c>
      <c r="D358" t="inlineStr">
        <is>
          <t>NULL</t>
        </is>
      </c>
      <c r="E358" t="inlineStr">
        <is>
          <t>NULL</t>
        </is>
      </c>
      <c r="F358" t="inlineStr">
        <is>
          <t>NULL</t>
        </is>
      </c>
      <c r="G358" t="inlineStr">
        <is>
          <t>NULL</t>
        </is>
      </c>
      <c r="H358" t="inlineStr">
        <is>
          <t>NULL</t>
        </is>
      </c>
      <c r="I358" t="inlineStr">
        <is>
          <t>NULL</t>
        </is>
      </c>
      <c r="J358" t="inlineStr">
        <is>
          <t>NULL</t>
        </is>
      </c>
      <c r="K358" t="inlineStr">
        <is>
          <t xml:space="preserve"> NO!  	 c_decimal38_10列源备映射错误，源端为decimal None位	期望更改为text	实际备端为decimal None位</t>
        </is>
      </c>
    </row>
    <row r="359">
      <c r="B359" t="inlineStr">
        <is>
          <t>NULL</t>
        </is>
      </c>
      <c r="C359" t="inlineStr">
        <is>
          <t>NULL</t>
        </is>
      </c>
      <c r="D359" t="inlineStr">
        <is>
          <t>NULL</t>
        </is>
      </c>
      <c r="E359" t="inlineStr">
        <is>
          <t>NULL</t>
        </is>
      </c>
      <c r="F359" t="inlineStr">
        <is>
          <t>NULL</t>
        </is>
      </c>
      <c r="G359" t="inlineStr">
        <is>
          <t>NULL</t>
        </is>
      </c>
      <c r="H359" t="inlineStr">
        <is>
          <t>NULL</t>
        </is>
      </c>
      <c r="I359" t="inlineStr">
        <is>
          <t>NULL</t>
        </is>
      </c>
      <c r="J359" t="inlineStr">
        <is>
          <t>NULL</t>
        </is>
      </c>
      <c r="K359" t="inlineStr">
        <is>
          <t xml:space="preserve"> NO!  	 c_decimal19_4列源备映射错误，源端为decimal None位	期望更改为text	实际备端为decimal None位</t>
        </is>
      </c>
    </row>
    <row r="360">
      <c r="B360" t="inlineStr">
        <is>
          <t>NULL</t>
        </is>
      </c>
      <c r="C360" t="inlineStr">
        <is>
          <t>NULL</t>
        </is>
      </c>
      <c r="D360" t="inlineStr">
        <is>
          <t>NULL</t>
        </is>
      </c>
      <c r="E360" t="inlineStr">
        <is>
          <t>NULL</t>
        </is>
      </c>
      <c r="F360" t="inlineStr">
        <is>
          <t>NULL</t>
        </is>
      </c>
      <c r="G360" t="inlineStr">
        <is>
          <t>NULL</t>
        </is>
      </c>
      <c r="H360" t="inlineStr">
        <is>
          <t>NULL</t>
        </is>
      </c>
      <c r="I360" t="inlineStr">
        <is>
          <t>NULL</t>
        </is>
      </c>
      <c r="J360" t="inlineStr">
        <is>
          <t>NULL</t>
        </is>
      </c>
      <c r="K360" t="inlineStr">
        <is>
          <t xml:space="preserve"> NO!  	 c_numeric列源备映射错误，源端为numeric None位	期望更改为text	实际备端为numeric None位</t>
        </is>
      </c>
    </row>
    <row r="361">
      <c r="B361" t="inlineStr">
        <is>
          <t>NULL</t>
        </is>
      </c>
      <c r="C361" t="inlineStr">
        <is>
          <t>NULL</t>
        </is>
      </c>
      <c r="D361" t="inlineStr">
        <is>
          <t>NULL</t>
        </is>
      </c>
      <c r="E361" t="inlineStr">
        <is>
          <t>NULL</t>
        </is>
      </c>
      <c r="F361" t="inlineStr">
        <is>
          <t>NULL</t>
        </is>
      </c>
      <c r="G361" t="inlineStr">
        <is>
          <t>NULL</t>
        </is>
      </c>
      <c r="H361" t="inlineStr">
        <is>
          <t>NULL</t>
        </is>
      </c>
      <c r="I361" t="inlineStr">
        <is>
          <t>NULL</t>
        </is>
      </c>
      <c r="J361" t="inlineStr">
        <is>
          <t>NULL</t>
        </is>
      </c>
      <c r="K361" t="inlineStr">
        <is>
          <t xml:space="preserve"> NO!  	 c_numeric38列源备映射错误，源端为numeric None位	期望更改为text	实际备端为numeric None位</t>
        </is>
      </c>
    </row>
    <row r="362">
      <c r="B362" t="inlineStr">
        <is>
          <t>NULL</t>
        </is>
      </c>
      <c r="C362" t="inlineStr">
        <is>
          <t>NULL</t>
        </is>
      </c>
      <c r="D362" t="inlineStr">
        <is>
          <t>NULL</t>
        </is>
      </c>
      <c r="E362" t="inlineStr">
        <is>
          <t>NULL</t>
        </is>
      </c>
      <c r="F362" t="inlineStr">
        <is>
          <t>NULL</t>
        </is>
      </c>
      <c r="G362" t="inlineStr">
        <is>
          <t>NULL</t>
        </is>
      </c>
      <c r="H362" t="inlineStr">
        <is>
          <t>NULL</t>
        </is>
      </c>
      <c r="I362" t="inlineStr">
        <is>
          <t>NULL</t>
        </is>
      </c>
      <c r="J362" t="inlineStr">
        <is>
          <t>NULL</t>
        </is>
      </c>
      <c r="K362" t="inlineStr">
        <is>
          <t xml:space="preserve"> NO!  	 c_numeric38_38列源备映射错误，源端为numeric None位	期望更改为text	实际备端为numeric None位</t>
        </is>
      </c>
    </row>
    <row r="363">
      <c r="B363" t="inlineStr">
        <is>
          <t>NULL</t>
        </is>
      </c>
      <c r="C363" t="inlineStr">
        <is>
          <t>NULL</t>
        </is>
      </c>
      <c r="D363" t="inlineStr">
        <is>
          <t>NULL</t>
        </is>
      </c>
      <c r="E363" t="inlineStr">
        <is>
          <t>NULL</t>
        </is>
      </c>
      <c r="F363" t="inlineStr">
        <is>
          <t>NULL</t>
        </is>
      </c>
      <c r="G363" t="inlineStr">
        <is>
          <t>NULL</t>
        </is>
      </c>
      <c r="H363" t="inlineStr">
        <is>
          <t>NULL</t>
        </is>
      </c>
      <c r="I363" t="inlineStr">
        <is>
          <t>NULL</t>
        </is>
      </c>
      <c r="J363" t="inlineStr">
        <is>
          <t>NULL</t>
        </is>
      </c>
      <c r="K363" t="inlineStr">
        <is>
          <t xml:space="preserve"> NO!  	 c_numeric38_10列源备映射错误，源端为numeric None位	期望更改为text	实际备端为numeric None位</t>
        </is>
      </c>
    </row>
    <row r="364">
      <c r="B364" t="inlineStr">
        <is>
          <t>NULL</t>
        </is>
      </c>
      <c r="C364" t="inlineStr">
        <is>
          <t>NULL</t>
        </is>
      </c>
      <c r="D364" t="inlineStr">
        <is>
          <t>NULL</t>
        </is>
      </c>
      <c r="E364" t="inlineStr">
        <is>
          <t>NULL</t>
        </is>
      </c>
      <c r="F364" t="inlineStr">
        <is>
          <t>NULL</t>
        </is>
      </c>
      <c r="G364" t="inlineStr">
        <is>
          <t>NULL</t>
        </is>
      </c>
      <c r="H364" t="inlineStr">
        <is>
          <t>NULL</t>
        </is>
      </c>
      <c r="I364" t="inlineStr">
        <is>
          <t>NULL</t>
        </is>
      </c>
      <c r="J364" t="inlineStr">
        <is>
          <t>NULL</t>
        </is>
      </c>
      <c r="K364" t="inlineStr">
        <is>
          <t xml:space="preserve"> NO!  	 c_numeric18_2列源备映射错误，源端为numeric None位	期望更改为text	实际备端为numeric None位</t>
        </is>
      </c>
    </row>
    <row r="365">
      <c r="B365" t="inlineStr">
        <is>
          <t>NULL</t>
        </is>
      </c>
      <c r="C365" t="inlineStr">
        <is>
          <t>NULL</t>
        </is>
      </c>
      <c r="D365" t="inlineStr">
        <is>
          <t>NULL</t>
        </is>
      </c>
      <c r="E365" t="inlineStr">
        <is>
          <t>NULL</t>
        </is>
      </c>
      <c r="F365" t="inlineStr">
        <is>
          <t>NULL</t>
        </is>
      </c>
      <c r="G365" t="inlineStr">
        <is>
          <t>NULL</t>
        </is>
      </c>
      <c r="H365" t="inlineStr">
        <is>
          <t>NULL</t>
        </is>
      </c>
      <c r="I365" t="inlineStr">
        <is>
          <t>NULL</t>
        </is>
      </c>
      <c r="J365" t="inlineStr">
        <is>
          <t>NULL</t>
        </is>
      </c>
      <c r="K365" t="inlineStr">
        <is>
          <t xml:space="preserve"> NO!  	 c_float列源备映射错误，源端为float None位	期望更改为text	实际备端为float None位</t>
        </is>
      </c>
    </row>
    <row r="366">
      <c r="B366" t="inlineStr">
        <is>
          <t>NULL</t>
        </is>
      </c>
      <c r="C366" t="inlineStr">
        <is>
          <t>NULL</t>
        </is>
      </c>
      <c r="D366" t="inlineStr">
        <is>
          <t>NULL</t>
        </is>
      </c>
      <c r="E366" t="inlineStr">
        <is>
          <t>NULL</t>
        </is>
      </c>
      <c r="F366" t="inlineStr">
        <is>
          <t>NULL</t>
        </is>
      </c>
      <c r="G366" t="inlineStr">
        <is>
          <t>NULL</t>
        </is>
      </c>
      <c r="H366" t="inlineStr">
        <is>
          <t>NULL</t>
        </is>
      </c>
      <c r="I366" t="inlineStr">
        <is>
          <t>NULL</t>
        </is>
      </c>
      <c r="J366" t="inlineStr">
        <is>
          <t>NULL</t>
        </is>
      </c>
      <c r="K366" t="inlineStr">
        <is>
          <t xml:space="preserve"> NO!  	 c_real列源备映射错误，源端为real None位	期望更改为text	实际备端为real None位</t>
        </is>
      </c>
    </row>
    <row r="367">
      <c r="B367" t="inlineStr">
        <is>
          <t>NULL</t>
        </is>
      </c>
      <c r="C367" t="inlineStr">
        <is>
          <t>NULL</t>
        </is>
      </c>
      <c r="D367" t="inlineStr">
        <is>
          <t>NULL</t>
        </is>
      </c>
      <c r="E367" t="inlineStr">
        <is>
          <t>NULL</t>
        </is>
      </c>
      <c r="F367" t="inlineStr">
        <is>
          <t>NULL</t>
        </is>
      </c>
      <c r="G367" t="inlineStr">
        <is>
          <t>NULL</t>
        </is>
      </c>
      <c r="H367" t="inlineStr">
        <is>
          <t>NULL</t>
        </is>
      </c>
      <c r="I367" t="inlineStr">
        <is>
          <t>NULL</t>
        </is>
      </c>
      <c r="J367" t="inlineStr">
        <is>
          <t>NULL</t>
        </is>
      </c>
      <c r="K367" t="inlineStr">
        <is>
          <t xml:space="preserve"> NO!  	 c_money列源备映射错误，源端为money None位	期望更改为text	实际备端为money None位</t>
        </is>
      </c>
    </row>
    <row r="368">
      <c r="B368" t="inlineStr">
        <is>
          <t>NULL</t>
        </is>
      </c>
      <c r="C368" t="inlineStr">
        <is>
          <t>NULL</t>
        </is>
      </c>
      <c r="D368" t="inlineStr">
        <is>
          <t>NULL</t>
        </is>
      </c>
      <c r="E368" t="inlineStr">
        <is>
          <t>NULL</t>
        </is>
      </c>
      <c r="F368" t="inlineStr">
        <is>
          <t>NULL</t>
        </is>
      </c>
      <c r="G368" t="inlineStr">
        <is>
          <t>NULL</t>
        </is>
      </c>
      <c r="H368" t="inlineStr">
        <is>
          <t>NULL</t>
        </is>
      </c>
      <c r="I368" t="inlineStr">
        <is>
          <t>NULL</t>
        </is>
      </c>
      <c r="J368" t="inlineStr">
        <is>
          <t>NULL</t>
        </is>
      </c>
      <c r="K368" t="inlineStr">
        <is>
          <t xml:space="preserve"> NO!  	 c_smallmoney列源备映射错误，源端为smallmoney None位	期望更改为text	实际备端为smallmoney None位</t>
        </is>
      </c>
    </row>
    <row r="369">
      <c r="B369" t="inlineStr">
        <is>
          <t>NULL</t>
        </is>
      </c>
      <c r="C369" t="inlineStr">
        <is>
          <t>NULL</t>
        </is>
      </c>
      <c r="D369" t="inlineStr">
        <is>
          <t>NULL</t>
        </is>
      </c>
      <c r="E369" t="inlineStr">
        <is>
          <t>NULL</t>
        </is>
      </c>
      <c r="F369" t="inlineStr">
        <is>
          <t>NULL</t>
        </is>
      </c>
      <c r="G369" t="inlineStr">
        <is>
          <t>NULL</t>
        </is>
      </c>
      <c r="H369" t="inlineStr">
        <is>
          <t>NULL</t>
        </is>
      </c>
      <c r="I369" t="inlineStr">
        <is>
          <t>NULL</t>
        </is>
      </c>
      <c r="J369" t="inlineStr">
        <is>
          <t>NULL</t>
        </is>
      </c>
      <c r="K369" t="inlineStr">
        <is>
          <t xml:space="preserve"> NO!  	 c_bit列源备映射错误，源端为bit None位	期望更改为text	实际备端为bit None位</t>
        </is>
      </c>
    </row>
    <row r="370">
      <c r="A370" t="inlineStr">
        <is>
          <t>info_hierarchyid_dml_single_pk_irp</t>
        </is>
      </c>
      <c r="K370" t="inlineStr">
        <is>
          <t>[0;34m info_hierarchyid_dml_single_pk_irp [0m源备字段数相同，源端字段：2 	备端字段2</t>
        </is>
      </c>
      <c r="W370" s="17">
        <f>HYPERLINK("#2026041919hbase0!BE2","NO 源备存在差异，共2个")</f>
        <v/>
      </c>
      <c r="X370">
        <f>A370</f>
        <v/>
      </c>
    </row>
    <row r="371">
      <c r="B371" t="inlineStr">
        <is>
          <t>YES</t>
        </is>
      </c>
      <c r="C371" t="inlineStr">
        <is>
          <t>NULL</t>
        </is>
      </c>
      <c r="D371" t="inlineStr">
        <is>
          <t>NULL</t>
        </is>
      </c>
      <c r="E371" t="inlineStr">
        <is>
          <t>NULL</t>
        </is>
      </c>
      <c r="F371" t="inlineStr">
        <is>
          <t>NULL</t>
        </is>
      </c>
      <c r="G371" t="inlineStr">
        <is>
          <t>NULL</t>
        </is>
      </c>
      <c r="H371" t="inlineStr">
        <is>
          <t>NULL</t>
        </is>
      </c>
      <c r="I371" t="inlineStr">
        <is>
          <t>YES!PK__info_hie__3213E83FCD21288A</t>
        </is>
      </c>
      <c r="J371" t="inlineStr">
        <is>
          <t>YES! 主键相关索引</t>
        </is>
      </c>
      <c r="K371" t="inlineStr">
        <is>
          <t xml:space="preserve"> NO!  	 id列源备映射错误，源端为int None位	期望更改为text	实际备端为int None位</t>
        </is>
      </c>
    </row>
    <row r="372">
      <c r="B372" t="inlineStr">
        <is>
          <t>NULL</t>
        </is>
      </c>
      <c r="C372" t="inlineStr">
        <is>
          <t>NULL</t>
        </is>
      </c>
      <c r="D372" t="inlineStr">
        <is>
          <t>NULL</t>
        </is>
      </c>
      <c r="E372" t="inlineStr">
        <is>
          <t>NULL</t>
        </is>
      </c>
      <c r="F372" t="inlineStr">
        <is>
          <t>NULL</t>
        </is>
      </c>
      <c r="G372" t="inlineStr">
        <is>
          <t>NULL</t>
        </is>
      </c>
      <c r="H372" t="inlineStr">
        <is>
          <t>NULL</t>
        </is>
      </c>
      <c r="I372" t="inlineStr">
        <is>
          <t>NULL</t>
        </is>
      </c>
      <c r="J372" t="inlineStr">
        <is>
          <t>NULL</t>
        </is>
      </c>
      <c r="K372" t="inlineStr">
        <is>
          <t xml:space="preserve"> NO!  	 c_hierarchyid列源备映射错误，源端为hierarchyid 892位	期望更改为text	实际备端为hierarchyid 892位</t>
        </is>
      </c>
    </row>
    <row r="373">
      <c r="A373" t="inlineStr">
        <is>
          <t>info_datetime2_dml_batch1_pk_urp1</t>
        </is>
      </c>
      <c r="K373" t="inlineStr">
        <is>
          <t>[0;34m info_datetime2_dml_batch1_pk_urp1 [0m源备字段数相同，源端字段：9 	备端字段9</t>
        </is>
      </c>
      <c r="W373" s="17">
        <f>HYPERLINK("#2026041919hbase0!BF2","NO 源备存在差异，共7个")</f>
        <v/>
      </c>
      <c r="X373">
        <f>A373</f>
        <v/>
      </c>
    </row>
    <row r="374">
      <c r="B374" t="inlineStr">
        <is>
          <t>YES</t>
        </is>
      </c>
      <c r="C374" t="inlineStr">
        <is>
          <t>NULL</t>
        </is>
      </c>
      <c r="D374" t="inlineStr">
        <is>
          <t>NULL</t>
        </is>
      </c>
      <c r="E374" t="inlineStr">
        <is>
          <t>NULL</t>
        </is>
      </c>
      <c r="F374" t="inlineStr">
        <is>
          <t>NULL</t>
        </is>
      </c>
      <c r="G374" t="inlineStr">
        <is>
          <t>NULL</t>
        </is>
      </c>
      <c r="H374" t="inlineStr">
        <is>
          <t>NULL</t>
        </is>
      </c>
      <c r="I374" t="inlineStr">
        <is>
          <t>YES!PK__info_dat__3213E83FC2CA1155</t>
        </is>
      </c>
      <c r="J374" t="inlineStr">
        <is>
          <t>YES! 主键相关索引</t>
        </is>
      </c>
      <c r="K374" t="inlineStr">
        <is>
          <t xml:space="preserve"> NO!  	 id列源备映射错误，源端为int None位	期望更改为text	实际备端为int None位</t>
        </is>
      </c>
    </row>
    <row r="375">
      <c r="B375" t="inlineStr">
        <is>
          <t>NULL</t>
        </is>
      </c>
      <c r="C375" t="inlineStr">
        <is>
          <t>NULL</t>
        </is>
      </c>
      <c r="D375" t="inlineStr">
        <is>
          <t>NULL</t>
        </is>
      </c>
      <c r="E375" t="inlineStr">
        <is>
          <t>NULL</t>
        </is>
      </c>
      <c r="F375" t="inlineStr">
        <is>
          <t>NULL</t>
        </is>
      </c>
      <c r="G375" t="inlineStr">
        <is>
          <t>NULL</t>
        </is>
      </c>
      <c r="H375" t="inlineStr">
        <is>
          <t>NULL</t>
        </is>
      </c>
      <c r="I375" t="inlineStr">
        <is>
          <t>NULL</t>
        </is>
      </c>
      <c r="J375" t="inlineStr">
        <is>
          <t>NULL</t>
        </is>
      </c>
      <c r="K375" t="inlineStr">
        <is>
          <t xml:space="preserve"> NO!  	 c_dt2_0列源备映射错误，源端为datetime2 None位	期望更改为text	实际备端为datetime2 None位</t>
        </is>
      </c>
    </row>
    <row r="376">
      <c r="B376" t="inlineStr">
        <is>
          <t>NULL</t>
        </is>
      </c>
      <c r="C376" t="inlineStr">
        <is>
          <t>NULL</t>
        </is>
      </c>
      <c r="D376" t="inlineStr">
        <is>
          <t>NULL</t>
        </is>
      </c>
      <c r="E376" t="inlineStr">
        <is>
          <t>NULL</t>
        </is>
      </c>
      <c r="F376" t="inlineStr">
        <is>
          <t>NULL</t>
        </is>
      </c>
      <c r="G376" t="inlineStr">
        <is>
          <t>NULL</t>
        </is>
      </c>
      <c r="H376" t="inlineStr">
        <is>
          <t>NULL</t>
        </is>
      </c>
      <c r="I376" t="inlineStr">
        <is>
          <t>NULL</t>
        </is>
      </c>
      <c r="J376" t="inlineStr">
        <is>
          <t>NULL</t>
        </is>
      </c>
      <c r="K376" t="inlineStr">
        <is>
          <t xml:space="preserve"> NO!  	 c_dt2_1列源备映射错误，源端为datetime2 None位	期望更改为text	实际备端为datetime2 None位</t>
        </is>
      </c>
    </row>
    <row r="377">
      <c r="B377" t="inlineStr">
        <is>
          <t>NULL</t>
        </is>
      </c>
      <c r="C377" t="inlineStr">
        <is>
          <t>NULL</t>
        </is>
      </c>
      <c r="D377" t="inlineStr">
        <is>
          <t>NULL</t>
        </is>
      </c>
      <c r="E377" t="inlineStr">
        <is>
          <t>NULL</t>
        </is>
      </c>
      <c r="F377" t="inlineStr">
        <is>
          <t>NULL</t>
        </is>
      </c>
      <c r="G377" t="inlineStr">
        <is>
          <t>NULL</t>
        </is>
      </c>
      <c r="H377" t="inlineStr">
        <is>
          <t>NULL</t>
        </is>
      </c>
      <c r="I377" t="inlineStr">
        <is>
          <t>NULL</t>
        </is>
      </c>
      <c r="J377" t="inlineStr">
        <is>
          <t>NULL</t>
        </is>
      </c>
      <c r="K377" t="inlineStr">
        <is>
          <t xml:space="preserve"> NO!  	 c_dt2_2列源备映射错误，源端为datetime2 None位	期望更改为text	实际备端为datetime2 None位</t>
        </is>
      </c>
    </row>
    <row r="378">
      <c r="B378" t="inlineStr">
        <is>
          <t>NULL</t>
        </is>
      </c>
      <c r="C378" t="inlineStr">
        <is>
          <t>NULL</t>
        </is>
      </c>
      <c r="D378" t="inlineStr">
        <is>
          <t>NULL</t>
        </is>
      </c>
      <c r="E378" t="inlineStr">
        <is>
          <t>NULL</t>
        </is>
      </c>
      <c r="F378" t="inlineStr">
        <is>
          <t>NULL</t>
        </is>
      </c>
      <c r="G378" t="inlineStr">
        <is>
          <t>NULL</t>
        </is>
      </c>
      <c r="H378" t="inlineStr">
        <is>
          <t>NULL</t>
        </is>
      </c>
      <c r="I378" t="inlineStr">
        <is>
          <t>NULL</t>
        </is>
      </c>
      <c r="J378" t="inlineStr">
        <is>
          <t>NULL</t>
        </is>
      </c>
      <c r="K378" t="inlineStr">
        <is>
          <t xml:space="preserve"> NO!  	 c_dt2_3列源备映射错误，源端为datetime2 None位	期望更改为text	实际备端为datetime2 None位</t>
        </is>
      </c>
    </row>
    <row r="379">
      <c r="B379" t="inlineStr">
        <is>
          <t>NULL</t>
        </is>
      </c>
      <c r="C379" t="inlineStr">
        <is>
          <t>NULL</t>
        </is>
      </c>
      <c r="D379" t="inlineStr">
        <is>
          <t>NULL</t>
        </is>
      </c>
      <c r="E379" t="inlineStr">
        <is>
          <t>NULL</t>
        </is>
      </c>
      <c r="F379" t="inlineStr">
        <is>
          <t>NULL</t>
        </is>
      </c>
      <c r="G379" t="inlineStr">
        <is>
          <t>NULL</t>
        </is>
      </c>
      <c r="H379" t="inlineStr">
        <is>
          <t>NULL</t>
        </is>
      </c>
      <c r="I379" t="inlineStr">
        <is>
          <t>NULL</t>
        </is>
      </c>
      <c r="J379" t="inlineStr">
        <is>
          <t>NULL</t>
        </is>
      </c>
      <c r="K379" t="inlineStr">
        <is>
          <t xml:space="preserve"> NO!  	 c_dt2_4列源备映射错误，源端为datetime2 None位	期望更改为text	实际备端为datetime2 None位</t>
        </is>
      </c>
    </row>
    <row r="380">
      <c r="B380" t="inlineStr">
        <is>
          <t>NULL</t>
        </is>
      </c>
      <c r="C380" t="inlineStr">
        <is>
          <t>NULL</t>
        </is>
      </c>
      <c r="D380" t="inlineStr">
        <is>
          <t>NULL</t>
        </is>
      </c>
      <c r="E380" t="inlineStr">
        <is>
          <t>NULL</t>
        </is>
      </c>
      <c r="F380" t="inlineStr">
        <is>
          <t>NULL</t>
        </is>
      </c>
      <c r="G380" t="inlineStr">
        <is>
          <t>NULL</t>
        </is>
      </c>
      <c r="H380" t="inlineStr">
        <is>
          <t>NULL</t>
        </is>
      </c>
      <c r="I380" t="inlineStr">
        <is>
          <t>NULL</t>
        </is>
      </c>
      <c r="J380" t="inlineStr">
        <is>
          <t>NULL</t>
        </is>
      </c>
      <c r="K380" t="inlineStr">
        <is>
          <t xml:space="preserve"> NO!  	 c_dt2_5列源备映射错误，源端为datetime2 None位	期望更改为text	实际备端为datetime2 None位</t>
        </is>
      </c>
    </row>
    <row r="381">
      <c r="B381" t="inlineStr">
        <is>
          <t>NULL</t>
        </is>
      </c>
      <c r="C381" t="inlineStr">
        <is>
          <t>NULL</t>
        </is>
      </c>
      <c r="D381" t="inlineStr">
        <is>
          <t>NULL</t>
        </is>
      </c>
      <c r="E381" t="inlineStr">
        <is>
          <t>NULL</t>
        </is>
      </c>
      <c r="F381" t="inlineStr">
        <is>
          <t>NULL</t>
        </is>
      </c>
      <c r="G381" t="inlineStr">
        <is>
          <t>NULL</t>
        </is>
      </c>
      <c r="H381" t="inlineStr">
        <is>
          <t>NULL</t>
        </is>
      </c>
      <c r="I381" t="inlineStr">
        <is>
          <t>NULL</t>
        </is>
      </c>
      <c r="J381" t="inlineStr">
        <is>
          <t>NULL</t>
        </is>
      </c>
      <c r="K381" t="inlineStr">
        <is>
          <t xml:space="preserve"> NO!  	 c_dt2_6列源备映射错误，源端为datetime2 None位	期望更改为text	实际备端为datetime2 None位</t>
        </is>
      </c>
    </row>
    <row r="382">
      <c r="B382" t="inlineStr">
        <is>
          <t>NULL</t>
        </is>
      </c>
      <c r="C382" t="inlineStr">
        <is>
          <t>NULL</t>
        </is>
      </c>
      <c r="D382" t="inlineStr">
        <is>
          <t>NULL</t>
        </is>
      </c>
      <c r="E382" t="inlineStr">
        <is>
          <t>NULL</t>
        </is>
      </c>
      <c r="F382" t="inlineStr">
        <is>
          <t>NULL</t>
        </is>
      </c>
      <c r="G382" t="inlineStr">
        <is>
          <t>NULL</t>
        </is>
      </c>
      <c r="H382" t="inlineStr">
        <is>
          <t>NULL</t>
        </is>
      </c>
      <c r="I382" t="inlineStr">
        <is>
          <t>NULL</t>
        </is>
      </c>
      <c r="J382" t="inlineStr">
        <is>
          <t>NULL</t>
        </is>
      </c>
      <c r="K382" t="inlineStr">
        <is>
          <t xml:space="preserve"> NO!  	 c_dt2列源备映射错误，源端为datetime2 None位	期望更改为text	实际备端为datetime2 None位</t>
        </is>
      </c>
    </row>
    <row r="383">
      <c r="A383" t="inlineStr">
        <is>
          <t>info_char_dml_batch2_pk_irp2</t>
        </is>
      </c>
      <c r="K383" t="inlineStr">
        <is>
          <t>[0;34m info_char_dml_batch2_pk_irp2 [0m源备字段数相同，源端字段：4 	备端字段4</t>
        </is>
      </c>
      <c r="W383" t="inlineStr">
        <is>
          <t>YES 源备无差异</t>
        </is>
      </c>
      <c r="X383">
        <f>A383</f>
        <v/>
      </c>
    </row>
    <row r="384">
      <c r="B384" t="inlineStr">
        <is>
          <t>YES</t>
        </is>
      </c>
      <c r="C384" t="inlineStr">
        <is>
          <t>NULL</t>
        </is>
      </c>
      <c r="D384" t="inlineStr">
        <is>
          <t>NULL</t>
        </is>
      </c>
      <c r="E384" t="inlineStr">
        <is>
          <t>NULL</t>
        </is>
      </c>
      <c r="F384" t="inlineStr">
        <is>
          <t>NULL</t>
        </is>
      </c>
      <c r="G384" t="inlineStr">
        <is>
          <t>NULL</t>
        </is>
      </c>
      <c r="H384" t="inlineStr">
        <is>
          <t>NULL</t>
        </is>
      </c>
      <c r="I384" t="inlineStr">
        <is>
          <t>YES!PK__info_cha__3213E83FF1773D01</t>
        </is>
      </c>
      <c r="J384" t="inlineStr">
        <is>
          <t>YES! 主键相关索引</t>
        </is>
      </c>
      <c r="K384" t="inlineStr">
        <is>
          <t xml:space="preserve"> NO!  	 id列源备映射错误，源端为int None位	期望更改为text	实际备端为int None位</t>
        </is>
      </c>
    </row>
    <row r="385">
      <c r="B385" t="inlineStr">
        <is>
          <t>NULL</t>
        </is>
      </c>
      <c r="C385" t="inlineStr">
        <is>
          <t>NULL</t>
        </is>
      </c>
      <c r="D385" t="inlineStr">
        <is>
          <t>NULL</t>
        </is>
      </c>
      <c r="E385" t="inlineStr">
        <is>
          <t>NULL</t>
        </is>
      </c>
      <c r="F385" t="inlineStr">
        <is>
          <t>NULL</t>
        </is>
      </c>
      <c r="G385" t="inlineStr">
        <is>
          <t>NULL</t>
        </is>
      </c>
      <c r="H385" t="inlineStr">
        <is>
          <t>NULL</t>
        </is>
      </c>
      <c r="I385" t="inlineStr">
        <is>
          <t>NULL</t>
        </is>
      </c>
      <c r="J385" t="inlineStr">
        <is>
          <t>NULL</t>
        </is>
      </c>
      <c r="K385" t="inlineStr">
        <is>
          <t xml:space="preserve"> NO!  	 c_char列源备映射错误，源端为char 1位	期望更改为text	实际备端为char 1位</t>
        </is>
      </c>
    </row>
    <row r="386">
      <c r="B386" t="inlineStr">
        <is>
          <t>NULL</t>
        </is>
      </c>
      <c r="C386" t="inlineStr">
        <is>
          <t>NULL</t>
        </is>
      </c>
      <c r="D386" t="inlineStr">
        <is>
          <t>NULL</t>
        </is>
      </c>
      <c r="E386" t="inlineStr">
        <is>
          <t>NULL</t>
        </is>
      </c>
      <c r="F386" t="inlineStr">
        <is>
          <t>NULL</t>
        </is>
      </c>
      <c r="G386" t="inlineStr">
        <is>
          <t>NULL</t>
        </is>
      </c>
      <c r="H386" t="inlineStr">
        <is>
          <t>NULL</t>
        </is>
      </c>
      <c r="I386" t="inlineStr">
        <is>
          <t>NULL</t>
        </is>
      </c>
      <c r="J386" t="inlineStr">
        <is>
          <t>NULL</t>
        </is>
      </c>
      <c r="K386" t="inlineStr">
        <is>
          <t xml:space="preserve"> NO!  	 c_char20列源备映射错误，源端为char 20位	期望更改为text	实际备端为char 20位</t>
        </is>
      </c>
    </row>
    <row r="387">
      <c r="B387" t="inlineStr">
        <is>
          <t>NULL</t>
        </is>
      </c>
      <c r="C387" t="inlineStr">
        <is>
          <t>NULL</t>
        </is>
      </c>
      <c r="D387" t="inlineStr">
        <is>
          <t>NULL</t>
        </is>
      </c>
      <c r="E387" t="inlineStr">
        <is>
          <t>NULL</t>
        </is>
      </c>
      <c r="F387" t="inlineStr">
        <is>
          <t>NULL</t>
        </is>
      </c>
      <c r="G387" t="inlineStr">
        <is>
          <t>NULL</t>
        </is>
      </c>
      <c r="H387" t="inlineStr">
        <is>
          <t>NULL</t>
        </is>
      </c>
      <c r="I387" t="inlineStr">
        <is>
          <t>NULL</t>
        </is>
      </c>
      <c r="J387" t="inlineStr">
        <is>
          <t>NULL</t>
        </is>
      </c>
      <c r="K387" t="inlineStr">
        <is>
          <t xml:space="preserve"> NO!  	 c_char200列源备映射错误，源端为char 200位	期望更改为text	实际备端为char 200位</t>
        </is>
      </c>
    </row>
    <row r="388">
      <c r="K388" t="inlineStr">
        <is>
          <t>~ 空表</t>
        </is>
      </c>
    </row>
    <row r="389">
      <c r="A389" t="inlineStr">
        <is>
          <t>info_nchar_dml_batch1_pk_irp2</t>
        </is>
      </c>
      <c r="K389" t="inlineStr">
        <is>
          <t>[0;34m info_nchar_dml_batch1_pk_irp2 [0m源备字段数相同，源端字段：4 	备端字段4</t>
        </is>
      </c>
      <c r="W389" s="17">
        <f>HYPERLINK("#2026041919hbase0!BG2","NO 源备存在差异，共26个")</f>
        <v/>
      </c>
      <c r="X389">
        <f>A389</f>
        <v/>
      </c>
    </row>
    <row r="390">
      <c r="B390" t="inlineStr">
        <is>
          <t>YES</t>
        </is>
      </c>
      <c r="C390" t="inlineStr">
        <is>
          <t>NULL</t>
        </is>
      </c>
      <c r="D390" t="inlineStr">
        <is>
          <t>NULL</t>
        </is>
      </c>
      <c r="E390" t="inlineStr">
        <is>
          <t>NULL</t>
        </is>
      </c>
      <c r="F390" t="inlineStr">
        <is>
          <t>NULL</t>
        </is>
      </c>
      <c r="G390" t="inlineStr">
        <is>
          <t>NULL</t>
        </is>
      </c>
      <c r="H390" t="inlineStr">
        <is>
          <t>NULL</t>
        </is>
      </c>
      <c r="I390" t="inlineStr">
        <is>
          <t>YES!PK__info_nch__3213E83FD5FFAC5C</t>
        </is>
      </c>
      <c r="J390" t="inlineStr">
        <is>
          <t>YES! 主键相关索引</t>
        </is>
      </c>
      <c r="K390" t="inlineStr">
        <is>
          <t xml:space="preserve"> NO!  	 id列源备映射错误，源端为int None位	期望更改为text	实际备端为int None位</t>
        </is>
      </c>
    </row>
    <row r="391">
      <c r="B391" t="inlineStr">
        <is>
          <t>NULL</t>
        </is>
      </c>
      <c r="C391" t="inlineStr">
        <is>
          <t>NULL</t>
        </is>
      </c>
      <c r="D391" t="inlineStr">
        <is>
          <t>NULL</t>
        </is>
      </c>
      <c r="E391" t="inlineStr">
        <is>
          <t>NULL</t>
        </is>
      </c>
      <c r="F391" t="inlineStr">
        <is>
          <t>NULL</t>
        </is>
      </c>
      <c r="G391" t="inlineStr">
        <is>
          <t>NULL</t>
        </is>
      </c>
      <c r="H391" t="inlineStr">
        <is>
          <t>NULL</t>
        </is>
      </c>
      <c r="I391" t="inlineStr">
        <is>
          <t>NULL</t>
        </is>
      </c>
      <c r="J391" t="inlineStr">
        <is>
          <t>NULL</t>
        </is>
      </c>
      <c r="K391" t="inlineStr">
        <is>
          <t xml:space="preserve"> NO!  	 c_nchar列源备映射错误，源端为nchar 2位	期望更改为text	实际备端为nchar 2位</t>
        </is>
      </c>
    </row>
    <row r="392">
      <c r="B392" t="inlineStr">
        <is>
          <t>NULL</t>
        </is>
      </c>
      <c r="C392" t="inlineStr">
        <is>
          <t>NULL</t>
        </is>
      </c>
      <c r="D392" t="inlineStr">
        <is>
          <t>NULL</t>
        </is>
      </c>
      <c r="E392" t="inlineStr">
        <is>
          <t>NULL</t>
        </is>
      </c>
      <c r="F392" t="inlineStr">
        <is>
          <t>NULL</t>
        </is>
      </c>
      <c r="G392" t="inlineStr">
        <is>
          <t>NULL</t>
        </is>
      </c>
      <c r="H392" t="inlineStr">
        <is>
          <t>NULL</t>
        </is>
      </c>
      <c r="I392" t="inlineStr">
        <is>
          <t>NULL</t>
        </is>
      </c>
      <c r="J392" t="inlineStr">
        <is>
          <t>NULL</t>
        </is>
      </c>
      <c r="K392" t="inlineStr">
        <is>
          <t xml:space="preserve"> NO!  	 c_nchar20列源备映射错误，源端为nchar 40位	期望更改为text	实际备端为nchar 40位</t>
        </is>
      </c>
    </row>
    <row r="393">
      <c r="B393" t="inlineStr">
        <is>
          <t>NULL</t>
        </is>
      </c>
      <c r="C393" t="inlineStr">
        <is>
          <t>NULL</t>
        </is>
      </c>
      <c r="D393" t="inlineStr">
        <is>
          <t>NULL</t>
        </is>
      </c>
      <c r="E393" t="inlineStr">
        <is>
          <t>NULL</t>
        </is>
      </c>
      <c r="F393" t="inlineStr">
        <is>
          <t>NULL</t>
        </is>
      </c>
      <c r="G393" t="inlineStr">
        <is>
          <t>NULL</t>
        </is>
      </c>
      <c r="H393" t="inlineStr">
        <is>
          <t>NULL</t>
        </is>
      </c>
      <c r="I393" t="inlineStr">
        <is>
          <t>NULL</t>
        </is>
      </c>
      <c r="J393" t="inlineStr">
        <is>
          <t>NULL</t>
        </is>
      </c>
      <c r="K393" t="inlineStr">
        <is>
          <t xml:space="preserve"> NO!  	 c_nchar3500列源备映射错误，源端为nchar 7000位	期望更改为text	实际备端为nchar 7000位</t>
        </is>
      </c>
    </row>
    <row r="394">
      <c r="A394" t="inlineStr">
        <is>
          <t>info_date_dml_single_pk_urp</t>
        </is>
      </c>
      <c r="K394" t="inlineStr">
        <is>
          <t>[0;34m info_date_dml_single_pk_urp [0m源备字段数相同，源端字段：2 	备端字段2</t>
        </is>
      </c>
      <c r="W394" s="17">
        <f>HYPERLINK("#2026041919hbase0!BH2","NO 源备存在差异，共8个")</f>
        <v/>
      </c>
      <c r="X394">
        <f>A394</f>
        <v/>
      </c>
    </row>
    <row r="395">
      <c r="B395" t="inlineStr">
        <is>
          <t>YES</t>
        </is>
      </c>
      <c r="C395" t="inlineStr">
        <is>
          <t>NULL</t>
        </is>
      </c>
      <c r="D395" t="inlineStr">
        <is>
          <t>NULL</t>
        </is>
      </c>
      <c r="E395" t="inlineStr">
        <is>
          <t>NULL</t>
        </is>
      </c>
      <c r="F395" t="inlineStr">
        <is>
          <t>NULL</t>
        </is>
      </c>
      <c r="G395" t="inlineStr">
        <is>
          <t>NULL</t>
        </is>
      </c>
      <c r="H395" t="inlineStr">
        <is>
          <t>NULL</t>
        </is>
      </c>
      <c r="I395" t="inlineStr">
        <is>
          <t>YES!PK__info_dat__3213E83FD785C27E</t>
        </is>
      </c>
      <c r="J395" t="inlineStr">
        <is>
          <t>YES! 主键相关索引</t>
        </is>
      </c>
      <c r="K395" t="inlineStr">
        <is>
          <t xml:space="preserve"> NO!  	 id列源备映射错误，源端为int None位	期望更改为text	实际备端为int None位</t>
        </is>
      </c>
    </row>
    <row r="396">
      <c r="B396" t="inlineStr">
        <is>
          <t>NULL</t>
        </is>
      </c>
      <c r="C396" t="inlineStr">
        <is>
          <t>NULL</t>
        </is>
      </c>
      <c r="D396" t="inlineStr">
        <is>
          <t>NULL</t>
        </is>
      </c>
      <c r="E396" t="inlineStr">
        <is>
          <t>NULL</t>
        </is>
      </c>
      <c r="F396" t="inlineStr">
        <is>
          <t>NULL</t>
        </is>
      </c>
      <c r="G396" t="inlineStr">
        <is>
          <t>NULL</t>
        </is>
      </c>
      <c r="H396" t="inlineStr">
        <is>
          <t>NULL</t>
        </is>
      </c>
      <c r="I396" t="inlineStr">
        <is>
          <t>NULL</t>
        </is>
      </c>
      <c r="J396" t="inlineStr">
        <is>
          <t>NULL</t>
        </is>
      </c>
      <c r="K396" t="inlineStr">
        <is>
          <t xml:space="preserve"> NO!  	 c_date列源备映射错误，源端为date None位	期望更改为text	实际备端为date None位</t>
        </is>
      </c>
    </row>
    <row r="397">
      <c r="A397" t="inlineStr">
        <is>
          <t>info_datetime2_dml_batch1_pk_urp2</t>
        </is>
      </c>
      <c r="K397" t="inlineStr">
        <is>
          <t>[0;34m info_datetime2_dml_batch1_pk_urp2 [0m源备字段数相同，源端字段：9 	备端字段9</t>
        </is>
      </c>
      <c r="W397" s="17">
        <f>HYPERLINK("#2026041919hbase0!BI2","NO 源备存在差异，共7个")</f>
        <v/>
      </c>
      <c r="X397">
        <f>A397</f>
        <v/>
      </c>
    </row>
    <row r="398">
      <c r="B398" t="inlineStr">
        <is>
          <t>YES</t>
        </is>
      </c>
      <c r="C398" t="inlineStr">
        <is>
          <t>NULL</t>
        </is>
      </c>
      <c r="D398" t="inlineStr">
        <is>
          <t>NULL</t>
        </is>
      </c>
      <c r="E398" t="inlineStr">
        <is>
          <t>NULL</t>
        </is>
      </c>
      <c r="F398" t="inlineStr">
        <is>
          <t>NULL</t>
        </is>
      </c>
      <c r="G398" t="inlineStr">
        <is>
          <t>NULL</t>
        </is>
      </c>
      <c r="H398" t="inlineStr">
        <is>
          <t>NULL</t>
        </is>
      </c>
      <c r="I398" t="inlineStr">
        <is>
          <t>YES!PK__info_dat__3213E83F8DD61F52</t>
        </is>
      </c>
      <c r="J398" t="inlineStr">
        <is>
          <t>YES! 主键相关索引</t>
        </is>
      </c>
      <c r="K398" t="inlineStr">
        <is>
          <t xml:space="preserve"> NO!  	 id列源备映射错误，源端为int None位	期望更改为text	实际备端为int None位</t>
        </is>
      </c>
    </row>
    <row r="399">
      <c r="B399" t="inlineStr">
        <is>
          <t>NULL</t>
        </is>
      </c>
      <c r="C399" t="inlineStr">
        <is>
          <t>NULL</t>
        </is>
      </c>
      <c r="D399" t="inlineStr">
        <is>
          <t>NULL</t>
        </is>
      </c>
      <c r="E399" t="inlineStr">
        <is>
          <t>NULL</t>
        </is>
      </c>
      <c r="F399" t="inlineStr">
        <is>
          <t>NULL</t>
        </is>
      </c>
      <c r="G399" t="inlineStr">
        <is>
          <t>NULL</t>
        </is>
      </c>
      <c r="H399" t="inlineStr">
        <is>
          <t>NULL</t>
        </is>
      </c>
      <c r="I399" t="inlineStr">
        <is>
          <t>NULL</t>
        </is>
      </c>
      <c r="J399" t="inlineStr">
        <is>
          <t>NULL</t>
        </is>
      </c>
      <c r="K399" t="inlineStr">
        <is>
          <t xml:space="preserve"> NO!  	 c_dt2_0列源备映射错误，源端为datetime2 None位	期望更改为text	实际备端为datetime2 None位</t>
        </is>
      </c>
    </row>
    <row r="400">
      <c r="B400" t="inlineStr">
        <is>
          <t>NULL</t>
        </is>
      </c>
      <c r="C400" t="inlineStr">
        <is>
          <t>NULL</t>
        </is>
      </c>
      <c r="D400" t="inlineStr">
        <is>
          <t>NULL</t>
        </is>
      </c>
      <c r="E400" t="inlineStr">
        <is>
          <t>NULL</t>
        </is>
      </c>
      <c r="F400" t="inlineStr">
        <is>
          <t>NULL</t>
        </is>
      </c>
      <c r="G400" t="inlineStr">
        <is>
          <t>NULL</t>
        </is>
      </c>
      <c r="H400" t="inlineStr">
        <is>
          <t>NULL</t>
        </is>
      </c>
      <c r="I400" t="inlineStr">
        <is>
          <t>NULL</t>
        </is>
      </c>
      <c r="J400" t="inlineStr">
        <is>
          <t>NULL</t>
        </is>
      </c>
      <c r="K400" t="inlineStr">
        <is>
          <t xml:space="preserve"> NO!  	 c_dt2_1列源备映射错误，源端为datetime2 None位	期望更改为text	实际备端为datetime2 None位</t>
        </is>
      </c>
    </row>
    <row r="401">
      <c r="B401" t="inlineStr">
        <is>
          <t>NULL</t>
        </is>
      </c>
      <c r="C401" t="inlineStr">
        <is>
          <t>NULL</t>
        </is>
      </c>
      <c r="D401" t="inlineStr">
        <is>
          <t>NULL</t>
        </is>
      </c>
      <c r="E401" t="inlineStr">
        <is>
          <t>NULL</t>
        </is>
      </c>
      <c r="F401" t="inlineStr">
        <is>
          <t>NULL</t>
        </is>
      </c>
      <c r="G401" t="inlineStr">
        <is>
          <t>NULL</t>
        </is>
      </c>
      <c r="H401" t="inlineStr">
        <is>
          <t>NULL</t>
        </is>
      </c>
      <c r="I401" t="inlineStr">
        <is>
          <t>NULL</t>
        </is>
      </c>
      <c r="J401" t="inlineStr">
        <is>
          <t>NULL</t>
        </is>
      </c>
      <c r="K401" t="inlineStr">
        <is>
          <t xml:space="preserve"> NO!  	 c_dt2_2列源备映射错误，源端为datetime2 None位	期望更改为text	实际备端为datetime2 None位</t>
        </is>
      </c>
    </row>
    <row r="402">
      <c r="B402" t="inlineStr">
        <is>
          <t>NULL</t>
        </is>
      </c>
      <c r="C402" t="inlineStr">
        <is>
          <t>NULL</t>
        </is>
      </c>
      <c r="D402" t="inlineStr">
        <is>
          <t>NULL</t>
        </is>
      </c>
      <c r="E402" t="inlineStr">
        <is>
          <t>NULL</t>
        </is>
      </c>
      <c r="F402" t="inlineStr">
        <is>
          <t>NULL</t>
        </is>
      </c>
      <c r="G402" t="inlineStr">
        <is>
          <t>NULL</t>
        </is>
      </c>
      <c r="H402" t="inlineStr">
        <is>
          <t>NULL</t>
        </is>
      </c>
      <c r="I402" t="inlineStr">
        <is>
          <t>NULL</t>
        </is>
      </c>
      <c r="J402" t="inlineStr">
        <is>
          <t>NULL</t>
        </is>
      </c>
      <c r="K402" t="inlineStr">
        <is>
          <t xml:space="preserve"> NO!  	 c_dt2_3列源备映射错误，源端为datetime2 None位	期望更改为text	实际备端为datetime2 None位</t>
        </is>
      </c>
    </row>
    <row r="403">
      <c r="B403" t="inlineStr">
        <is>
          <t>NULL</t>
        </is>
      </c>
      <c r="C403" t="inlineStr">
        <is>
          <t>NULL</t>
        </is>
      </c>
      <c r="D403" t="inlineStr">
        <is>
          <t>NULL</t>
        </is>
      </c>
      <c r="E403" t="inlineStr">
        <is>
          <t>NULL</t>
        </is>
      </c>
      <c r="F403" t="inlineStr">
        <is>
          <t>NULL</t>
        </is>
      </c>
      <c r="G403" t="inlineStr">
        <is>
          <t>NULL</t>
        </is>
      </c>
      <c r="H403" t="inlineStr">
        <is>
          <t>NULL</t>
        </is>
      </c>
      <c r="I403" t="inlineStr">
        <is>
          <t>NULL</t>
        </is>
      </c>
      <c r="J403" t="inlineStr">
        <is>
          <t>NULL</t>
        </is>
      </c>
      <c r="K403" t="inlineStr">
        <is>
          <t xml:space="preserve"> NO!  	 c_dt2_4列源备映射错误，源端为datetime2 None位	期望更改为text	实际备端为datetime2 None位</t>
        </is>
      </c>
    </row>
    <row r="404">
      <c r="B404" t="inlineStr">
        <is>
          <t>NULL</t>
        </is>
      </c>
      <c r="C404" t="inlineStr">
        <is>
          <t>NULL</t>
        </is>
      </c>
      <c r="D404" t="inlineStr">
        <is>
          <t>NULL</t>
        </is>
      </c>
      <c r="E404" t="inlineStr">
        <is>
          <t>NULL</t>
        </is>
      </c>
      <c r="F404" t="inlineStr">
        <is>
          <t>NULL</t>
        </is>
      </c>
      <c r="G404" t="inlineStr">
        <is>
          <t>NULL</t>
        </is>
      </c>
      <c r="H404" t="inlineStr">
        <is>
          <t>NULL</t>
        </is>
      </c>
      <c r="I404" t="inlineStr">
        <is>
          <t>NULL</t>
        </is>
      </c>
      <c r="J404" t="inlineStr">
        <is>
          <t>NULL</t>
        </is>
      </c>
      <c r="K404" t="inlineStr">
        <is>
          <t xml:space="preserve"> NO!  	 c_dt2_5列源备映射错误，源端为datetime2 None位	期望更改为text	实际备端为datetime2 None位</t>
        </is>
      </c>
    </row>
    <row r="405">
      <c r="B405" t="inlineStr">
        <is>
          <t>NULL</t>
        </is>
      </c>
      <c r="C405" t="inlineStr">
        <is>
          <t>NULL</t>
        </is>
      </c>
      <c r="D405" t="inlineStr">
        <is>
          <t>NULL</t>
        </is>
      </c>
      <c r="E405" t="inlineStr">
        <is>
          <t>NULL</t>
        </is>
      </c>
      <c r="F405" t="inlineStr">
        <is>
          <t>NULL</t>
        </is>
      </c>
      <c r="G405" t="inlineStr">
        <is>
          <t>NULL</t>
        </is>
      </c>
      <c r="H405" t="inlineStr">
        <is>
          <t>NULL</t>
        </is>
      </c>
      <c r="I405" t="inlineStr">
        <is>
          <t>NULL</t>
        </is>
      </c>
      <c r="J405" t="inlineStr">
        <is>
          <t>NULL</t>
        </is>
      </c>
      <c r="K405" t="inlineStr">
        <is>
          <t xml:space="preserve"> NO!  	 c_dt2_6列源备映射错误，源端为datetime2 None位	期望更改为text	实际备端为datetime2 None位</t>
        </is>
      </c>
    </row>
    <row r="406">
      <c r="B406" t="inlineStr">
        <is>
          <t>NULL</t>
        </is>
      </c>
      <c r="C406" t="inlineStr">
        <is>
          <t>NULL</t>
        </is>
      </c>
      <c r="D406" t="inlineStr">
        <is>
          <t>NULL</t>
        </is>
      </c>
      <c r="E406" t="inlineStr">
        <is>
          <t>NULL</t>
        </is>
      </c>
      <c r="F406" t="inlineStr">
        <is>
          <t>NULL</t>
        </is>
      </c>
      <c r="G406" t="inlineStr">
        <is>
          <t>NULL</t>
        </is>
      </c>
      <c r="H406" t="inlineStr">
        <is>
          <t>NULL</t>
        </is>
      </c>
      <c r="I406" t="inlineStr">
        <is>
          <t>NULL</t>
        </is>
      </c>
      <c r="J406" t="inlineStr">
        <is>
          <t>NULL</t>
        </is>
      </c>
      <c r="K406" t="inlineStr">
        <is>
          <t xml:space="preserve"> NO!  	 c_dt2列源备映射错误，源端为datetime2 None位	期望更改为text	实际备端为datetime2 None位</t>
        </is>
      </c>
    </row>
    <row r="407">
      <c r="A407" t="inlineStr">
        <is>
          <t>info_varcharmax_dml_batch1_pk_irp1</t>
        </is>
      </c>
      <c r="K407" t="inlineStr">
        <is>
          <t>[0;34m info_varcharmax_dml_batch1_pk_irp1 [0m源备字段数相同，源端字段：3 	备端字段3</t>
        </is>
      </c>
      <c r="W407" t="inlineStr">
        <is>
          <t>YES 源备无差异</t>
        </is>
      </c>
      <c r="X407">
        <f>A407</f>
        <v/>
      </c>
    </row>
    <row r="408">
      <c r="B408" t="inlineStr">
        <is>
          <t>YES</t>
        </is>
      </c>
      <c r="C408" t="inlineStr">
        <is>
          <t>NULL</t>
        </is>
      </c>
      <c r="D408" t="inlineStr">
        <is>
          <t>NULL</t>
        </is>
      </c>
      <c r="E408" t="inlineStr">
        <is>
          <t>NULL</t>
        </is>
      </c>
      <c r="F408" t="inlineStr">
        <is>
          <t>NULL</t>
        </is>
      </c>
      <c r="G408" t="inlineStr">
        <is>
          <t>NULL</t>
        </is>
      </c>
      <c r="H408" t="inlineStr">
        <is>
          <t>NULL</t>
        </is>
      </c>
      <c r="I408" t="inlineStr">
        <is>
          <t>YES!PK__info_var__3213E83F2FF7F6A1</t>
        </is>
      </c>
      <c r="J408" t="inlineStr">
        <is>
          <t>YES! 主键相关索引</t>
        </is>
      </c>
      <c r="K408" t="inlineStr">
        <is>
          <t xml:space="preserve"> NO!  	 id列源备映射错误，源端为int None位	期望更改为text	实际备端为int None位</t>
        </is>
      </c>
    </row>
    <row r="409">
      <c r="B409" t="inlineStr">
        <is>
          <t>NULL</t>
        </is>
      </c>
      <c r="C409" t="inlineStr">
        <is>
          <t>NULL</t>
        </is>
      </c>
      <c r="D409" t="inlineStr">
        <is>
          <t>NULL</t>
        </is>
      </c>
      <c r="E409" t="inlineStr">
        <is>
          <t>NULL</t>
        </is>
      </c>
      <c r="F409" t="inlineStr">
        <is>
          <t>NULL</t>
        </is>
      </c>
      <c r="G409" t="inlineStr">
        <is>
          <t>NULL</t>
        </is>
      </c>
      <c r="H409" t="inlineStr">
        <is>
          <t>NULL</t>
        </is>
      </c>
      <c r="I409" t="inlineStr">
        <is>
          <t>NULL</t>
        </is>
      </c>
      <c r="J409" t="inlineStr">
        <is>
          <t>NULL</t>
        </is>
      </c>
      <c r="K409" t="inlineStr">
        <is>
          <t xml:space="preserve"> NO!  	 c_varchar_max列源备映射错误，源端为varchar -1位	期望更改为text	实际备端为varchar -1位</t>
        </is>
      </c>
    </row>
    <row r="410">
      <c r="B410" t="inlineStr">
        <is>
          <t>NULL</t>
        </is>
      </c>
      <c r="C410" t="inlineStr">
        <is>
          <t>NULL</t>
        </is>
      </c>
      <c r="D410" t="inlineStr">
        <is>
          <t>NULL</t>
        </is>
      </c>
      <c r="E410" t="inlineStr">
        <is>
          <t>NULL</t>
        </is>
      </c>
      <c r="F410" t="inlineStr">
        <is>
          <t>NULL</t>
        </is>
      </c>
      <c r="G410" t="inlineStr">
        <is>
          <t>NULL</t>
        </is>
      </c>
      <c r="H410" t="inlineStr">
        <is>
          <t>NULL</t>
        </is>
      </c>
      <c r="I410" t="inlineStr">
        <is>
          <t>NULL</t>
        </is>
      </c>
      <c r="J410" t="inlineStr">
        <is>
          <t>NULL</t>
        </is>
      </c>
      <c r="K410" t="inlineStr">
        <is>
          <t xml:space="preserve"> NO!  	 c_nvarchar_max列源备映射错误，源端为nvarchar -1位	期望更改为text	实际备端为nvarchar -1位</t>
        </is>
      </c>
    </row>
    <row r="411">
      <c r="K411" t="inlineStr">
        <is>
          <t>~ 空表</t>
        </is>
      </c>
    </row>
    <row r="412">
      <c r="A412" t="inlineStr">
        <is>
          <t>info_datetime2_dml_batch1_pk_drp1</t>
        </is>
      </c>
      <c r="K412" t="inlineStr">
        <is>
          <t>[0;34m info_datetime2_dml_batch1_pk_drp1 [0m源备字段数相同，源端字段：9 	备端字段9</t>
        </is>
      </c>
      <c r="W412" t="inlineStr">
        <is>
          <t>YES 源备无差异</t>
        </is>
      </c>
      <c r="X412">
        <f>A412</f>
        <v/>
      </c>
    </row>
    <row r="413">
      <c r="B413" t="inlineStr">
        <is>
          <t>YES</t>
        </is>
      </c>
      <c r="C413" t="inlineStr">
        <is>
          <t>NULL</t>
        </is>
      </c>
      <c r="D413" t="inlineStr">
        <is>
          <t>NULL</t>
        </is>
      </c>
      <c r="E413" t="inlineStr">
        <is>
          <t>NULL</t>
        </is>
      </c>
      <c r="F413" t="inlineStr">
        <is>
          <t>NULL</t>
        </is>
      </c>
      <c r="G413" t="inlineStr">
        <is>
          <t>NULL</t>
        </is>
      </c>
      <c r="H413" t="inlineStr">
        <is>
          <t>NULL</t>
        </is>
      </c>
      <c r="I413" t="inlineStr">
        <is>
          <t>YES!PK__info_dat__3213E83F059B3B82</t>
        </is>
      </c>
      <c r="J413" t="inlineStr">
        <is>
          <t>YES! 主键相关索引</t>
        </is>
      </c>
      <c r="K413" t="inlineStr">
        <is>
          <t xml:space="preserve"> NO!  	 id列源备映射错误，源端为int None位	期望更改为text	实际备端为int None位</t>
        </is>
      </c>
    </row>
    <row r="414">
      <c r="B414" t="inlineStr">
        <is>
          <t>NULL</t>
        </is>
      </c>
      <c r="C414" t="inlineStr">
        <is>
          <t>NULL</t>
        </is>
      </c>
      <c r="D414" t="inlineStr">
        <is>
          <t>NULL</t>
        </is>
      </c>
      <c r="E414" t="inlineStr">
        <is>
          <t>NULL</t>
        </is>
      </c>
      <c r="F414" t="inlineStr">
        <is>
          <t>NULL</t>
        </is>
      </c>
      <c r="G414" t="inlineStr">
        <is>
          <t>NULL</t>
        </is>
      </c>
      <c r="H414" t="inlineStr">
        <is>
          <t>NULL</t>
        </is>
      </c>
      <c r="I414" t="inlineStr">
        <is>
          <t>NULL</t>
        </is>
      </c>
      <c r="J414" t="inlineStr">
        <is>
          <t>NULL</t>
        </is>
      </c>
      <c r="K414" t="inlineStr">
        <is>
          <t xml:space="preserve"> NO!  	 c_dt2_0列源备映射错误，源端为datetime2 None位	期望更改为text	实际备端为datetime2 None位</t>
        </is>
      </c>
    </row>
    <row r="415">
      <c r="B415" t="inlineStr">
        <is>
          <t>NULL</t>
        </is>
      </c>
      <c r="C415" t="inlineStr">
        <is>
          <t>NULL</t>
        </is>
      </c>
      <c r="D415" t="inlineStr">
        <is>
          <t>NULL</t>
        </is>
      </c>
      <c r="E415" t="inlineStr">
        <is>
          <t>NULL</t>
        </is>
      </c>
      <c r="F415" t="inlineStr">
        <is>
          <t>NULL</t>
        </is>
      </c>
      <c r="G415" t="inlineStr">
        <is>
          <t>NULL</t>
        </is>
      </c>
      <c r="H415" t="inlineStr">
        <is>
          <t>NULL</t>
        </is>
      </c>
      <c r="I415" t="inlineStr">
        <is>
          <t>NULL</t>
        </is>
      </c>
      <c r="J415" t="inlineStr">
        <is>
          <t>NULL</t>
        </is>
      </c>
      <c r="K415" t="inlineStr">
        <is>
          <t xml:space="preserve"> NO!  	 c_dt2_1列源备映射错误，源端为datetime2 None位	期望更改为text	实际备端为datetime2 None位</t>
        </is>
      </c>
    </row>
    <row r="416">
      <c r="B416" t="inlineStr">
        <is>
          <t>NULL</t>
        </is>
      </c>
      <c r="C416" t="inlineStr">
        <is>
          <t>NULL</t>
        </is>
      </c>
      <c r="D416" t="inlineStr">
        <is>
          <t>NULL</t>
        </is>
      </c>
      <c r="E416" t="inlineStr">
        <is>
          <t>NULL</t>
        </is>
      </c>
      <c r="F416" t="inlineStr">
        <is>
          <t>NULL</t>
        </is>
      </c>
      <c r="G416" t="inlineStr">
        <is>
          <t>NULL</t>
        </is>
      </c>
      <c r="H416" t="inlineStr">
        <is>
          <t>NULL</t>
        </is>
      </c>
      <c r="I416" t="inlineStr">
        <is>
          <t>NULL</t>
        </is>
      </c>
      <c r="J416" t="inlineStr">
        <is>
          <t>NULL</t>
        </is>
      </c>
      <c r="K416" t="inlineStr">
        <is>
          <t xml:space="preserve"> NO!  	 c_dt2_2列源备映射错误，源端为datetime2 None位	期望更改为text	实际备端为datetime2 None位</t>
        </is>
      </c>
    </row>
    <row r="417">
      <c r="B417" t="inlineStr">
        <is>
          <t>NULL</t>
        </is>
      </c>
      <c r="C417" t="inlineStr">
        <is>
          <t>NULL</t>
        </is>
      </c>
      <c r="D417" t="inlineStr">
        <is>
          <t>NULL</t>
        </is>
      </c>
      <c r="E417" t="inlineStr">
        <is>
          <t>NULL</t>
        </is>
      </c>
      <c r="F417" t="inlineStr">
        <is>
          <t>NULL</t>
        </is>
      </c>
      <c r="G417" t="inlineStr">
        <is>
          <t>NULL</t>
        </is>
      </c>
      <c r="H417" t="inlineStr">
        <is>
          <t>NULL</t>
        </is>
      </c>
      <c r="I417" t="inlineStr">
        <is>
          <t>NULL</t>
        </is>
      </c>
      <c r="J417" t="inlineStr">
        <is>
          <t>NULL</t>
        </is>
      </c>
      <c r="K417" t="inlineStr">
        <is>
          <t xml:space="preserve"> NO!  	 c_dt2_3列源备映射错误，源端为datetime2 None位	期望更改为text	实际备端为datetime2 None位</t>
        </is>
      </c>
    </row>
    <row r="418">
      <c r="B418" t="inlineStr">
        <is>
          <t>NULL</t>
        </is>
      </c>
      <c r="C418" t="inlineStr">
        <is>
          <t>NULL</t>
        </is>
      </c>
      <c r="D418" t="inlineStr">
        <is>
          <t>NULL</t>
        </is>
      </c>
      <c r="E418" t="inlineStr">
        <is>
          <t>NULL</t>
        </is>
      </c>
      <c r="F418" t="inlineStr">
        <is>
          <t>NULL</t>
        </is>
      </c>
      <c r="G418" t="inlineStr">
        <is>
          <t>NULL</t>
        </is>
      </c>
      <c r="H418" t="inlineStr">
        <is>
          <t>NULL</t>
        </is>
      </c>
      <c r="I418" t="inlineStr">
        <is>
          <t>NULL</t>
        </is>
      </c>
      <c r="J418" t="inlineStr">
        <is>
          <t>NULL</t>
        </is>
      </c>
      <c r="K418" t="inlineStr">
        <is>
          <t xml:space="preserve"> NO!  	 c_dt2_4列源备映射错误，源端为datetime2 None位	期望更改为text	实际备端为datetime2 None位</t>
        </is>
      </c>
    </row>
    <row r="419">
      <c r="B419" t="inlineStr">
        <is>
          <t>NULL</t>
        </is>
      </c>
      <c r="C419" t="inlineStr">
        <is>
          <t>NULL</t>
        </is>
      </c>
      <c r="D419" t="inlineStr">
        <is>
          <t>NULL</t>
        </is>
      </c>
      <c r="E419" t="inlineStr">
        <is>
          <t>NULL</t>
        </is>
      </c>
      <c r="F419" t="inlineStr">
        <is>
          <t>NULL</t>
        </is>
      </c>
      <c r="G419" t="inlineStr">
        <is>
          <t>NULL</t>
        </is>
      </c>
      <c r="H419" t="inlineStr">
        <is>
          <t>NULL</t>
        </is>
      </c>
      <c r="I419" t="inlineStr">
        <is>
          <t>NULL</t>
        </is>
      </c>
      <c r="J419" t="inlineStr">
        <is>
          <t>NULL</t>
        </is>
      </c>
      <c r="K419" t="inlineStr">
        <is>
          <t xml:space="preserve"> NO!  	 c_dt2_5列源备映射错误，源端为datetime2 None位	期望更改为text	实际备端为datetime2 None位</t>
        </is>
      </c>
    </row>
    <row r="420">
      <c r="B420" t="inlineStr">
        <is>
          <t>NULL</t>
        </is>
      </c>
      <c r="C420" t="inlineStr">
        <is>
          <t>NULL</t>
        </is>
      </c>
      <c r="D420" t="inlineStr">
        <is>
          <t>NULL</t>
        </is>
      </c>
      <c r="E420" t="inlineStr">
        <is>
          <t>NULL</t>
        </is>
      </c>
      <c r="F420" t="inlineStr">
        <is>
          <t>NULL</t>
        </is>
      </c>
      <c r="G420" t="inlineStr">
        <is>
          <t>NULL</t>
        </is>
      </c>
      <c r="H420" t="inlineStr">
        <is>
          <t>NULL</t>
        </is>
      </c>
      <c r="I420" t="inlineStr">
        <is>
          <t>NULL</t>
        </is>
      </c>
      <c r="J420" t="inlineStr">
        <is>
          <t>NULL</t>
        </is>
      </c>
      <c r="K420" t="inlineStr">
        <is>
          <t xml:space="preserve"> NO!  	 c_dt2_6列源备映射错误，源端为datetime2 None位	期望更改为text	实际备端为datetime2 None位</t>
        </is>
      </c>
    </row>
    <row r="421">
      <c r="B421" t="inlineStr">
        <is>
          <t>NULL</t>
        </is>
      </c>
      <c r="C421" t="inlineStr">
        <is>
          <t>NULL</t>
        </is>
      </c>
      <c r="D421" t="inlineStr">
        <is>
          <t>NULL</t>
        </is>
      </c>
      <c r="E421" t="inlineStr">
        <is>
          <t>NULL</t>
        </is>
      </c>
      <c r="F421" t="inlineStr">
        <is>
          <t>NULL</t>
        </is>
      </c>
      <c r="G421" t="inlineStr">
        <is>
          <t>NULL</t>
        </is>
      </c>
      <c r="H421" t="inlineStr">
        <is>
          <t>NULL</t>
        </is>
      </c>
      <c r="I421" t="inlineStr">
        <is>
          <t>NULL</t>
        </is>
      </c>
      <c r="J421" t="inlineStr">
        <is>
          <t>NULL</t>
        </is>
      </c>
      <c r="K421" t="inlineStr">
        <is>
          <t xml:space="preserve"> NO!  	 c_dt2列源备映射错误，源端为datetime2 None位	期望更改为text	实际备端为datetime2 None位</t>
        </is>
      </c>
    </row>
    <row r="422">
      <c r="K422" t="inlineStr">
        <is>
          <t>~ 空表</t>
        </is>
      </c>
    </row>
    <row r="423">
      <c r="A423" t="inlineStr">
        <is>
          <t>info_nvarchar_dml_single_pk_irp</t>
        </is>
      </c>
      <c r="K423" t="inlineStr">
        <is>
          <t>[0;34m info_nvarchar_dml_single_pk_irp [0m源备字段数相同，源端字段：4 	备端字段4</t>
        </is>
      </c>
      <c r="W423" s="17">
        <f>HYPERLINK("#2026041919hbase0!BJ2","NO 源备存在差异，共15个")</f>
        <v/>
      </c>
      <c r="X423">
        <f>A423</f>
        <v/>
      </c>
    </row>
    <row r="424">
      <c r="B424" t="inlineStr">
        <is>
          <t>YES</t>
        </is>
      </c>
      <c r="C424" t="inlineStr">
        <is>
          <t>NULL</t>
        </is>
      </c>
      <c r="D424" t="inlineStr">
        <is>
          <t>NULL</t>
        </is>
      </c>
      <c r="E424" t="inlineStr">
        <is>
          <t>NULL</t>
        </is>
      </c>
      <c r="F424" t="inlineStr">
        <is>
          <t>NULL</t>
        </is>
      </c>
      <c r="G424" t="inlineStr">
        <is>
          <t>NULL</t>
        </is>
      </c>
      <c r="H424" t="inlineStr">
        <is>
          <t>NULL</t>
        </is>
      </c>
      <c r="I424" t="inlineStr">
        <is>
          <t>YES!PK__info_nva__3213E83F6EB800C0</t>
        </is>
      </c>
      <c r="J424" t="inlineStr">
        <is>
          <t>YES! 主键相关索引</t>
        </is>
      </c>
      <c r="K424" t="inlineStr">
        <is>
          <t xml:space="preserve"> NO!  	 id列源备映射错误，源端为int None位	期望更改为text	实际备端为int None位</t>
        </is>
      </c>
    </row>
    <row r="425">
      <c r="B425" t="inlineStr">
        <is>
          <t>NULL</t>
        </is>
      </c>
      <c r="C425" t="inlineStr">
        <is>
          <t>NULL</t>
        </is>
      </c>
      <c r="D425" t="inlineStr">
        <is>
          <t>NULL</t>
        </is>
      </c>
      <c r="E425" t="inlineStr">
        <is>
          <t>NULL</t>
        </is>
      </c>
      <c r="F425" t="inlineStr">
        <is>
          <t>NULL</t>
        </is>
      </c>
      <c r="G425" t="inlineStr">
        <is>
          <t>NULL</t>
        </is>
      </c>
      <c r="H425" t="inlineStr">
        <is>
          <t>NULL</t>
        </is>
      </c>
      <c r="I425" t="inlineStr">
        <is>
          <t>NULL</t>
        </is>
      </c>
      <c r="J425" t="inlineStr">
        <is>
          <t>NULL</t>
        </is>
      </c>
      <c r="K425" t="inlineStr">
        <is>
          <t xml:space="preserve"> NO!  	 c_nvarchar列源备映射错误，源端为nvarchar 2位	期望更改为text	实际备端为nvarchar 2位</t>
        </is>
      </c>
    </row>
    <row r="426">
      <c r="B426" t="inlineStr">
        <is>
          <t>NULL</t>
        </is>
      </c>
      <c r="C426" t="inlineStr">
        <is>
          <t>NULL</t>
        </is>
      </c>
      <c r="D426" t="inlineStr">
        <is>
          <t>NULL</t>
        </is>
      </c>
      <c r="E426" t="inlineStr">
        <is>
          <t>NULL</t>
        </is>
      </c>
      <c r="F426" t="inlineStr">
        <is>
          <t>NULL</t>
        </is>
      </c>
      <c r="G426" t="inlineStr">
        <is>
          <t>NULL</t>
        </is>
      </c>
      <c r="H426" t="inlineStr">
        <is>
          <t>NULL</t>
        </is>
      </c>
      <c r="I426" t="inlineStr">
        <is>
          <t>NULL</t>
        </is>
      </c>
      <c r="J426" t="inlineStr">
        <is>
          <t>NULL</t>
        </is>
      </c>
      <c r="K426" t="inlineStr">
        <is>
          <t xml:space="preserve"> NO!  	 c_nvarchar20列源备映射错误，源端为nvarchar 40位	期望更改为text	实际备端为nvarchar 40位</t>
        </is>
      </c>
    </row>
    <row r="427">
      <c r="B427" t="inlineStr">
        <is>
          <t>NULL</t>
        </is>
      </c>
      <c r="C427" t="inlineStr">
        <is>
          <t>NULL</t>
        </is>
      </c>
      <c r="D427" t="inlineStr">
        <is>
          <t>NULL</t>
        </is>
      </c>
      <c r="E427" t="inlineStr">
        <is>
          <t>NULL</t>
        </is>
      </c>
      <c r="F427" t="inlineStr">
        <is>
          <t>NULL</t>
        </is>
      </c>
      <c r="G427" t="inlineStr">
        <is>
          <t>NULL</t>
        </is>
      </c>
      <c r="H427" t="inlineStr">
        <is>
          <t>NULL</t>
        </is>
      </c>
      <c r="I427" t="inlineStr">
        <is>
          <t>NULL</t>
        </is>
      </c>
      <c r="J427" t="inlineStr">
        <is>
          <t>NULL</t>
        </is>
      </c>
      <c r="K427" t="inlineStr">
        <is>
          <t xml:space="preserve"> NO!  	 c_nvarchar4000列源备映射错误，源端为nvarchar 8000位	期望更改为text	实际备端为nvarchar 8000位</t>
        </is>
      </c>
    </row>
    <row r="428">
      <c r="A428" t="inlineStr">
        <is>
          <t>info_varcharmax_dml_batch1_pk_irp2</t>
        </is>
      </c>
      <c r="K428" t="inlineStr">
        <is>
          <t>[0;34m info_varcharmax_dml_batch1_pk_irp2 [0m源备字段数相同，源端字段：3 	备端字段3</t>
        </is>
      </c>
      <c r="W428" t="inlineStr">
        <is>
          <t>YES 源备无差异</t>
        </is>
      </c>
      <c r="X428">
        <f>A428</f>
        <v/>
      </c>
    </row>
    <row r="429">
      <c r="B429" t="inlineStr">
        <is>
          <t>YES</t>
        </is>
      </c>
      <c r="C429" t="inlineStr">
        <is>
          <t>NULL</t>
        </is>
      </c>
      <c r="D429" t="inlineStr">
        <is>
          <t>NULL</t>
        </is>
      </c>
      <c r="E429" t="inlineStr">
        <is>
          <t>NULL</t>
        </is>
      </c>
      <c r="F429" t="inlineStr">
        <is>
          <t>NULL</t>
        </is>
      </c>
      <c r="G429" t="inlineStr">
        <is>
          <t>NULL</t>
        </is>
      </c>
      <c r="H429" t="inlineStr">
        <is>
          <t>NULL</t>
        </is>
      </c>
      <c r="I429" t="inlineStr">
        <is>
          <t>YES!PK__info_var__3213E83F58E105F6</t>
        </is>
      </c>
      <c r="J429" t="inlineStr">
        <is>
          <t>YES! 主键相关索引</t>
        </is>
      </c>
      <c r="K429" t="inlineStr">
        <is>
          <t xml:space="preserve"> NO!  	 id列源备映射错误，源端为int None位	期望更改为text	实际备端为int None位</t>
        </is>
      </c>
    </row>
    <row r="430">
      <c r="B430" t="inlineStr">
        <is>
          <t>NULL</t>
        </is>
      </c>
      <c r="C430" t="inlineStr">
        <is>
          <t>NULL</t>
        </is>
      </c>
      <c r="D430" t="inlineStr">
        <is>
          <t>NULL</t>
        </is>
      </c>
      <c r="E430" t="inlineStr">
        <is>
          <t>NULL</t>
        </is>
      </c>
      <c r="F430" t="inlineStr">
        <is>
          <t>NULL</t>
        </is>
      </c>
      <c r="G430" t="inlineStr">
        <is>
          <t>NULL</t>
        </is>
      </c>
      <c r="H430" t="inlineStr">
        <is>
          <t>NULL</t>
        </is>
      </c>
      <c r="I430" t="inlineStr">
        <is>
          <t>NULL</t>
        </is>
      </c>
      <c r="J430" t="inlineStr">
        <is>
          <t>NULL</t>
        </is>
      </c>
      <c r="K430" t="inlineStr">
        <is>
          <t xml:space="preserve"> NO!  	 c_varchar_max列源备映射错误，源端为varchar -1位	期望更改为text	实际备端为varchar -1位</t>
        </is>
      </c>
    </row>
    <row r="431">
      <c r="B431" t="inlineStr">
        <is>
          <t>NULL</t>
        </is>
      </c>
      <c r="C431" t="inlineStr">
        <is>
          <t>NULL</t>
        </is>
      </c>
      <c r="D431" t="inlineStr">
        <is>
          <t>NULL</t>
        </is>
      </c>
      <c r="E431" t="inlineStr">
        <is>
          <t>NULL</t>
        </is>
      </c>
      <c r="F431" t="inlineStr">
        <is>
          <t>NULL</t>
        </is>
      </c>
      <c r="G431" t="inlineStr">
        <is>
          <t>NULL</t>
        </is>
      </c>
      <c r="H431" t="inlineStr">
        <is>
          <t>NULL</t>
        </is>
      </c>
      <c r="I431" t="inlineStr">
        <is>
          <t>NULL</t>
        </is>
      </c>
      <c r="J431" t="inlineStr">
        <is>
          <t>NULL</t>
        </is>
      </c>
      <c r="K431" t="inlineStr">
        <is>
          <t xml:space="preserve"> NO!  	 c_nvarchar_max列源备映射错误，源端为nvarchar -1位	期望更改为text	实际备端为nvarchar -1位</t>
        </is>
      </c>
    </row>
    <row r="432">
      <c r="K432" t="inlineStr">
        <is>
          <t>~ 空表</t>
        </is>
      </c>
    </row>
    <row r="433">
      <c r="A433" t="inlineStr">
        <is>
          <t>info_binary_dml_batch1_pk_irp2</t>
        </is>
      </c>
      <c r="K433" t="inlineStr">
        <is>
          <t>[0;34m info_binary_dml_batch1_pk_irp2 [0m源备字段数相同，源端字段：4 	备端字段4</t>
        </is>
      </c>
      <c r="W433" s="17">
        <f>HYPERLINK("#2026041919hbase0!BK2","NO 源备存在差异，共33个")</f>
        <v/>
      </c>
      <c r="X433">
        <f>A433</f>
        <v/>
      </c>
    </row>
    <row r="434">
      <c r="B434" t="inlineStr">
        <is>
          <t>YES</t>
        </is>
      </c>
      <c r="C434" t="inlineStr">
        <is>
          <t>NULL</t>
        </is>
      </c>
      <c r="D434" t="inlineStr">
        <is>
          <t>NULL</t>
        </is>
      </c>
      <c r="E434" t="inlineStr">
        <is>
          <t>NULL</t>
        </is>
      </c>
      <c r="F434" t="inlineStr">
        <is>
          <t>NULL</t>
        </is>
      </c>
      <c r="G434" t="inlineStr">
        <is>
          <t>NULL</t>
        </is>
      </c>
      <c r="H434" t="inlineStr">
        <is>
          <t>NULL</t>
        </is>
      </c>
      <c r="I434" t="inlineStr">
        <is>
          <t>YES!PK__info_bin__3213E83F938B2C51</t>
        </is>
      </c>
      <c r="J434" t="inlineStr">
        <is>
          <t>YES! 主键相关索引</t>
        </is>
      </c>
      <c r="K434" t="inlineStr">
        <is>
          <t xml:space="preserve"> NO!  	 id列源备映射错误，源端为int None位	期望更改为text	实际备端为int None位</t>
        </is>
      </c>
    </row>
    <row r="435">
      <c r="B435" t="inlineStr">
        <is>
          <t>NULL</t>
        </is>
      </c>
      <c r="C435" t="inlineStr">
        <is>
          <t>NULL</t>
        </is>
      </c>
      <c r="D435" t="inlineStr">
        <is>
          <t>NULL</t>
        </is>
      </c>
      <c r="E435" t="inlineStr">
        <is>
          <t>NULL</t>
        </is>
      </c>
      <c r="F435" t="inlineStr">
        <is>
          <t>NULL</t>
        </is>
      </c>
      <c r="G435" t="inlineStr">
        <is>
          <t>NULL</t>
        </is>
      </c>
      <c r="H435" t="inlineStr">
        <is>
          <t>NULL</t>
        </is>
      </c>
      <c r="I435" t="inlineStr">
        <is>
          <t>NULL</t>
        </is>
      </c>
      <c r="J435" t="inlineStr">
        <is>
          <t>NULL</t>
        </is>
      </c>
      <c r="K435" t="inlineStr">
        <is>
          <t xml:space="preserve"> NO!  	 c_binary列源备映射错误，源端为binary 1位	期望更改为text	实际备端为binary 1位</t>
        </is>
      </c>
    </row>
    <row r="436">
      <c r="B436" t="inlineStr">
        <is>
          <t>NULL</t>
        </is>
      </c>
      <c r="C436" t="inlineStr">
        <is>
          <t>NULL</t>
        </is>
      </c>
      <c r="D436" t="inlineStr">
        <is>
          <t>NULL</t>
        </is>
      </c>
      <c r="E436" t="inlineStr">
        <is>
          <t>NULL</t>
        </is>
      </c>
      <c r="F436" t="inlineStr">
        <is>
          <t>NULL</t>
        </is>
      </c>
      <c r="G436" t="inlineStr">
        <is>
          <t>NULL</t>
        </is>
      </c>
      <c r="H436" t="inlineStr">
        <is>
          <t>NULL</t>
        </is>
      </c>
      <c r="I436" t="inlineStr">
        <is>
          <t>NULL</t>
        </is>
      </c>
      <c r="J436" t="inlineStr">
        <is>
          <t>NULL</t>
        </is>
      </c>
      <c r="K436" t="inlineStr">
        <is>
          <t xml:space="preserve"> NO!  	 c_binary_20列源备映射错误，源端为binary 20位	期望更改为text	实际备端为binary 20位</t>
        </is>
      </c>
    </row>
    <row r="437">
      <c r="B437" t="inlineStr">
        <is>
          <t>NULL</t>
        </is>
      </c>
      <c r="C437" t="inlineStr">
        <is>
          <t>NULL</t>
        </is>
      </c>
      <c r="D437" t="inlineStr">
        <is>
          <t>NULL</t>
        </is>
      </c>
      <c r="E437" t="inlineStr">
        <is>
          <t>NULL</t>
        </is>
      </c>
      <c r="F437" t="inlineStr">
        <is>
          <t>NULL</t>
        </is>
      </c>
      <c r="G437" t="inlineStr">
        <is>
          <t>NULL</t>
        </is>
      </c>
      <c r="H437" t="inlineStr">
        <is>
          <t>NULL</t>
        </is>
      </c>
      <c r="I437" t="inlineStr">
        <is>
          <t>NULL</t>
        </is>
      </c>
      <c r="J437" t="inlineStr">
        <is>
          <t>NULL</t>
        </is>
      </c>
      <c r="K437" t="inlineStr">
        <is>
          <t xml:space="preserve"> NO!  	 c_binary_200列源备映射错误，源端为binary 200位	期望更改为text	实际备端为binary 200位</t>
        </is>
      </c>
    </row>
    <row r="438">
      <c r="A438" t="inlineStr">
        <is>
          <t>info_datetime2_dml_batch1_pk_drp2</t>
        </is>
      </c>
      <c r="K438" t="inlineStr">
        <is>
          <t>[0;34m info_datetime2_dml_batch1_pk_drp2 [0m源备字段数相同，源端字段：9 	备端字段9</t>
        </is>
      </c>
      <c r="W438" s="17">
        <f>HYPERLINK("#2026041919hbase0!BL2","NO 源备存在差异，共1个")</f>
        <v/>
      </c>
      <c r="X438">
        <f>A438</f>
        <v/>
      </c>
    </row>
    <row r="439">
      <c r="B439" t="inlineStr">
        <is>
          <t>YES</t>
        </is>
      </c>
      <c r="C439" t="inlineStr">
        <is>
          <t>NULL</t>
        </is>
      </c>
      <c r="D439" t="inlineStr">
        <is>
          <t>NULL</t>
        </is>
      </c>
      <c r="E439" t="inlineStr">
        <is>
          <t>NULL</t>
        </is>
      </c>
      <c r="F439" t="inlineStr">
        <is>
          <t>NULL</t>
        </is>
      </c>
      <c r="G439" t="inlineStr">
        <is>
          <t>NULL</t>
        </is>
      </c>
      <c r="H439" t="inlineStr">
        <is>
          <t>NULL</t>
        </is>
      </c>
      <c r="I439" t="inlineStr">
        <is>
          <t>YES!PK__info_dat__3213E83F07F2CC25</t>
        </is>
      </c>
      <c r="J439" t="inlineStr">
        <is>
          <t>YES! 主键相关索引</t>
        </is>
      </c>
      <c r="K439" t="inlineStr">
        <is>
          <t xml:space="preserve"> NO!  	 id列源备映射错误，源端为int None位	期望更改为text	实际备端为int None位</t>
        </is>
      </c>
    </row>
    <row r="440">
      <c r="B440" t="inlineStr">
        <is>
          <t>NULL</t>
        </is>
      </c>
      <c r="C440" t="inlineStr">
        <is>
          <t>NULL</t>
        </is>
      </c>
      <c r="D440" t="inlineStr">
        <is>
          <t>NULL</t>
        </is>
      </c>
      <c r="E440" t="inlineStr">
        <is>
          <t>NULL</t>
        </is>
      </c>
      <c r="F440" t="inlineStr">
        <is>
          <t>NULL</t>
        </is>
      </c>
      <c r="G440" t="inlineStr">
        <is>
          <t>NULL</t>
        </is>
      </c>
      <c r="H440" t="inlineStr">
        <is>
          <t>NULL</t>
        </is>
      </c>
      <c r="I440" t="inlineStr">
        <is>
          <t>NULL</t>
        </is>
      </c>
      <c r="J440" t="inlineStr">
        <is>
          <t>NULL</t>
        </is>
      </c>
      <c r="K440" t="inlineStr">
        <is>
          <t xml:space="preserve"> NO!  	 c_dt2_0列源备映射错误，源端为datetime2 None位	期望更改为text	实际备端为datetime2 None位</t>
        </is>
      </c>
    </row>
    <row r="441">
      <c r="B441" t="inlineStr">
        <is>
          <t>NULL</t>
        </is>
      </c>
      <c r="C441" t="inlineStr">
        <is>
          <t>NULL</t>
        </is>
      </c>
      <c r="D441" t="inlineStr">
        <is>
          <t>NULL</t>
        </is>
      </c>
      <c r="E441" t="inlineStr">
        <is>
          <t>NULL</t>
        </is>
      </c>
      <c r="F441" t="inlineStr">
        <is>
          <t>NULL</t>
        </is>
      </c>
      <c r="G441" t="inlineStr">
        <is>
          <t>NULL</t>
        </is>
      </c>
      <c r="H441" t="inlineStr">
        <is>
          <t>NULL</t>
        </is>
      </c>
      <c r="I441" t="inlineStr">
        <is>
          <t>NULL</t>
        </is>
      </c>
      <c r="J441" t="inlineStr">
        <is>
          <t>NULL</t>
        </is>
      </c>
      <c r="K441" t="inlineStr">
        <is>
          <t xml:space="preserve"> NO!  	 c_dt2_1列源备映射错误，源端为datetime2 None位	期望更改为text	实际备端为datetime2 None位</t>
        </is>
      </c>
    </row>
    <row r="442">
      <c r="B442" t="inlineStr">
        <is>
          <t>NULL</t>
        </is>
      </c>
      <c r="C442" t="inlineStr">
        <is>
          <t>NULL</t>
        </is>
      </c>
      <c r="D442" t="inlineStr">
        <is>
          <t>NULL</t>
        </is>
      </c>
      <c r="E442" t="inlineStr">
        <is>
          <t>NULL</t>
        </is>
      </c>
      <c r="F442" t="inlineStr">
        <is>
          <t>NULL</t>
        </is>
      </c>
      <c r="G442" t="inlineStr">
        <is>
          <t>NULL</t>
        </is>
      </c>
      <c r="H442" t="inlineStr">
        <is>
          <t>NULL</t>
        </is>
      </c>
      <c r="I442" t="inlineStr">
        <is>
          <t>NULL</t>
        </is>
      </c>
      <c r="J442" t="inlineStr">
        <is>
          <t>NULL</t>
        </is>
      </c>
      <c r="K442" t="inlineStr">
        <is>
          <t xml:space="preserve"> NO!  	 c_dt2_2列源备映射错误，源端为datetime2 None位	期望更改为text	实际备端为datetime2 None位</t>
        </is>
      </c>
    </row>
    <row r="443">
      <c r="B443" t="inlineStr">
        <is>
          <t>NULL</t>
        </is>
      </c>
      <c r="C443" t="inlineStr">
        <is>
          <t>NULL</t>
        </is>
      </c>
      <c r="D443" t="inlineStr">
        <is>
          <t>NULL</t>
        </is>
      </c>
      <c r="E443" t="inlineStr">
        <is>
          <t>NULL</t>
        </is>
      </c>
      <c r="F443" t="inlineStr">
        <is>
          <t>NULL</t>
        </is>
      </c>
      <c r="G443" t="inlineStr">
        <is>
          <t>NULL</t>
        </is>
      </c>
      <c r="H443" t="inlineStr">
        <is>
          <t>NULL</t>
        </is>
      </c>
      <c r="I443" t="inlineStr">
        <is>
          <t>NULL</t>
        </is>
      </c>
      <c r="J443" t="inlineStr">
        <is>
          <t>NULL</t>
        </is>
      </c>
      <c r="K443" t="inlineStr">
        <is>
          <t xml:space="preserve"> NO!  	 c_dt2_3列源备映射错误，源端为datetime2 None位	期望更改为text	实际备端为datetime2 None位</t>
        </is>
      </c>
    </row>
    <row r="444">
      <c r="B444" t="inlineStr">
        <is>
          <t>NULL</t>
        </is>
      </c>
      <c r="C444" t="inlineStr">
        <is>
          <t>NULL</t>
        </is>
      </c>
      <c r="D444" t="inlineStr">
        <is>
          <t>NULL</t>
        </is>
      </c>
      <c r="E444" t="inlineStr">
        <is>
          <t>NULL</t>
        </is>
      </c>
      <c r="F444" t="inlineStr">
        <is>
          <t>NULL</t>
        </is>
      </c>
      <c r="G444" t="inlineStr">
        <is>
          <t>NULL</t>
        </is>
      </c>
      <c r="H444" t="inlineStr">
        <is>
          <t>NULL</t>
        </is>
      </c>
      <c r="I444" t="inlineStr">
        <is>
          <t>NULL</t>
        </is>
      </c>
      <c r="J444" t="inlineStr">
        <is>
          <t>NULL</t>
        </is>
      </c>
      <c r="K444" t="inlineStr">
        <is>
          <t xml:space="preserve"> NO!  	 c_dt2_4列源备映射错误，源端为datetime2 None位	期望更改为text	实际备端为datetime2 None位</t>
        </is>
      </c>
    </row>
    <row r="445">
      <c r="B445" t="inlineStr">
        <is>
          <t>NULL</t>
        </is>
      </c>
      <c r="C445" t="inlineStr">
        <is>
          <t>NULL</t>
        </is>
      </c>
      <c r="D445" t="inlineStr">
        <is>
          <t>NULL</t>
        </is>
      </c>
      <c r="E445" t="inlineStr">
        <is>
          <t>NULL</t>
        </is>
      </c>
      <c r="F445" t="inlineStr">
        <is>
          <t>NULL</t>
        </is>
      </c>
      <c r="G445" t="inlineStr">
        <is>
          <t>NULL</t>
        </is>
      </c>
      <c r="H445" t="inlineStr">
        <is>
          <t>NULL</t>
        </is>
      </c>
      <c r="I445" t="inlineStr">
        <is>
          <t>NULL</t>
        </is>
      </c>
      <c r="J445" t="inlineStr">
        <is>
          <t>NULL</t>
        </is>
      </c>
      <c r="K445" t="inlineStr">
        <is>
          <t xml:space="preserve"> NO!  	 c_dt2_5列源备映射错误，源端为datetime2 None位	期望更改为text	实际备端为datetime2 None位</t>
        </is>
      </c>
    </row>
    <row r="446">
      <c r="B446" t="inlineStr">
        <is>
          <t>NULL</t>
        </is>
      </c>
      <c r="C446" t="inlineStr">
        <is>
          <t>NULL</t>
        </is>
      </c>
      <c r="D446" t="inlineStr">
        <is>
          <t>NULL</t>
        </is>
      </c>
      <c r="E446" t="inlineStr">
        <is>
          <t>NULL</t>
        </is>
      </c>
      <c r="F446" t="inlineStr">
        <is>
          <t>NULL</t>
        </is>
      </c>
      <c r="G446" t="inlineStr">
        <is>
          <t>NULL</t>
        </is>
      </c>
      <c r="H446" t="inlineStr">
        <is>
          <t>NULL</t>
        </is>
      </c>
      <c r="I446" t="inlineStr">
        <is>
          <t>NULL</t>
        </is>
      </c>
      <c r="J446" t="inlineStr">
        <is>
          <t>NULL</t>
        </is>
      </c>
      <c r="K446" t="inlineStr">
        <is>
          <t xml:space="preserve"> NO!  	 c_dt2_6列源备映射错误，源端为datetime2 None位	期望更改为text	实际备端为datetime2 None位</t>
        </is>
      </c>
    </row>
    <row r="447">
      <c r="B447" t="inlineStr">
        <is>
          <t>NULL</t>
        </is>
      </c>
      <c r="C447" t="inlineStr">
        <is>
          <t>NULL</t>
        </is>
      </c>
      <c r="D447" t="inlineStr">
        <is>
          <t>NULL</t>
        </is>
      </c>
      <c r="E447" t="inlineStr">
        <is>
          <t>NULL</t>
        </is>
      </c>
      <c r="F447" t="inlineStr">
        <is>
          <t>NULL</t>
        </is>
      </c>
      <c r="G447" t="inlineStr">
        <is>
          <t>NULL</t>
        </is>
      </c>
      <c r="H447" t="inlineStr">
        <is>
          <t>NULL</t>
        </is>
      </c>
      <c r="I447" t="inlineStr">
        <is>
          <t>NULL</t>
        </is>
      </c>
      <c r="J447" t="inlineStr">
        <is>
          <t>NULL</t>
        </is>
      </c>
      <c r="K447" t="inlineStr">
        <is>
          <t xml:space="preserve"> NO!  	 c_dt2列源备映射错误，源端为datetime2 None位	期望更改为text	实际备端为datetime2 None位</t>
        </is>
      </c>
    </row>
    <row r="448">
      <c r="A448" t="inlineStr">
        <is>
          <t>info_hierarchyid_dml_single_pk_urp</t>
        </is>
      </c>
      <c r="K448" t="inlineStr">
        <is>
          <t>[0;34m info_hierarchyid_dml_single_pk_urp [0m源备字段数相同，源端字段：2 	备端字段2</t>
        </is>
      </c>
      <c r="W448" t="inlineStr">
        <is>
          <t>YES 源备无差异</t>
        </is>
      </c>
      <c r="X448">
        <f>A448</f>
        <v/>
      </c>
    </row>
    <row r="449">
      <c r="B449" t="inlineStr">
        <is>
          <t>YES</t>
        </is>
      </c>
      <c r="C449" t="inlineStr">
        <is>
          <t>NULL</t>
        </is>
      </c>
      <c r="D449" t="inlineStr">
        <is>
          <t>NULL</t>
        </is>
      </c>
      <c r="E449" t="inlineStr">
        <is>
          <t>NULL</t>
        </is>
      </c>
      <c r="F449" t="inlineStr">
        <is>
          <t>NULL</t>
        </is>
      </c>
      <c r="G449" t="inlineStr">
        <is>
          <t>NULL</t>
        </is>
      </c>
      <c r="H449" t="inlineStr">
        <is>
          <t>NULL</t>
        </is>
      </c>
      <c r="I449" t="inlineStr">
        <is>
          <t>YES!PK__info_hie__3213E83FE5960993</t>
        </is>
      </c>
      <c r="J449" t="inlineStr">
        <is>
          <t>YES! 主键相关索引</t>
        </is>
      </c>
      <c r="K449" t="inlineStr">
        <is>
          <t xml:space="preserve"> NO!  	 id列源备映射错误，源端为int None位	期望更改为text	实际备端为int None位</t>
        </is>
      </c>
    </row>
    <row r="450">
      <c r="B450" t="inlineStr">
        <is>
          <t>NULL</t>
        </is>
      </c>
      <c r="C450" t="inlineStr">
        <is>
          <t>NULL</t>
        </is>
      </c>
      <c r="D450" t="inlineStr">
        <is>
          <t>NULL</t>
        </is>
      </c>
      <c r="E450" t="inlineStr">
        <is>
          <t>NULL</t>
        </is>
      </c>
      <c r="F450" t="inlineStr">
        <is>
          <t>NULL</t>
        </is>
      </c>
      <c r="G450" t="inlineStr">
        <is>
          <t>NULL</t>
        </is>
      </c>
      <c r="H450" t="inlineStr">
        <is>
          <t>NULL</t>
        </is>
      </c>
      <c r="I450" t="inlineStr">
        <is>
          <t>NULL</t>
        </is>
      </c>
      <c r="J450" t="inlineStr">
        <is>
          <t>NULL</t>
        </is>
      </c>
      <c r="K450" t="inlineStr">
        <is>
          <t xml:space="preserve"> NO!  	 c_hierarchyid列源备映射错误，源端为hierarchyid 892位	期望更改为text	实际备端为hierarchyid 892位</t>
        </is>
      </c>
    </row>
    <row r="451">
      <c r="A451" t="inlineStr">
        <is>
          <t>info_nvarchar_dml_single_pk_urp</t>
        </is>
      </c>
      <c r="K451" t="inlineStr">
        <is>
          <t>[0;34m info_nvarchar_dml_single_pk_urp [0m源备字段数相同，源端字段：4 	备端字段4</t>
        </is>
      </c>
      <c r="W451" s="17">
        <f>HYPERLINK("#2026041919hbase0!BM2","NO 源备存在差异，共9个")</f>
        <v/>
      </c>
      <c r="X451">
        <f>A451</f>
        <v/>
      </c>
    </row>
    <row r="452">
      <c r="B452" t="inlineStr">
        <is>
          <t>YES</t>
        </is>
      </c>
      <c r="C452" t="inlineStr">
        <is>
          <t>NULL</t>
        </is>
      </c>
      <c r="D452" t="inlineStr">
        <is>
          <t>NULL</t>
        </is>
      </c>
      <c r="E452" t="inlineStr">
        <is>
          <t>NULL</t>
        </is>
      </c>
      <c r="F452" t="inlineStr">
        <is>
          <t>NULL</t>
        </is>
      </c>
      <c r="G452" t="inlineStr">
        <is>
          <t>NULL</t>
        </is>
      </c>
      <c r="H452" t="inlineStr">
        <is>
          <t>NULL</t>
        </is>
      </c>
      <c r="I452" t="inlineStr">
        <is>
          <t>YES!PK__info_nva__3213E83FAF229797</t>
        </is>
      </c>
      <c r="J452" t="inlineStr">
        <is>
          <t>YES! 主键相关索引</t>
        </is>
      </c>
      <c r="K452" t="inlineStr">
        <is>
          <t xml:space="preserve"> NO!  	 id列源备映射错误，源端为int None位	期望更改为text	实际备端为int None位</t>
        </is>
      </c>
    </row>
    <row r="453">
      <c r="B453" t="inlineStr">
        <is>
          <t>NULL</t>
        </is>
      </c>
      <c r="C453" t="inlineStr">
        <is>
          <t>NULL</t>
        </is>
      </c>
      <c r="D453" t="inlineStr">
        <is>
          <t>NULL</t>
        </is>
      </c>
      <c r="E453" t="inlineStr">
        <is>
          <t>NULL</t>
        </is>
      </c>
      <c r="F453" t="inlineStr">
        <is>
          <t>NULL</t>
        </is>
      </c>
      <c r="G453" t="inlineStr">
        <is>
          <t>NULL</t>
        </is>
      </c>
      <c r="H453" t="inlineStr">
        <is>
          <t>NULL</t>
        </is>
      </c>
      <c r="I453" t="inlineStr">
        <is>
          <t>NULL</t>
        </is>
      </c>
      <c r="J453" t="inlineStr">
        <is>
          <t>NULL</t>
        </is>
      </c>
      <c r="K453" t="inlineStr">
        <is>
          <t xml:space="preserve"> NO!  	 c_nvarchar列源备映射错误，源端为nvarchar 2位	期望更改为text	实际备端为nvarchar 2位</t>
        </is>
      </c>
    </row>
    <row r="454">
      <c r="B454" t="inlineStr">
        <is>
          <t>NULL</t>
        </is>
      </c>
      <c r="C454" t="inlineStr">
        <is>
          <t>NULL</t>
        </is>
      </c>
      <c r="D454" t="inlineStr">
        <is>
          <t>NULL</t>
        </is>
      </c>
      <c r="E454" t="inlineStr">
        <is>
          <t>NULL</t>
        </is>
      </c>
      <c r="F454" t="inlineStr">
        <is>
          <t>NULL</t>
        </is>
      </c>
      <c r="G454" t="inlineStr">
        <is>
          <t>NULL</t>
        </is>
      </c>
      <c r="H454" t="inlineStr">
        <is>
          <t>NULL</t>
        </is>
      </c>
      <c r="I454" t="inlineStr">
        <is>
          <t>NULL</t>
        </is>
      </c>
      <c r="J454" t="inlineStr">
        <is>
          <t>NULL</t>
        </is>
      </c>
      <c r="K454" t="inlineStr">
        <is>
          <t xml:space="preserve"> NO!  	 c_nvarchar20列源备映射错误，源端为nvarchar 40位	期望更改为text	实际备端为nvarchar 40位</t>
        </is>
      </c>
    </row>
    <row r="455">
      <c r="B455" t="inlineStr">
        <is>
          <t>NULL</t>
        </is>
      </c>
      <c r="C455" t="inlineStr">
        <is>
          <t>NULL</t>
        </is>
      </c>
      <c r="D455" t="inlineStr">
        <is>
          <t>NULL</t>
        </is>
      </c>
      <c r="E455" t="inlineStr">
        <is>
          <t>NULL</t>
        </is>
      </c>
      <c r="F455" t="inlineStr">
        <is>
          <t>NULL</t>
        </is>
      </c>
      <c r="G455" t="inlineStr">
        <is>
          <t>NULL</t>
        </is>
      </c>
      <c r="H455" t="inlineStr">
        <is>
          <t>NULL</t>
        </is>
      </c>
      <c r="I455" t="inlineStr">
        <is>
          <t>NULL</t>
        </is>
      </c>
      <c r="J455" t="inlineStr">
        <is>
          <t>NULL</t>
        </is>
      </c>
      <c r="K455" t="inlineStr">
        <is>
          <t xml:space="preserve"> NO!  	 c_nvarchar4000列源备映射错误，源端为nvarchar 8000位	期望更改为text	实际备端为nvarchar 8000位</t>
        </is>
      </c>
    </row>
    <row r="456">
      <c r="A456" t="inlineStr">
        <is>
          <t>info_datetime2_dml_batch1_pk</t>
        </is>
      </c>
      <c r="K456" t="inlineStr">
        <is>
          <t>[0;34m info_datetime2_dml_batch1_pk [0m源备字段数相同，源端字段：9 	备端字段9</t>
        </is>
      </c>
      <c r="W456" s="17">
        <f>HYPERLINK("#2026041919hbase0!BN2","NO 源备存在差异，共3个")</f>
        <v/>
      </c>
      <c r="X456">
        <f>A456</f>
        <v/>
      </c>
    </row>
    <row r="457">
      <c r="B457" t="inlineStr">
        <is>
          <t>YES</t>
        </is>
      </c>
      <c r="C457" t="inlineStr">
        <is>
          <t>NULL</t>
        </is>
      </c>
      <c r="D457" t="inlineStr">
        <is>
          <t>NULL</t>
        </is>
      </c>
      <c r="E457" t="inlineStr">
        <is>
          <t>NULL</t>
        </is>
      </c>
      <c r="F457" t="inlineStr">
        <is>
          <t>NULL</t>
        </is>
      </c>
      <c r="G457" t="inlineStr">
        <is>
          <t>NULL</t>
        </is>
      </c>
      <c r="H457" t="inlineStr">
        <is>
          <t>NULL</t>
        </is>
      </c>
      <c r="I457" t="inlineStr">
        <is>
          <t>YES!PK__info_dat__3213E83F0727CB4E</t>
        </is>
      </c>
      <c r="J457" t="inlineStr">
        <is>
          <t>YES! 主键相关索引</t>
        </is>
      </c>
      <c r="K457" t="inlineStr">
        <is>
          <t xml:space="preserve"> NO!  	 id列源备映射错误，源端为int None位	期望更改为text	实际备端为int None位</t>
        </is>
      </c>
    </row>
    <row r="458">
      <c r="B458" t="inlineStr">
        <is>
          <t>NULL</t>
        </is>
      </c>
      <c r="C458" t="inlineStr">
        <is>
          <t>NULL</t>
        </is>
      </c>
      <c r="D458" t="inlineStr">
        <is>
          <t>NULL</t>
        </is>
      </c>
      <c r="E458" t="inlineStr">
        <is>
          <t>NULL</t>
        </is>
      </c>
      <c r="F458" t="inlineStr">
        <is>
          <t>NULL</t>
        </is>
      </c>
      <c r="G458" t="inlineStr">
        <is>
          <t>NULL</t>
        </is>
      </c>
      <c r="H458" t="inlineStr">
        <is>
          <t>NULL</t>
        </is>
      </c>
      <c r="I458" t="inlineStr">
        <is>
          <t>NULL</t>
        </is>
      </c>
      <c r="J458" t="inlineStr">
        <is>
          <t>NULL</t>
        </is>
      </c>
      <c r="K458" t="inlineStr">
        <is>
          <t xml:space="preserve"> NO!  	 c_dt2_0列源备映射错误，源端为datetime2 None位	期望更改为text	实际备端为datetime2 None位</t>
        </is>
      </c>
    </row>
    <row r="459">
      <c r="B459" t="inlineStr">
        <is>
          <t>NULL</t>
        </is>
      </c>
      <c r="C459" t="inlineStr">
        <is>
          <t>NULL</t>
        </is>
      </c>
      <c r="D459" t="inlineStr">
        <is>
          <t>NULL</t>
        </is>
      </c>
      <c r="E459" t="inlineStr">
        <is>
          <t>NULL</t>
        </is>
      </c>
      <c r="F459" t="inlineStr">
        <is>
          <t>NULL</t>
        </is>
      </c>
      <c r="G459" t="inlineStr">
        <is>
          <t>NULL</t>
        </is>
      </c>
      <c r="H459" t="inlineStr">
        <is>
          <t>NULL</t>
        </is>
      </c>
      <c r="I459" t="inlineStr">
        <is>
          <t>NULL</t>
        </is>
      </c>
      <c r="J459" t="inlineStr">
        <is>
          <t>NULL</t>
        </is>
      </c>
      <c r="K459" t="inlineStr">
        <is>
          <t xml:space="preserve"> NO!  	 c_dt2_1列源备映射错误，源端为datetime2 None位	期望更改为text	实际备端为datetime2 None位</t>
        </is>
      </c>
    </row>
    <row r="460">
      <c r="B460" t="inlineStr">
        <is>
          <t>NULL</t>
        </is>
      </c>
      <c r="C460" t="inlineStr">
        <is>
          <t>NULL</t>
        </is>
      </c>
      <c r="D460" t="inlineStr">
        <is>
          <t>NULL</t>
        </is>
      </c>
      <c r="E460" t="inlineStr">
        <is>
          <t>NULL</t>
        </is>
      </c>
      <c r="F460" t="inlineStr">
        <is>
          <t>NULL</t>
        </is>
      </c>
      <c r="G460" t="inlineStr">
        <is>
          <t>NULL</t>
        </is>
      </c>
      <c r="H460" t="inlineStr">
        <is>
          <t>NULL</t>
        </is>
      </c>
      <c r="I460" t="inlineStr">
        <is>
          <t>NULL</t>
        </is>
      </c>
      <c r="J460" t="inlineStr">
        <is>
          <t>NULL</t>
        </is>
      </c>
      <c r="K460" t="inlineStr">
        <is>
          <t xml:space="preserve"> NO!  	 c_dt2_2列源备映射错误，源端为datetime2 None位	期望更改为text	实际备端为datetime2 None位</t>
        </is>
      </c>
    </row>
    <row r="461">
      <c r="B461" t="inlineStr">
        <is>
          <t>NULL</t>
        </is>
      </c>
      <c r="C461" t="inlineStr">
        <is>
          <t>NULL</t>
        </is>
      </c>
      <c r="D461" t="inlineStr">
        <is>
          <t>NULL</t>
        </is>
      </c>
      <c r="E461" t="inlineStr">
        <is>
          <t>NULL</t>
        </is>
      </c>
      <c r="F461" t="inlineStr">
        <is>
          <t>NULL</t>
        </is>
      </c>
      <c r="G461" t="inlineStr">
        <is>
          <t>NULL</t>
        </is>
      </c>
      <c r="H461" t="inlineStr">
        <is>
          <t>NULL</t>
        </is>
      </c>
      <c r="I461" t="inlineStr">
        <is>
          <t>NULL</t>
        </is>
      </c>
      <c r="J461" t="inlineStr">
        <is>
          <t>NULL</t>
        </is>
      </c>
      <c r="K461" t="inlineStr">
        <is>
          <t xml:space="preserve"> NO!  	 c_dt2_3列源备映射错误，源端为datetime2 None位	期望更改为text	实际备端为datetime2 None位</t>
        </is>
      </c>
    </row>
    <row r="462">
      <c r="B462" t="inlineStr">
        <is>
          <t>NULL</t>
        </is>
      </c>
      <c r="C462" t="inlineStr">
        <is>
          <t>NULL</t>
        </is>
      </c>
      <c r="D462" t="inlineStr">
        <is>
          <t>NULL</t>
        </is>
      </c>
      <c r="E462" t="inlineStr">
        <is>
          <t>NULL</t>
        </is>
      </c>
      <c r="F462" t="inlineStr">
        <is>
          <t>NULL</t>
        </is>
      </c>
      <c r="G462" t="inlineStr">
        <is>
          <t>NULL</t>
        </is>
      </c>
      <c r="H462" t="inlineStr">
        <is>
          <t>NULL</t>
        </is>
      </c>
      <c r="I462" t="inlineStr">
        <is>
          <t>NULL</t>
        </is>
      </c>
      <c r="J462" t="inlineStr">
        <is>
          <t>NULL</t>
        </is>
      </c>
      <c r="K462" t="inlineStr">
        <is>
          <t xml:space="preserve"> NO!  	 c_dt2_4列源备映射错误，源端为datetime2 None位	期望更改为text	实际备端为datetime2 None位</t>
        </is>
      </c>
    </row>
    <row r="463">
      <c r="B463" t="inlineStr">
        <is>
          <t>NULL</t>
        </is>
      </c>
      <c r="C463" t="inlineStr">
        <is>
          <t>NULL</t>
        </is>
      </c>
      <c r="D463" t="inlineStr">
        <is>
          <t>NULL</t>
        </is>
      </c>
      <c r="E463" t="inlineStr">
        <is>
          <t>NULL</t>
        </is>
      </c>
      <c r="F463" t="inlineStr">
        <is>
          <t>NULL</t>
        </is>
      </c>
      <c r="G463" t="inlineStr">
        <is>
          <t>NULL</t>
        </is>
      </c>
      <c r="H463" t="inlineStr">
        <is>
          <t>NULL</t>
        </is>
      </c>
      <c r="I463" t="inlineStr">
        <is>
          <t>NULL</t>
        </is>
      </c>
      <c r="J463" t="inlineStr">
        <is>
          <t>NULL</t>
        </is>
      </c>
      <c r="K463" t="inlineStr">
        <is>
          <t xml:space="preserve"> NO!  	 c_dt2_5列源备映射错误，源端为datetime2 None位	期望更改为text	实际备端为datetime2 None位</t>
        </is>
      </c>
    </row>
    <row r="464">
      <c r="B464" t="inlineStr">
        <is>
          <t>NULL</t>
        </is>
      </c>
      <c r="C464" t="inlineStr">
        <is>
          <t>NULL</t>
        </is>
      </c>
      <c r="D464" t="inlineStr">
        <is>
          <t>NULL</t>
        </is>
      </c>
      <c r="E464" t="inlineStr">
        <is>
          <t>NULL</t>
        </is>
      </c>
      <c r="F464" t="inlineStr">
        <is>
          <t>NULL</t>
        </is>
      </c>
      <c r="G464" t="inlineStr">
        <is>
          <t>NULL</t>
        </is>
      </c>
      <c r="H464" t="inlineStr">
        <is>
          <t>NULL</t>
        </is>
      </c>
      <c r="I464" t="inlineStr">
        <is>
          <t>NULL</t>
        </is>
      </c>
      <c r="J464" t="inlineStr">
        <is>
          <t>NULL</t>
        </is>
      </c>
      <c r="K464" t="inlineStr">
        <is>
          <t xml:space="preserve"> NO!  	 c_dt2_6列源备映射错误，源端为datetime2 None位	期望更改为text	实际备端为datetime2 None位</t>
        </is>
      </c>
    </row>
    <row r="465">
      <c r="B465" t="inlineStr">
        <is>
          <t>NULL</t>
        </is>
      </c>
      <c r="C465" t="inlineStr">
        <is>
          <t>NULL</t>
        </is>
      </c>
      <c r="D465" t="inlineStr">
        <is>
          <t>NULL</t>
        </is>
      </c>
      <c r="E465" t="inlineStr">
        <is>
          <t>NULL</t>
        </is>
      </c>
      <c r="F465" t="inlineStr">
        <is>
          <t>NULL</t>
        </is>
      </c>
      <c r="G465" t="inlineStr">
        <is>
          <t>NULL</t>
        </is>
      </c>
      <c r="H465" t="inlineStr">
        <is>
          <t>NULL</t>
        </is>
      </c>
      <c r="I465" t="inlineStr">
        <is>
          <t>NULL</t>
        </is>
      </c>
      <c r="J465" t="inlineStr">
        <is>
          <t>NULL</t>
        </is>
      </c>
      <c r="K465" t="inlineStr">
        <is>
          <t xml:space="preserve"> NO!  	 c_dt2列源备映射错误，源端为datetime2 None位	期望更改为text	实际备端为datetime2 None位</t>
        </is>
      </c>
    </row>
    <row r="466">
      <c r="A466" t="inlineStr">
        <is>
          <t>info_nchar_dml_batch2_pk_irp1</t>
        </is>
      </c>
      <c r="K466" t="inlineStr">
        <is>
          <t>[0;34m info_nchar_dml_batch2_pk_irp1 [0m源备字段数相同，源端字段：4 	备端字段4</t>
        </is>
      </c>
      <c r="W466" t="inlineStr">
        <is>
          <t>YES 源备无差异</t>
        </is>
      </c>
      <c r="X466">
        <f>A466</f>
        <v/>
      </c>
    </row>
    <row r="467">
      <c r="B467" t="inlineStr">
        <is>
          <t>YES</t>
        </is>
      </c>
      <c r="C467" t="inlineStr">
        <is>
          <t>NULL</t>
        </is>
      </c>
      <c r="D467" t="inlineStr">
        <is>
          <t>NULL</t>
        </is>
      </c>
      <c r="E467" t="inlineStr">
        <is>
          <t>NULL</t>
        </is>
      </c>
      <c r="F467" t="inlineStr">
        <is>
          <t>NULL</t>
        </is>
      </c>
      <c r="G467" t="inlineStr">
        <is>
          <t>NULL</t>
        </is>
      </c>
      <c r="H467" t="inlineStr">
        <is>
          <t>NULL</t>
        </is>
      </c>
      <c r="I467" t="inlineStr">
        <is>
          <t>YES!PK__info_nch__3213E83FD88EF579</t>
        </is>
      </c>
      <c r="J467" t="inlineStr">
        <is>
          <t>YES! 主键相关索引</t>
        </is>
      </c>
      <c r="K467" t="inlineStr">
        <is>
          <t xml:space="preserve"> NO!  	 id列源备映射错误，源端为int None位	期望更改为text	实际备端为int None位</t>
        </is>
      </c>
    </row>
    <row r="468">
      <c r="B468" t="inlineStr">
        <is>
          <t>NULL</t>
        </is>
      </c>
      <c r="C468" t="inlineStr">
        <is>
          <t>NULL</t>
        </is>
      </c>
      <c r="D468" t="inlineStr">
        <is>
          <t>NULL</t>
        </is>
      </c>
      <c r="E468" t="inlineStr">
        <is>
          <t>NULL</t>
        </is>
      </c>
      <c r="F468" t="inlineStr">
        <is>
          <t>NULL</t>
        </is>
      </c>
      <c r="G468" t="inlineStr">
        <is>
          <t>NULL</t>
        </is>
      </c>
      <c r="H468" t="inlineStr">
        <is>
          <t>NULL</t>
        </is>
      </c>
      <c r="I468" t="inlineStr">
        <is>
          <t>NULL</t>
        </is>
      </c>
      <c r="J468" t="inlineStr">
        <is>
          <t>NULL</t>
        </is>
      </c>
      <c r="K468" t="inlineStr">
        <is>
          <t xml:space="preserve"> NO!  	 c_nchar列源备映射错误，源端为nchar 2位	期望更改为text	实际备端为nchar 2位</t>
        </is>
      </c>
    </row>
    <row r="469">
      <c r="B469" t="inlineStr">
        <is>
          <t>NULL</t>
        </is>
      </c>
      <c r="C469" t="inlineStr">
        <is>
          <t>NULL</t>
        </is>
      </c>
      <c r="D469" t="inlineStr">
        <is>
          <t>NULL</t>
        </is>
      </c>
      <c r="E469" t="inlineStr">
        <is>
          <t>NULL</t>
        </is>
      </c>
      <c r="F469" t="inlineStr">
        <is>
          <t>NULL</t>
        </is>
      </c>
      <c r="G469" t="inlineStr">
        <is>
          <t>NULL</t>
        </is>
      </c>
      <c r="H469" t="inlineStr">
        <is>
          <t>NULL</t>
        </is>
      </c>
      <c r="I469" t="inlineStr">
        <is>
          <t>NULL</t>
        </is>
      </c>
      <c r="J469" t="inlineStr">
        <is>
          <t>NULL</t>
        </is>
      </c>
      <c r="K469" t="inlineStr">
        <is>
          <t xml:space="preserve"> NO!  	 c_nchar20列源备映射错误，源端为nchar 40位	期望更改为text	实际备端为nchar 40位</t>
        </is>
      </c>
    </row>
    <row r="470">
      <c r="B470" t="inlineStr">
        <is>
          <t>NULL</t>
        </is>
      </c>
      <c r="C470" t="inlineStr">
        <is>
          <t>NULL</t>
        </is>
      </c>
      <c r="D470" t="inlineStr">
        <is>
          <t>NULL</t>
        </is>
      </c>
      <c r="E470" t="inlineStr">
        <is>
          <t>NULL</t>
        </is>
      </c>
      <c r="F470" t="inlineStr">
        <is>
          <t>NULL</t>
        </is>
      </c>
      <c r="G470" t="inlineStr">
        <is>
          <t>NULL</t>
        </is>
      </c>
      <c r="H470" t="inlineStr">
        <is>
          <t>NULL</t>
        </is>
      </c>
      <c r="I470" t="inlineStr">
        <is>
          <t>NULL</t>
        </is>
      </c>
      <c r="J470" t="inlineStr">
        <is>
          <t>NULL</t>
        </is>
      </c>
      <c r="K470" t="inlineStr">
        <is>
          <t xml:space="preserve"> NO!  	 c_nchar3500列源备映射错误，源端为nchar 7000位	期望更改为text	实际备端为nchar 7000位</t>
        </is>
      </c>
    </row>
    <row r="471">
      <c r="A471" t="inlineStr">
        <is>
          <t>info_binary_dml_batch2_pk_irp1</t>
        </is>
      </c>
      <c r="K471" t="inlineStr">
        <is>
          <t>[0;34m info_binary_dml_batch2_pk_irp1 [0m源备字段数相同，源端字段：4 	备端字段4</t>
        </is>
      </c>
      <c r="W471" s="17">
        <f>HYPERLINK("#2026041919hbase0!BO2","NO 源备存在差异，共9个")</f>
        <v/>
      </c>
      <c r="X471">
        <f>A471</f>
        <v/>
      </c>
    </row>
    <row r="472">
      <c r="B472" t="inlineStr">
        <is>
          <t>YES</t>
        </is>
      </c>
      <c r="C472" t="inlineStr">
        <is>
          <t>NULL</t>
        </is>
      </c>
      <c r="D472" t="inlineStr">
        <is>
          <t>NULL</t>
        </is>
      </c>
      <c r="E472" t="inlineStr">
        <is>
          <t>NULL</t>
        </is>
      </c>
      <c r="F472" t="inlineStr">
        <is>
          <t>NULL</t>
        </is>
      </c>
      <c r="G472" t="inlineStr">
        <is>
          <t>NULL</t>
        </is>
      </c>
      <c r="H472" t="inlineStr">
        <is>
          <t>NULL</t>
        </is>
      </c>
      <c r="I472" t="inlineStr">
        <is>
          <t>YES!PK__info_bin__3213E83F3599A83E</t>
        </is>
      </c>
      <c r="J472" t="inlineStr">
        <is>
          <t>YES! 主键相关索引</t>
        </is>
      </c>
      <c r="K472" t="inlineStr">
        <is>
          <t xml:space="preserve"> NO!  	 id列源备映射错误，源端为int None位	期望更改为text	实际备端为int None位</t>
        </is>
      </c>
    </row>
    <row r="473">
      <c r="B473" t="inlineStr">
        <is>
          <t>NULL</t>
        </is>
      </c>
      <c r="C473" t="inlineStr">
        <is>
          <t>NULL</t>
        </is>
      </c>
      <c r="D473" t="inlineStr">
        <is>
          <t>NULL</t>
        </is>
      </c>
      <c r="E473" t="inlineStr">
        <is>
          <t>NULL</t>
        </is>
      </c>
      <c r="F473" t="inlineStr">
        <is>
          <t>NULL</t>
        </is>
      </c>
      <c r="G473" t="inlineStr">
        <is>
          <t>NULL</t>
        </is>
      </c>
      <c r="H473" t="inlineStr">
        <is>
          <t>NULL</t>
        </is>
      </c>
      <c r="I473" t="inlineStr">
        <is>
          <t>NULL</t>
        </is>
      </c>
      <c r="J473" t="inlineStr">
        <is>
          <t>NULL</t>
        </is>
      </c>
      <c r="K473" t="inlineStr">
        <is>
          <t xml:space="preserve"> NO!  	 c_binary列源备映射错误，源端为binary 1位	期望更改为text	实际备端为binary 1位</t>
        </is>
      </c>
    </row>
    <row r="474">
      <c r="B474" t="inlineStr">
        <is>
          <t>NULL</t>
        </is>
      </c>
      <c r="C474" t="inlineStr">
        <is>
          <t>NULL</t>
        </is>
      </c>
      <c r="D474" t="inlineStr">
        <is>
          <t>NULL</t>
        </is>
      </c>
      <c r="E474" t="inlineStr">
        <is>
          <t>NULL</t>
        </is>
      </c>
      <c r="F474" t="inlineStr">
        <is>
          <t>NULL</t>
        </is>
      </c>
      <c r="G474" t="inlineStr">
        <is>
          <t>NULL</t>
        </is>
      </c>
      <c r="H474" t="inlineStr">
        <is>
          <t>NULL</t>
        </is>
      </c>
      <c r="I474" t="inlineStr">
        <is>
          <t>NULL</t>
        </is>
      </c>
      <c r="J474" t="inlineStr">
        <is>
          <t>NULL</t>
        </is>
      </c>
      <c r="K474" t="inlineStr">
        <is>
          <t xml:space="preserve"> NO!  	 c_binary_20列源备映射错误，源端为binary 20位	期望更改为text	实际备端为binary 20位</t>
        </is>
      </c>
    </row>
    <row r="475">
      <c r="B475" t="inlineStr">
        <is>
          <t>NULL</t>
        </is>
      </c>
      <c r="C475" t="inlineStr">
        <is>
          <t>NULL</t>
        </is>
      </c>
      <c r="D475" t="inlineStr">
        <is>
          <t>NULL</t>
        </is>
      </c>
      <c r="E475" t="inlineStr">
        <is>
          <t>NULL</t>
        </is>
      </c>
      <c r="F475" t="inlineStr">
        <is>
          <t>NULL</t>
        </is>
      </c>
      <c r="G475" t="inlineStr">
        <is>
          <t>NULL</t>
        </is>
      </c>
      <c r="H475" t="inlineStr">
        <is>
          <t>NULL</t>
        </is>
      </c>
      <c r="I475" t="inlineStr">
        <is>
          <t>NULL</t>
        </is>
      </c>
      <c r="J475" t="inlineStr">
        <is>
          <t>NULL</t>
        </is>
      </c>
      <c r="K475" t="inlineStr">
        <is>
          <t xml:space="preserve"> NO!  	 c_binary_200列源备映射错误，源端为binary 200位	期望更改为text	实际备端为binary 200位</t>
        </is>
      </c>
    </row>
    <row r="476">
      <c r="A476" t="inlineStr">
        <is>
          <t>info_date_dml_single_pk_drp</t>
        </is>
      </c>
      <c r="K476" t="inlineStr">
        <is>
          <t>[0;34m info_date_dml_single_pk_drp [0m源备字段数相同，源端字段：2 	备端字段2</t>
        </is>
      </c>
      <c r="W476" s="17">
        <f>HYPERLINK("#2026041919hbase0!BP2","NO 源备存在差异，共4个")</f>
        <v/>
      </c>
      <c r="X476">
        <f>A476</f>
        <v/>
      </c>
    </row>
    <row r="477">
      <c r="B477" t="inlineStr">
        <is>
          <t>YES</t>
        </is>
      </c>
      <c r="C477" t="inlineStr">
        <is>
          <t>NULL</t>
        </is>
      </c>
      <c r="D477" t="inlineStr">
        <is>
          <t>NULL</t>
        </is>
      </c>
      <c r="E477" t="inlineStr">
        <is>
          <t>NULL</t>
        </is>
      </c>
      <c r="F477" t="inlineStr">
        <is>
          <t>NULL</t>
        </is>
      </c>
      <c r="G477" t="inlineStr">
        <is>
          <t>NULL</t>
        </is>
      </c>
      <c r="H477" t="inlineStr">
        <is>
          <t>NULL</t>
        </is>
      </c>
      <c r="I477" t="inlineStr">
        <is>
          <t>YES!PK__info_dat__3213E83FB23FC544</t>
        </is>
      </c>
      <c r="J477" t="inlineStr">
        <is>
          <t>YES! 主键相关索引</t>
        </is>
      </c>
      <c r="K477" t="inlineStr">
        <is>
          <t xml:space="preserve"> NO!  	 id列源备映射错误，源端为int None位	期望更改为text	实际备端为int None位</t>
        </is>
      </c>
    </row>
    <row r="478">
      <c r="B478" t="inlineStr">
        <is>
          <t>NULL</t>
        </is>
      </c>
      <c r="C478" t="inlineStr">
        <is>
          <t>NULL</t>
        </is>
      </c>
      <c r="D478" t="inlineStr">
        <is>
          <t>NULL</t>
        </is>
      </c>
      <c r="E478" t="inlineStr">
        <is>
          <t>NULL</t>
        </is>
      </c>
      <c r="F478" t="inlineStr">
        <is>
          <t>NULL</t>
        </is>
      </c>
      <c r="G478" t="inlineStr">
        <is>
          <t>NULL</t>
        </is>
      </c>
      <c r="H478" t="inlineStr">
        <is>
          <t>NULL</t>
        </is>
      </c>
      <c r="I478" t="inlineStr">
        <is>
          <t>NULL</t>
        </is>
      </c>
      <c r="J478" t="inlineStr">
        <is>
          <t>NULL</t>
        </is>
      </c>
      <c r="K478" t="inlineStr">
        <is>
          <t xml:space="preserve"> NO!  	 c_date列源备映射错误，源端为date None位	期望更改为text	实际备端为date None位</t>
        </is>
      </c>
    </row>
    <row r="479">
      <c r="A479" t="inlineStr">
        <is>
          <t>info_hierarchyid_dml_single_pk_drp</t>
        </is>
      </c>
      <c r="K479" t="inlineStr">
        <is>
          <t>[0;34m info_hierarchyid_dml_single_pk_drp [0m源备字段数相同，源端字段：2 	备端字段2</t>
        </is>
      </c>
      <c r="W479" t="inlineStr">
        <is>
          <t>YES 源备无差异</t>
        </is>
      </c>
      <c r="X479">
        <f>A479</f>
        <v/>
      </c>
    </row>
    <row r="480">
      <c r="B480" t="inlineStr">
        <is>
          <t>YES</t>
        </is>
      </c>
      <c r="C480" t="inlineStr">
        <is>
          <t>NULL</t>
        </is>
      </c>
      <c r="D480" t="inlineStr">
        <is>
          <t>NULL</t>
        </is>
      </c>
      <c r="E480" t="inlineStr">
        <is>
          <t>NULL</t>
        </is>
      </c>
      <c r="F480" t="inlineStr">
        <is>
          <t>NULL</t>
        </is>
      </c>
      <c r="G480" t="inlineStr">
        <is>
          <t>NULL</t>
        </is>
      </c>
      <c r="H480" t="inlineStr">
        <is>
          <t>NULL</t>
        </is>
      </c>
      <c r="I480" t="inlineStr">
        <is>
          <t>YES!PK__info_hie__3213E83F6DDD526F</t>
        </is>
      </c>
      <c r="J480" t="inlineStr">
        <is>
          <t>YES! 主键相关索引</t>
        </is>
      </c>
      <c r="K480" t="inlineStr">
        <is>
          <t xml:space="preserve"> NO!  	 id列源备映射错误，源端为int None位	期望更改为text	实际备端为int None位</t>
        </is>
      </c>
    </row>
    <row r="481">
      <c r="B481" t="inlineStr">
        <is>
          <t>NULL</t>
        </is>
      </c>
      <c r="C481" t="inlineStr">
        <is>
          <t>NULL</t>
        </is>
      </c>
      <c r="D481" t="inlineStr">
        <is>
          <t>NULL</t>
        </is>
      </c>
      <c r="E481" t="inlineStr">
        <is>
          <t>NULL</t>
        </is>
      </c>
      <c r="F481" t="inlineStr">
        <is>
          <t>NULL</t>
        </is>
      </c>
      <c r="G481" t="inlineStr">
        <is>
          <t>NULL</t>
        </is>
      </c>
      <c r="H481" t="inlineStr">
        <is>
          <t>NULL</t>
        </is>
      </c>
      <c r="I481" t="inlineStr">
        <is>
          <t>NULL</t>
        </is>
      </c>
      <c r="J481" t="inlineStr">
        <is>
          <t>NULL</t>
        </is>
      </c>
      <c r="K481" t="inlineStr">
        <is>
          <t xml:space="preserve"> NO!  	 c_hierarchyid列源备映射错误，源端为hierarchyid 892位	期望更改为text	实际备端为hierarchyid 892位</t>
        </is>
      </c>
    </row>
    <row r="482">
      <c r="A482" t="inlineStr">
        <is>
          <t>info_datetimeoffset_dml_batch1_pk_irp1</t>
        </is>
      </c>
      <c r="K482" t="inlineStr">
        <is>
          <t>[0;34m info_datetimeoffset_dml_batch1_pk_irp1 [0m源备字段数相同，源端字段：9 	备端字段9</t>
        </is>
      </c>
      <c r="W482" s="17">
        <f>HYPERLINK("#2026041919hbase0!BQ2","NO 源备存在差异，共12个")</f>
        <v/>
      </c>
      <c r="X482">
        <f>A482</f>
        <v/>
      </c>
    </row>
    <row r="483">
      <c r="B483" t="inlineStr">
        <is>
          <t>YES</t>
        </is>
      </c>
      <c r="C483" t="inlineStr">
        <is>
          <t>NULL</t>
        </is>
      </c>
      <c r="D483" t="inlineStr">
        <is>
          <t>NULL</t>
        </is>
      </c>
      <c r="E483" t="inlineStr">
        <is>
          <t>NULL</t>
        </is>
      </c>
      <c r="F483" t="inlineStr">
        <is>
          <t>NULL</t>
        </is>
      </c>
      <c r="G483" t="inlineStr">
        <is>
          <t>NULL</t>
        </is>
      </c>
      <c r="H483" t="inlineStr">
        <is>
          <t>NULL</t>
        </is>
      </c>
      <c r="I483" t="inlineStr">
        <is>
          <t>YES!PK__info_dat__3213E83F3A6AC0AD</t>
        </is>
      </c>
      <c r="J483" t="inlineStr">
        <is>
          <t>YES! 主键相关索引</t>
        </is>
      </c>
      <c r="K483" t="inlineStr">
        <is>
          <t xml:space="preserve"> NO!  	 id列源备映射错误，源端为int None位	期望更改为text	实际备端为int None位</t>
        </is>
      </c>
    </row>
    <row r="484">
      <c r="B484" t="inlineStr">
        <is>
          <t>NULL</t>
        </is>
      </c>
      <c r="C484" t="inlineStr">
        <is>
          <t>NULL</t>
        </is>
      </c>
      <c r="D484" t="inlineStr">
        <is>
          <t>NULL</t>
        </is>
      </c>
      <c r="E484" t="inlineStr">
        <is>
          <t>NULL</t>
        </is>
      </c>
      <c r="F484" t="inlineStr">
        <is>
          <t>NULL</t>
        </is>
      </c>
      <c r="G484" t="inlineStr">
        <is>
          <t>NULL</t>
        </is>
      </c>
      <c r="H484" t="inlineStr">
        <is>
          <t>NULL</t>
        </is>
      </c>
      <c r="I484" t="inlineStr">
        <is>
          <t>NULL</t>
        </is>
      </c>
      <c r="J484" t="inlineStr">
        <is>
          <t>NULL</t>
        </is>
      </c>
      <c r="K484" t="inlineStr">
        <is>
          <t xml:space="preserve"> NO!  	 c_dtoffset_0列源备映射错误，源端为datetimeoffset None位	期望更改为text	实际备端为datetimeoffset None位</t>
        </is>
      </c>
    </row>
    <row r="485">
      <c r="B485" t="inlineStr">
        <is>
          <t>NULL</t>
        </is>
      </c>
      <c r="C485" t="inlineStr">
        <is>
          <t>NULL</t>
        </is>
      </c>
      <c r="D485" t="inlineStr">
        <is>
          <t>NULL</t>
        </is>
      </c>
      <c r="E485" t="inlineStr">
        <is>
          <t>NULL</t>
        </is>
      </c>
      <c r="F485" t="inlineStr">
        <is>
          <t>NULL</t>
        </is>
      </c>
      <c r="G485" t="inlineStr">
        <is>
          <t>NULL</t>
        </is>
      </c>
      <c r="H485" t="inlineStr">
        <is>
          <t>NULL</t>
        </is>
      </c>
      <c r="I485" t="inlineStr">
        <is>
          <t>NULL</t>
        </is>
      </c>
      <c r="J485" t="inlineStr">
        <is>
          <t>NULL</t>
        </is>
      </c>
      <c r="K485" t="inlineStr">
        <is>
          <t xml:space="preserve"> NO!  	 c_dtoffset_1列源备映射错误，源端为datetimeoffset None位	期望更改为text	实际备端为datetimeoffset None位</t>
        </is>
      </c>
    </row>
    <row r="486">
      <c r="B486" t="inlineStr">
        <is>
          <t>NULL</t>
        </is>
      </c>
      <c r="C486" t="inlineStr">
        <is>
          <t>NULL</t>
        </is>
      </c>
      <c r="D486" t="inlineStr">
        <is>
          <t>NULL</t>
        </is>
      </c>
      <c r="E486" t="inlineStr">
        <is>
          <t>NULL</t>
        </is>
      </c>
      <c r="F486" t="inlineStr">
        <is>
          <t>NULL</t>
        </is>
      </c>
      <c r="G486" t="inlineStr">
        <is>
          <t>NULL</t>
        </is>
      </c>
      <c r="H486" t="inlineStr">
        <is>
          <t>NULL</t>
        </is>
      </c>
      <c r="I486" t="inlineStr">
        <is>
          <t>NULL</t>
        </is>
      </c>
      <c r="J486" t="inlineStr">
        <is>
          <t>NULL</t>
        </is>
      </c>
      <c r="K486" t="inlineStr">
        <is>
          <t xml:space="preserve"> NO!  	 c_dtoffset_2列源备映射错误，源端为datetimeoffset None位	期望更改为text	实际备端为datetimeoffset None位</t>
        </is>
      </c>
    </row>
    <row r="487">
      <c r="B487" t="inlineStr">
        <is>
          <t>NULL</t>
        </is>
      </c>
      <c r="C487" t="inlineStr">
        <is>
          <t>NULL</t>
        </is>
      </c>
      <c r="D487" t="inlineStr">
        <is>
          <t>NULL</t>
        </is>
      </c>
      <c r="E487" t="inlineStr">
        <is>
          <t>NULL</t>
        </is>
      </c>
      <c r="F487" t="inlineStr">
        <is>
          <t>NULL</t>
        </is>
      </c>
      <c r="G487" t="inlineStr">
        <is>
          <t>NULL</t>
        </is>
      </c>
      <c r="H487" t="inlineStr">
        <is>
          <t>NULL</t>
        </is>
      </c>
      <c r="I487" t="inlineStr">
        <is>
          <t>NULL</t>
        </is>
      </c>
      <c r="J487" t="inlineStr">
        <is>
          <t>NULL</t>
        </is>
      </c>
      <c r="K487" t="inlineStr">
        <is>
          <t xml:space="preserve"> NO!  	 c_dtoffset_3列源备映射错误，源端为datetimeoffset None位	期望更改为text	实际备端为datetimeoffset None位</t>
        </is>
      </c>
    </row>
    <row r="488">
      <c r="B488" t="inlineStr">
        <is>
          <t>NULL</t>
        </is>
      </c>
      <c r="C488" t="inlineStr">
        <is>
          <t>NULL</t>
        </is>
      </c>
      <c r="D488" t="inlineStr">
        <is>
          <t>NULL</t>
        </is>
      </c>
      <c r="E488" t="inlineStr">
        <is>
          <t>NULL</t>
        </is>
      </c>
      <c r="F488" t="inlineStr">
        <is>
          <t>NULL</t>
        </is>
      </c>
      <c r="G488" t="inlineStr">
        <is>
          <t>NULL</t>
        </is>
      </c>
      <c r="H488" t="inlineStr">
        <is>
          <t>NULL</t>
        </is>
      </c>
      <c r="I488" t="inlineStr">
        <is>
          <t>NULL</t>
        </is>
      </c>
      <c r="J488" t="inlineStr">
        <is>
          <t>NULL</t>
        </is>
      </c>
      <c r="K488" t="inlineStr">
        <is>
          <t xml:space="preserve"> NO!  	 c_dtoffset_4列源备映射错误，源端为datetimeoffset None位	期望更改为text	实际备端为datetimeoffset None位</t>
        </is>
      </c>
    </row>
    <row r="489">
      <c r="B489" t="inlineStr">
        <is>
          <t>NULL</t>
        </is>
      </c>
      <c r="C489" t="inlineStr">
        <is>
          <t>NULL</t>
        </is>
      </c>
      <c r="D489" t="inlineStr">
        <is>
          <t>NULL</t>
        </is>
      </c>
      <c r="E489" t="inlineStr">
        <is>
          <t>NULL</t>
        </is>
      </c>
      <c r="F489" t="inlineStr">
        <is>
          <t>NULL</t>
        </is>
      </c>
      <c r="G489" t="inlineStr">
        <is>
          <t>NULL</t>
        </is>
      </c>
      <c r="H489" t="inlineStr">
        <is>
          <t>NULL</t>
        </is>
      </c>
      <c r="I489" t="inlineStr">
        <is>
          <t>NULL</t>
        </is>
      </c>
      <c r="J489" t="inlineStr">
        <is>
          <t>NULL</t>
        </is>
      </c>
      <c r="K489" t="inlineStr">
        <is>
          <t xml:space="preserve"> NO!  	 c_dtoffset_5列源备映射错误，源端为datetimeoffset None位	期望更改为text	实际备端为datetimeoffset None位</t>
        </is>
      </c>
    </row>
    <row r="490">
      <c r="B490" t="inlineStr">
        <is>
          <t>NULL</t>
        </is>
      </c>
      <c r="C490" t="inlineStr">
        <is>
          <t>NULL</t>
        </is>
      </c>
      <c r="D490" t="inlineStr">
        <is>
          <t>NULL</t>
        </is>
      </c>
      <c r="E490" t="inlineStr">
        <is>
          <t>NULL</t>
        </is>
      </c>
      <c r="F490" t="inlineStr">
        <is>
          <t>NULL</t>
        </is>
      </c>
      <c r="G490" t="inlineStr">
        <is>
          <t>NULL</t>
        </is>
      </c>
      <c r="H490" t="inlineStr">
        <is>
          <t>NULL</t>
        </is>
      </c>
      <c r="I490" t="inlineStr">
        <is>
          <t>NULL</t>
        </is>
      </c>
      <c r="J490" t="inlineStr">
        <is>
          <t>NULL</t>
        </is>
      </c>
      <c r="K490" t="inlineStr">
        <is>
          <t xml:space="preserve"> NO!  	 c_dtoffset_6列源备映射错误，源端为datetimeoffset None位	期望更改为text	实际备端为datetimeoffset None位</t>
        </is>
      </c>
    </row>
    <row r="491">
      <c r="B491" t="inlineStr">
        <is>
          <t>NULL</t>
        </is>
      </c>
      <c r="C491" t="inlineStr">
        <is>
          <t>NULL</t>
        </is>
      </c>
      <c r="D491" t="inlineStr">
        <is>
          <t>NULL</t>
        </is>
      </c>
      <c r="E491" t="inlineStr">
        <is>
          <t>NULL</t>
        </is>
      </c>
      <c r="F491" t="inlineStr">
        <is>
          <t>NULL</t>
        </is>
      </c>
      <c r="G491" t="inlineStr">
        <is>
          <t>NULL</t>
        </is>
      </c>
      <c r="H491" t="inlineStr">
        <is>
          <t>NULL</t>
        </is>
      </c>
      <c r="I491" t="inlineStr">
        <is>
          <t>NULL</t>
        </is>
      </c>
      <c r="J491" t="inlineStr">
        <is>
          <t>NULL</t>
        </is>
      </c>
      <c r="K491" t="inlineStr">
        <is>
          <t xml:space="preserve"> NO!  	 c_dtoffset列源备映射错误，源端为datetimeoffset None位	期望更改为text	实际备端为datetimeoffset None位</t>
        </is>
      </c>
    </row>
    <row r="492">
      <c r="A492" t="inlineStr">
        <is>
          <t>info_date_dml_single_pk</t>
        </is>
      </c>
      <c r="K492" t="inlineStr">
        <is>
          <t>[0;34m info_date_dml_single_pk [0m源备字段数相同，源端字段：2 	备端字段2</t>
        </is>
      </c>
      <c r="W492" s="17">
        <f>HYPERLINK("#2026041919hbase0!BR2","NO 源备存在差异，共3个")</f>
        <v/>
      </c>
      <c r="X492">
        <f>A492</f>
        <v/>
      </c>
    </row>
    <row r="493">
      <c r="B493" t="inlineStr">
        <is>
          <t>YES</t>
        </is>
      </c>
      <c r="C493" t="inlineStr">
        <is>
          <t>NULL</t>
        </is>
      </c>
      <c r="D493" t="inlineStr">
        <is>
          <t>NULL</t>
        </is>
      </c>
      <c r="E493" t="inlineStr">
        <is>
          <t>NULL</t>
        </is>
      </c>
      <c r="F493" t="inlineStr">
        <is>
          <t>NULL</t>
        </is>
      </c>
      <c r="G493" t="inlineStr">
        <is>
          <t>NULL</t>
        </is>
      </c>
      <c r="H493" t="inlineStr">
        <is>
          <t>NULL</t>
        </is>
      </c>
      <c r="I493" t="inlineStr">
        <is>
          <t>YES!PK__info_dat__3213E83F4D5BF0FD</t>
        </is>
      </c>
      <c r="J493" t="inlineStr">
        <is>
          <t>YES! 主键相关索引</t>
        </is>
      </c>
      <c r="K493" t="inlineStr">
        <is>
          <t xml:space="preserve"> NO!  	 id列源备映射错误，源端为int None位	期望更改为text	实际备端为int None位</t>
        </is>
      </c>
    </row>
    <row r="494">
      <c r="B494" t="inlineStr">
        <is>
          <t>NULL</t>
        </is>
      </c>
      <c r="C494" t="inlineStr">
        <is>
          <t>NULL</t>
        </is>
      </c>
      <c r="D494" t="inlineStr">
        <is>
          <t>NULL</t>
        </is>
      </c>
      <c r="E494" t="inlineStr">
        <is>
          <t>NULL</t>
        </is>
      </c>
      <c r="F494" t="inlineStr">
        <is>
          <t>NULL</t>
        </is>
      </c>
      <c r="G494" t="inlineStr">
        <is>
          <t>NULL</t>
        </is>
      </c>
      <c r="H494" t="inlineStr">
        <is>
          <t>NULL</t>
        </is>
      </c>
      <c r="I494" t="inlineStr">
        <is>
          <t>NULL</t>
        </is>
      </c>
      <c r="J494" t="inlineStr">
        <is>
          <t>NULL</t>
        </is>
      </c>
      <c r="K494" t="inlineStr">
        <is>
          <t xml:space="preserve"> NO!  	 c_date列源备映射错误，源端为date None位	期望更改为text	实际备端为date None位</t>
        </is>
      </c>
    </row>
    <row r="495">
      <c r="A495" t="inlineStr">
        <is>
          <t>info_nchar_dml_batch2_pk_irp2</t>
        </is>
      </c>
      <c r="K495" t="inlineStr">
        <is>
          <t>[0;34m info_nchar_dml_batch2_pk_irp2 [0m源备字段数相同，源端字段：4 	备端字段4</t>
        </is>
      </c>
      <c r="W495" t="inlineStr">
        <is>
          <t>YES 源备无差异</t>
        </is>
      </c>
      <c r="X495">
        <f>A495</f>
        <v/>
      </c>
    </row>
    <row r="496">
      <c r="B496" t="inlineStr">
        <is>
          <t>YES</t>
        </is>
      </c>
      <c r="C496" t="inlineStr">
        <is>
          <t>NULL</t>
        </is>
      </c>
      <c r="D496" t="inlineStr">
        <is>
          <t>NULL</t>
        </is>
      </c>
      <c r="E496" t="inlineStr">
        <is>
          <t>NULL</t>
        </is>
      </c>
      <c r="F496" t="inlineStr">
        <is>
          <t>NULL</t>
        </is>
      </c>
      <c r="G496" t="inlineStr">
        <is>
          <t>NULL</t>
        </is>
      </c>
      <c r="H496" t="inlineStr">
        <is>
          <t>NULL</t>
        </is>
      </c>
      <c r="I496" t="inlineStr">
        <is>
          <t>YES!PK__info_nch__3213E83FD518DE0D</t>
        </is>
      </c>
      <c r="J496" t="inlineStr">
        <is>
          <t>YES! 主键相关索引</t>
        </is>
      </c>
      <c r="K496" t="inlineStr">
        <is>
          <t xml:space="preserve"> NO!  	 id列源备映射错误，源端为int None位	期望更改为text	实际备端为int None位</t>
        </is>
      </c>
    </row>
    <row r="497">
      <c r="B497" t="inlineStr">
        <is>
          <t>NULL</t>
        </is>
      </c>
      <c r="C497" t="inlineStr">
        <is>
          <t>NULL</t>
        </is>
      </c>
      <c r="D497" t="inlineStr">
        <is>
          <t>NULL</t>
        </is>
      </c>
      <c r="E497" t="inlineStr">
        <is>
          <t>NULL</t>
        </is>
      </c>
      <c r="F497" t="inlineStr">
        <is>
          <t>NULL</t>
        </is>
      </c>
      <c r="G497" t="inlineStr">
        <is>
          <t>NULL</t>
        </is>
      </c>
      <c r="H497" t="inlineStr">
        <is>
          <t>NULL</t>
        </is>
      </c>
      <c r="I497" t="inlineStr">
        <is>
          <t>NULL</t>
        </is>
      </c>
      <c r="J497" t="inlineStr">
        <is>
          <t>NULL</t>
        </is>
      </c>
      <c r="K497" t="inlineStr">
        <is>
          <t xml:space="preserve"> NO!  	 c_nchar列源备映射错误，源端为nchar 2位	期望更改为text	实际备端为nchar 2位</t>
        </is>
      </c>
    </row>
    <row r="498">
      <c r="B498" t="inlineStr">
        <is>
          <t>NULL</t>
        </is>
      </c>
      <c r="C498" t="inlineStr">
        <is>
          <t>NULL</t>
        </is>
      </c>
      <c r="D498" t="inlineStr">
        <is>
          <t>NULL</t>
        </is>
      </c>
      <c r="E498" t="inlineStr">
        <is>
          <t>NULL</t>
        </is>
      </c>
      <c r="F498" t="inlineStr">
        <is>
          <t>NULL</t>
        </is>
      </c>
      <c r="G498" t="inlineStr">
        <is>
          <t>NULL</t>
        </is>
      </c>
      <c r="H498" t="inlineStr">
        <is>
          <t>NULL</t>
        </is>
      </c>
      <c r="I498" t="inlineStr">
        <is>
          <t>NULL</t>
        </is>
      </c>
      <c r="J498" t="inlineStr">
        <is>
          <t>NULL</t>
        </is>
      </c>
      <c r="K498" t="inlineStr">
        <is>
          <t xml:space="preserve"> NO!  	 c_nchar20列源备映射错误，源端为nchar 40位	期望更改为text	实际备端为nchar 40位</t>
        </is>
      </c>
    </row>
    <row r="499">
      <c r="B499" t="inlineStr">
        <is>
          <t>NULL</t>
        </is>
      </c>
      <c r="C499" t="inlineStr">
        <is>
          <t>NULL</t>
        </is>
      </c>
      <c r="D499" t="inlineStr">
        <is>
          <t>NULL</t>
        </is>
      </c>
      <c r="E499" t="inlineStr">
        <is>
          <t>NULL</t>
        </is>
      </c>
      <c r="F499" t="inlineStr">
        <is>
          <t>NULL</t>
        </is>
      </c>
      <c r="G499" t="inlineStr">
        <is>
          <t>NULL</t>
        </is>
      </c>
      <c r="H499" t="inlineStr">
        <is>
          <t>NULL</t>
        </is>
      </c>
      <c r="I499" t="inlineStr">
        <is>
          <t>NULL</t>
        </is>
      </c>
      <c r="J499" t="inlineStr">
        <is>
          <t>NULL</t>
        </is>
      </c>
      <c r="K499" t="inlineStr">
        <is>
          <t xml:space="preserve"> NO!  	 c_nchar3500列源备映射错误，源端为nchar 7000位	期望更改为text	实际备端为nchar 7000位</t>
        </is>
      </c>
    </row>
    <row r="500">
      <c r="A500" t="inlineStr">
        <is>
          <t>info_date_dml_batch1_pk_irp1</t>
        </is>
      </c>
      <c r="K500" t="inlineStr">
        <is>
          <t>[0;34m info_date_dml_batch1_pk_irp1 [0m源备字段数相同，源端字段：2 	备端字段2</t>
        </is>
      </c>
      <c r="W500" t="inlineStr">
        <is>
          <t>YES 源备无差异</t>
        </is>
      </c>
      <c r="X500">
        <f>A500</f>
        <v/>
      </c>
    </row>
    <row r="501">
      <c r="B501" t="inlineStr">
        <is>
          <t>YES</t>
        </is>
      </c>
      <c r="C501" t="inlineStr">
        <is>
          <t>NULL</t>
        </is>
      </c>
      <c r="D501" t="inlineStr">
        <is>
          <t>NULL</t>
        </is>
      </c>
      <c r="E501" t="inlineStr">
        <is>
          <t>NULL</t>
        </is>
      </c>
      <c r="F501" t="inlineStr">
        <is>
          <t>NULL</t>
        </is>
      </c>
      <c r="G501" t="inlineStr">
        <is>
          <t>NULL</t>
        </is>
      </c>
      <c r="H501" t="inlineStr">
        <is>
          <t>NULL</t>
        </is>
      </c>
      <c r="I501" t="inlineStr">
        <is>
          <t>YES!PK__info_dat__3213E83FD91EDE60</t>
        </is>
      </c>
      <c r="J501" t="inlineStr">
        <is>
          <t>YES! 主键相关索引</t>
        </is>
      </c>
      <c r="K501" t="inlineStr">
        <is>
          <t xml:space="preserve"> NO!  	 id列源备映射错误，源端为int None位	期望更改为text	实际备端为int None位</t>
        </is>
      </c>
    </row>
    <row r="502">
      <c r="B502" t="inlineStr">
        <is>
          <t>NULL</t>
        </is>
      </c>
      <c r="C502" t="inlineStr">
        <is>
          <t>NULL</t>
        </is>
      </c>
      <c r="D502" t="inlineStr">
        <is>
          <t>NULL</t>
        </is>
      </c>
      <c r="E502" t="inlineStr">
        <is>
          <t>NULL</t>
        </is>
      </c>
      <c r="F502" t="inlineStr">
        <is>
          <t>NULL</t>
        </is>
      </c>
      <c r="G502" t="inlineStr">
        <is>
          <t>NULL</t>
        </is>
      </c>
      <c r="H502" t="inlineStr">
        <is>
          <t>NULL</t>
        </is>
      </c>
      <c r="I502" t="inlineStr">
        <is>
          <t>NULL</t>
        </is>
      </c>
      <c r="J502" t="inlineStr">
        <is>
          <t>NULL</t>
        </is>
      </c>
      <c r="K502" t="inlineStr">
        <is>
          <t xml:space="preserve"> NO!  	 c_date列源备映射错误，源端为date None位	期望更改为text	实际备端为date None位</t>
        </is>
      </c>
    </row>
    <row r="503">
      <c r="K503" t="inlineStr">
        <is>
          <t>~ 空表</t>
        </is>
      </c>
    </row>
    <row r="504">
      <c r="A504" t="inlineStr">
        <is>
          <t>info_datetimeoffset_dml_batch1_pk_irp2</t>
        </is>
      </c>
      <c r="K504" t="inlineStr">
        <is>
          <t>[0;34m info_datetimeoffset_dml_batch1_pk_irp2 [0m源备字段数相同，源端字段：9 	备端字段9</t>
        </is>
      </c>
      <c r="W504" s="17">
        <f>HYPERLINK("#2026041919hbase0!BS2","NO 源备存在差异，共65个")</f>
        <v/>
      </c>
      <c r="X504">
        <f>A504</f>
        <v/>
      </c>
    </row>
    <row r="505">
      <c r="B505" t="inlineStr">
        <is>
          <t>YES</t>
        </is>
      </c>
      <c r="C505" t="inlineStr">
        <is>
          <t>NULL</t>
        </is>
      </c>
      <c r="D505" t="inlineStr">
        <is>
          <t>NULL</t>
        </is>
      </c>
      <c r="E505" t="inlineStr">
        <is>
          <t>NULL</t>
        </is>
      </c>
      <c r="F505" t="inlineStr">
        <is>
          <t>NULL</t>
        </is>
      </c>
      <c r="G505" t="inlineStr">
        <is>
          <t>NULL</t>
        </is>
      </c>
      <c r="H505" t="inlineStr">
        <is>
          <t>NULL</t>
        </is>
      </c>
      <c r="I505" t="inlineStr">
        <is>
          <t>YES!PK__info_dat__3213E83F3DD2A7AA</t>
        </is>
      </c>
      <c r="J505" t="inlineStr">
        <is>
          <t>YES! 主键相关索引</t>
        </is>
      </c>
      <c r="K505" t="inlineStr">
        <is>
          <t xml:space="preserve"> NO!  	 id列源备映射错误，源端为int None位	期望更改为text	实际备端为int None位</t>
        </is>
      </c>
    </row>
    <row r="506">
      <c r="B506" t="inlineStr">
        <is>
          <t>NULL</t>
        </is>
      </c>
      <c r="C506" t="inlineStr">
        <is>
          <t>NULL</t>
        </is>
      </c>
      <c r="D506" t="inlineStr">
        <is>
          <t>NULL</t>
        </is>
      </c>
      <c r="E506" t="inlineStr">
        <is>
          <t>NULL</t>
        </is>
      </c>
      <c r="F506" t="inlineStr">
        <is>
          <t>NULL</t>
        </is>
      </c>
      <c r="G506" t="inlineStr">
        <is>
          <t>NULL</t>
        </is>
      </c>
      <c r="H506" t="inlineStr">
        <is>
          <t>NULL</t>
        </is>
      </c>
      <c r="I506" t="inlineStr">
        <is>
          <t>NULL</t>
        </is>
      </c>
      <c r="J506" t="inlineStr">
        <is>
          <t>NULL</t>
        </is>
      </c>
      <c r="K506" t="inlineStr">
        <is>
          <t xml:space="preserve"> NO!  	 c_dtoffset_0列源备映射错误，源端为datetimeoffset None位	期望更改为text	实际备端为datetimeoffset None位</t>
        </is>
      </c>
    </row>
    <row r="507">
      <c r="B507" t="inlineStr">
        <is>
          <t>NULL</t>
        </is>
      </c>
      <c r="C507" t="inlineStr">
        <is>
          <t>NULL</t>
        </is>
      </c>
      <c r="D507" t="inlineStr">
        <is>
          <t>NULL</t>
        </is>
      </c>
      <c r="E507" t="inlineStr">
        <is>
          <t>NULL</t>
        </is>
      </c>
      <c r="F507" t="inlineStr">
        <is>
          <t>NULL</t>
        </is>
      </c>
      <c r="G507" t="inlineStr">
        <is>
          <t>NULL</t>
        </is>
      </c>
      <c r="H507" t="inlineStr">
        <is>
          <t>NULL</t>
        </is>
      </c>
      <c r="I507" t="inlineStr">
        <is>
          <t>NULL</t>
        </is>
      </c>
      <c r="J507" t="inlineStr">
        <is>
          <t>NULL</t>
        </is>
      </c>
      <c r="K507" t="inlineStr">
        <is>
          <t xml:space="preserve"> NO!  	 c_dtoffset_1列源备映射错误，源端为datetimeoffset None位	期望更改为text	实际备端为datetimeoffset None位</t>
        </is>
      </c>
    </row>
    <row r="508">
      <c r="B508" t="inlineStr">
        <is>
          <t>NULL</t>
        </is>
      </c>
      <c r="C508" t="inlineStr">
        <is>
          <t>NULL</t>
        </is>
      </c>
      <c r="D508" t="inlineStr">
        <is>
          <t>NULL</t>
        </is>
      </c>
      <c r="E508" t="inlineStr">
        <is>
          <t>NULL</t>
        </is>
      </c>
      <c r="F508" t="inlineStr">
        <is>
          <t>NULL</t>
        </is>
      </c>
      <c r="G508" t="inlineStr">
        <is>
          <t>NULL</t>
        </is>
      </c>
      <c r="H508" t="inlineStr">
        <is>
          <t>NULL</t>
        </is>
      </c>
      <c r="I508" t="inlineStr">
        <is>
          <t>NULL</t>
        </is>
      </c>
      <c r="J508" t="inlineStr">
        <is>
          <t>NULL</t>
        </is>
      </c>
      <c r="K508" t="inlineStr">
        <is>
          <t xml:space="preserve"> NO!  	 c_dtoffset_2列源备映射错误，源端为datetimeoffset None位	期望更改为text	实际备端为datetimeoffset None位</t>
        </is>
      </c>
    </row>
    <row r="509">
      <c r="B509" t="inlineStr">
        <is>
          <t>NULL</t>
        </is>
      </c>
      <c r="C509" t="inlineStr">
        <is>
          <t>NULL</t>
        </is>
      </c>
      <c r="D509" t="inlineStr">
        <is>
          <t>NULL</t>
        </is>
      </c>
      <c r="E509" t="inlineStr">
        <is>
          <t>NULL</t>
        </is>
      </c>
      <c r="F509" t="inlineStr">
        <is>
          <t>NULL</t>
        </is>
      </c>
      <c r="G509" t="inlineStr">
        <is>
          <t>NULL</t>
        </is>
      </c>
      <c r="H509" t="inlineStr">
        <is>
          <t>NULL</t>
        </is>
      </c>
      <c r="I509" t="inlineStr">
        <is>
          <t>NULL</t>
        </is>
      </c>
      <c r="J509" t="inlineStr">
        <is>
          <t>NULL</t>
        </is>
      </c>
      <c r="K509" t="inlineStr">
        <is>
          <t xml:space="preserve"> NO!  	 c_dtoffset_3列源备映射错误，源端为datetimeoffset None位	期望更改为text	实际备端为datetimeoffset None位</t>
        </is>
      </c>
    </row>
    <row r="510">
      <c r="B510" t="inlineStr">
        <is>
          <t>NULL</t>
        </is>
      </c>
      <c r="C510" t="inlineStr">
        <is>
          <t>NULL</t>
        </is>
      </c>
      <c r="D510" t="inlineStr">
        <is>
          <t>NULL</t>
        </is>
      </c>
      <c r="E510" t="inlineStr">
        <is>
          <t>NULL</t>
        </is>
      </c>
      <c r="F510" t="inlineStr">
        <is>
          <t>NULL</t>
        </is>
      </c>
      <c r="G510" t="inlineStr">
        <is>
          <t>NULL</t>
        </is>
      </c>
      <c r="H510" t="inlineStr">
        <is>
          <t>NULL</t>
        </is>
      </c>
      <c r="I510" t="inlineStr">
        <is>
          <t>NULL</t>
        </is>
      </c>
      <c r="J510" t="inlineStr">
        <is>
          <t>NULL</t>
        </is>
      </c>
      <c r="K510" t="inlineStr">
        <is>
          <t xml:space="preserve"> NO!  	 c_dtoffset_4列源备映射错误，源端为datetimeoffset None位	期望更改为text	实际备端为datetimeoffset None位</t>
        </is>
      </c>
    </row>
    <row r="511">
      <c r="B511" t="inlineStr">
        <is>
          <t>NULL</t>
        </is>
      </c>
      <c r="C511" t="inlineStr">
        <is>
          <t>NULL</t>
        </is>
      </c>
      <c r="D511" t="inlineStr">
        <is>
          <t>NULL</t>
        </is>
      </c>
      <c r="E511" t="inlineStr">
        <is>
          <t>NULL</t>
        </is>
      </c>
      <c r="F511" t="inlineStr">
        <is>
          <t>NULL</t>
        </is>
      </c>
      <c r="G511" t="inlineStr">
        <is>
          <t>NULL</t>
        </is>
      </c>
      <c r="H511" t="inlineStr">
        <is>
          <t>NULL</t>
        </is>
      </c>
      <c r="I511" t="inlineStr">
        <is>
          <t>NULL</t>
        </is>
      </c>
      <c r="J511" t="inlineStr">
        <is>
          <t>NULL</t>
        </is>
      </c>
      <c r="K511" t="inlineStr">
        <is>
          <t xml:space="preserve"> NO!  	 c_dtoffset_5列源备映射错误，源端为datetimeoffset None位	期望更改为text	实际备端为datetimeoffset None位</t>
        </is>
      </c>
    </row>
    <row r="512">
      <c r="B512" t="inlineStr">
        <is>
          <t>NULL</t>
        </is>
      </c>
      <c r="C512" t="inlineStr">
        <is>
          <t>NULL</t>
        </is>
      </c>
      <c r="D512" t="inlineStr">
        <is>
          <t>NULL</t>
        </is>
      </c>
      <c r="E512" t="inlineStr">
        <is>
          <t>NULL</t>
        </is>
      </c>
      <c r="F512" t="inlineStr">
        <is>
          <t>NULL</t>
        </is>
      </c>
      <c r="G512" t="inlineStr">
        <is>
          <t>NULL</t>
        </is>
      </c>
      <c r="H512" t="inlineStr">
        <is>
          <t>NULL</t>
        </is>
      </c>
      <c r="I512" t="inlineStr">
        <is>
          <t>NULL</t>
        </is>
      </c>
      <c r="J512" t="inlineStr">
        <is>
          <t>NULL</t>
        </is>
      </c>
      <c r="K512" t="inlineStr">
        <is>
          <t xml:space="preserve"> NO!  	 c_dtoffset_6列源备映射错误，源端为datetimeoffset None位	期望更改为text	实际备端为datetimeoffset None位</t>
        </is>
      </c>
    </row>
    <row r="513">
      <c r="B513" t="inlineStr">
        <is>
          <t>NULL</t>
        </is>
      </c>
      <c r="C513" t="inlineStr">
        <is>
          <t>NULL</t>
        </is>
      </c>
      <c r="D513" t="inlineStr">
        <is>
          <t>NULL</t>
        </is>
      </c>
      <c r="E513" t="inlineStr">
        <is>
          <t>NULL</t>
        </is>
      </c>
      <c r="F513" t="inlineStr">
        <is>
          <t>NULL</t>
        </is>
      </c>
      <c r="G513" t="inlineStr">
        <is>
          <t>NULL</t>
        </is>
      </c>
      <c r="H513" t="inlineStr">
        <is>
          <t>NULL</t>
        </is>
      </c>
      <c r="I513" t="inlineStr">
        <is>
          <t>NULL</t>
        </is>
      </c>
      <c r="J513" t="inlineStr">
        <is>
          <t>NULL</t>
        </is>
      </c>
      <c r="K513" t="inlineStr">
        <is>
          <t xml:space="preserve"> NO!  	 c_dtoffset列源备映射错误，源端为datetimeoffset None位	期望更改为text	实际备端为datetimeoffset None位</t>
        </is>
      </c>
    </row>
    <row r="514">
      <c r="A514" t="inlineStr">
        <is>
          <t>info_char_dml_batch1_pk_urp1</t>
        </is>
      </c>
      <c r="K514" t="inlineStr">
        <is>
          <t>[0;34m info_char_dml_batch1_pk_urp1 [0m源备字段数相同，源端字段：4 	备端字段4</t>
        </is>
      </c>
      <c r="W514" s="17">
        <f>HYPERLINK("#2026041919hbase0!BT2","NO 源备存在差异，共6个")</f>
        <v/>
      </c>
      <c r="X514">
        <f>A514</f>
        <v/>
      </c>
    </row>
    <row r="515">
      <c r="B515" t="inlineStr">
        <is>
          <t>YES</t>
        </is>
      </c>
      <c r="C515" t="inlineStr">
        <is>
          <t>NULL</t>
        </is>
      </c>
      <c r="D515" t="inlineStr">
        <is>
          <t>NULL</t>
        </is>
      </c>
      <c r="E515" t="inlineStr">
        <is>
          <t>NULL</t>
        </is>
      </c>
      <c r="F515" t="inlineStr">
        <is>
          <t>NULL</t>
        </is>
      </c>
      <c r="G515" t="inlineStr">
        <is>
          <t>NULL</t>
        </is>
      </c>
      <c r="H515" t="inlineStr">
        <is>
          <t>NULL</t>
        </is>
      </c>
      <c r="I515" t="inlineStr">
        <is>
          <t>YES!PK__info_cha__3213E83F8C3D92E9</t>
        </is>
      </c>
      <c r="J515" t="inlineStr">
        <is>
          <t>YES! 主键相关索引</t>
        </is>
      </c>
      <c r="K515" t="inlineStr">
        <is>
          <t xml:space="preserve"> NO!  	 id列源备映射错误，源端为int None位	期望更改为text	实际备端为int None位</t>
        </is>
      </c>
    </row>
    <row r="516">
      <c r="B516" t="inlineStr">
        <is>
          <t>NULL</t>
        </is>
      </c>
      <c r="C516" t="inlineStr">
        <is>
          <t>NULL</t>
        </is>
      </c>
      <c r="D516" t="inlineStr">
        <is>
          <t>NULL</t>
        </is>
      </c>
      <c r="E516" t="inlineStr">
        <is>
          <t>NULL</t>
        </is>
      </c>
      <c r="F516" t="inlineStr">
        <is>
          <t>NULL</t>
        </is>
      </c>
      <c r="G516" t="inlineStr">
        <is>
          <t>NULL</t>
        </is>
      </c>
      <c r="H516" t="inlineStr">
        <is>
          <t>NULL</t>
        </is>
      </c>
      <c r="I516" t="inlineStr">
        <is>
          <t>NULL</t>
        </is>
      </c>
      <c r="J516" t="inlineStr">
        <is>
          <t>NULL</t>
        </is>
      </c>
      <c r="K516" t="inlineStr">
        <is>
          <t xml:space="preserve"> NO!  	 c_char列源备映射错误，源端为char 1位	期望更改为text	实际备端为char 1位</t>
        </is>
      </c>
    </row>
    <row r="517">
      <c r="B517" t="inlineStr">
        <is>
          <t>NULL</t>
        </is>
      </c>
      <c r="C517" t="inlineStr">
        <is>
          <t>NULL</t>
        </is>
      </c>
      <c r="D517" t="inlineStr">
        <is>
          <t>NULL</t>
        </is>
      </c>
      <c r="E517" t="inlineStr">
        <is>
          <t>NULL</t>
        </is>
      </c>
      <c r="F517" t="inlineStr">
        <is>
          <t>NULL</t>
        </is>
      </c>
      <c r="G517" t="inlineStr">
        <is>
          <t>NULL</t>
        </is>
      </c>
      <c r="H517" t="inlineStr">
        <is>
          <t>NULL</t>
        </is>
      </c>
      <c r="I517" t="inlineStr">
        <is>
          <t>NULL</t>
        </is>
      </c>
      <c r="J517" t="inlineStr">
        <is>
          <t>NULL</t>
        </is>
      </c>
      <c r="K517" t="inlineStr">
        <is>
          <t xml:space="preserve"> NO!  	 c_char20列源备映射错误，源端为char 20位	期望更改为text	实际备端为char 20位</t>
        </is>
      </c>
    </row>
    <row r="518">
      <c r="B518" t="inlineStr">
        <is>
          <t>NULL</t>
        </is>
      </c>
      <c r="C518" t="inlineStr">
        <is>
          <t>NULL</t>
        </is>
      </c>
      <c r="D518" t="inlineStr">
        <is>
          <t>NULL</t>
        </is>
      </c>
      <c r="E518" t="inlineStr">
        <is>
          <t>NULL</t>
        </is>
      </c>
      <c r="F518" t="inlineStr">
        <is>
          <t>NULL</t>
        </is>
      </c>
      <c r="G518" t="inlineStr">
        <is>
          <t>NULL</t>
        </is>
      </c>
      <c r="H518" t="inlineStr">
        <is>
          <t>NULL</t>
        </is>
      </c>
      <c r="I518" t="inlineStr">
        <is>
          <t>NULL</t>
        </is>
      </c>
      <c r="J518" t="inlineStr">
        <is>
          <t>NULL</t>
        </is>
      </c>
      <c r="K518" t="inlineStr">
        <is>
          <t xml:space="preserve"> NO!  	 c_char7000列源备映射错误，源端为char 7000位	期望更改为text	实际备端为char 7000位</t>
        </is>
      </c>
    </row>
    <row r="519">
      <c r="A519" t="inlineStr">
        <is>
          <t>info_datetimeoffset_dml_batch2_pk_irp1</t>
        </is>
      </c>
      <c r="K519" t="inlineStr">
        <is>
          <t>[0;34m info_datetimeoffset_dml_batch2_pk_irp1 [0m源备字段数相同，源端字段：9 	备端字段9</t>
        </is>
      </c>
      <c r="W519" s="17">
        <f>HYPERLINK("#2026041919hbase0!BU2","NO 源备存在差异，共12个")</f>
        <v/>
      </c>
      <c r="X519">
        <f>A519</f>
        <v/>
      </c>
    </row>
    <row r="520">
      <c r="B520" t="inlineStr">
        <is>
          <t>YES</t>
        </is>
      </c>
      <c r="C520" t="inlineStr">
        <is>
          <t>NULL</t>
        </is>
      </c>
      <c r="D520" t="inlineStr">
        <is>
          <t>NULL</t>
        </is>
      </c>
      <c r="E520" t="inlineStr">
        <is>
          <t>NULL</t>
        </is>
      </c>
      <c r="F520" t="inlineStr">
        <is>
          <t>NULL</t>
        </is>
      </c>
      <c r="G520" t="inlineStr">
        <is>
          <t>NULL</t>
        </is>
      </c>
      <c r="H520" t="inlineStr">
        <is>
          <t>NULL</t>
        </is>
      </c>
      <c r="I520" t="inlineStr">
        <is>
          <t>YES!PK__info_dat__3213E83F6835EF1A</t>
        </is>
      </c>
      <c r="J520" t="inlineStr">
        <is>
          <t>YES! 主键相关索引</t>
        </is>
      </c>
      <c r="K520" t="inlineStr">
        <is>
          <t xml:space="preserve"> NO!  	 id列源备映射错误，源端为int None位	期望更改为text	实际备端为int None位</t>
        </is>
      </c>
    </row>
    <row r="521">
      <c r="B521" t="inlineStr">
        <is>
          <t>NULL</t>
        </is>
      </c>
      <c r="C521" t="inlineStr">
        <is>
          <t>NULL</t>
        </is>
      </c>
      <c r="D521" t="inlineStr">
        <is>
          <t>NULL</t>
        </is>
      </c>
      <c r="E521" t="inlineStr">
        <is>
          <t>NULL</t>
        </is>
      </c>
      <c r="F521" t="inlineStr">
        <is>
          <t>NULL</t>
        </is>
      </c>
      <c r="G521" t="inlineStr">
        <is>
          <t>NULL</t>
        </is>
      </c>
      <c r="H521" t="inlineStr">
        <is>
          <t>NULL</t>
        </is>
      </c>
      <c r="I521" t="inlineStr">
        <is>
          <t>NULL</t>
        </is>
      </c>
      <c r="J521" t="inlineStr">
        <is>
          <t>NULL</t>
        </is>
      </c>
      <c r="K521" t="inlineStr">
        <is>
          <t xml:space="preserve"> NO!  	 c_dtoffset_0列源备映射错误，源端为datetimeoffset None位	期望更改为text	实际备端为datetimeoffset None位</t>
        </is>
      </c>
    </row>
    <row r="522">
      <c r="B522" t="inlineStr">
        <is>
          <t>NULL</t>
        </is>
      </c>
      <c r="C522" t="inlineStr">
        <is>
          <t>NULL</t>
        </is>
      </c>
      <c r="D522" t="inlineStr">
        <is>
          <t>NULL</t>
        </is>
      </c>
      <c r="E522" t="inlineStr">
        <is>
          <t>NULL</t>
        </is>
      </c>
      <c r="F522" t="inlineStr">
        <is>
          <t>NULL</t>
        </is>
      </c>
      <c r="G522" t="inlineStr">
        <is>
          <t>NULL</t>
        </is>
      </c>
      <c r="H522" t="inlineStr">
        <is>
          <t>NULL</t>
        </is>
      </c>
      <c r="I522" t="inlineStr">
        <is>
          <t>NULL</t>
        </is>
      </c>
      <c r="J522" t="inlineStr">
        <is>
          <t>NULL</t>
        </is>
      </c>
      <c r="K522" t="inlineStr">
        <is>
          <t xml:space="preserve"> NO!  	 c_dtoffset_1列源备映射错误，源端为datetimeoffset None位	期望更改为text	实际备端为datetimeoffset None位</t>
        </is>
      </c>
    </row>
    <row r="523">
      <c r="B523" t="inlineStr">
        <is>
          <t>NULL</t>
        </is>
      </c>
      <c r="C523" t="inlineStr">
        <is>
          <t>NULL</t>
        </is>
      </c>
      <c r="D523" t="inlineStr">
        <is>
          <t>NULL</t>
        </is>
      </c>
      <c r="E523" t="inlineStr">
        <is>
          <t>NULL</t>
        </is>
      </c>
      <c r="F523" t="inlineStr">
        <is>
          <t>NULL</t>
        </is>
      </c>
      <c r="G523" t="inlineStr">
        <is>
          <t>NULL</t>
        </is>
      </c>
      <c r="H523" t="inlineStr">
        <is>
          <t>NULL</t>
        </is>
      </c>
      <c r="I523" t="inlineStr">
        <is>
          <t>NULL</t>
        </is>
      </c>
      <c r="J523" t="inlineStr">
        <is>
          <t>NULL</t>
        </is>
      </c>
      <c r="K523" t="inlineStr">
        <is>
          <t xml:space="preserve"> NO!  	 c_dtoffset_2列源备映射错误，源端为datetimeoffset None位	期望更改为text	实际备端为datetimeoffset None位</t>
        </is>
      </c>
    </row>
    <row r="524">
      <c r="B524" t="inlineStr">
        <is>
          <t>NULL</t>
        </is>
      </c>
      <c r="C524" t="inlineStr">
        <is>
          <t>NULL</t>
        </is>
      </c>
      <c r="D524" t="inlineStr">
        <is>
          <t>NULL</t>
        </is>
      </c>
      <c r="E524" t="inlineStr">
        <is>
          <t>NULL</t>
        </is>
      </c>
      <c r="F524" t="inlineStr">
        <is>
          <t>NULL</t>
        </is>
      </c>
      <c r="G524" t="inlineStr">
        <is>
          <t>NULL</t>
        </is>
      </c>
      <c r="H524" t="inlineStr">
        <is>
          <t>NULL</t>
        </is>
      </c>
      <c r="I524" t="inlineStr">
        <is>
          <t>NULL</t>
        </is>
      </c>
      <c r="J524" t="inlineStr">
        <is>
          <t>NULL</t>
        </is>
      </c>
      <c r="K524" t="inlineStr">
        <is>
          <t xml:space="preserve"> NO!  	 c_dtoffset_3列源备映射错误，源端为datetimeoffset None位	期望更改为text	实际备端为datetimeoffset None位</t>
        </is>
      </c>
    </row>
    <row r="525">
      <c r="B525" t="inlineStr">
        <is>
          <t>NULL</t>
        </is>
      </c>
      <c r="C525" t="inlineStr">
        <is>
          <t>NULL</t>
        </is>
      </c>
      <c r="D525" t="inlineStr">
        <is>
          <t>NULL</t>
        </is>
      </c>
      <c r="E525" t="inlineStr">
        <is>
          <t>NULL</t>
        </is>
      </c>
      <c r="F525" t="inlineStr">
        <is>
          <t>NULL</t>
        </is>
      </c>
      <c r="G525" t="inlineStr">
        <is>
          <t>NULL</t>
        </is>
      </c>
      <c r="H525" t="inlineStr">
        <is>
          <t>NULL</t>
        </is>
      </c>
      <c r="I525" t="inlineStr">
        <is>
          <t>NULL</t>
        </is>
      </c>
      <c r="J525" t="inlineStr">
        <is>
          <t>NULL</t>
        </is>
      </c>
      <c r="K525" t="inlineStr">
        <is>
          <t xml:space="preserve"> NO!  	 c_dtoffset_4列源备映射错误，源端为datetimeoffset None位	期望更改为text	实际备端为datetimeoffset None位</t>
        </is>
      </c>
    </row>
    <row r="526">
      <c r="B526" t="inlineStr">
        <is>
          <t>NULL</t>
        </is>
      </c>
      <c r="C526" t="inlineStr">
        <is>
          <t>NULL</t>
        </is>
      </c>
      <c r="D526" t="inlineStr">
        <is>
          <t>NULL</t>
        </is>
      </c>
      <c r="E526" t="inlineStr">
        <is>
          <t>NULL</t>
        </is>
      </c>
      <c r="F526" t="inlineStr">
        <is>
          <t>NULL</t>
        </is>
      </c>
      <c r="G526" t="inlineStr">
        <is>
          <t>NULL</t>
        </is>
      </c>
      <c r="H526" t="inlineStr">
        <is>
          <t>NULL</t>
        </is>
      </c>
      <c r="I526" t="inlineStr">
        <is>
          <t>NULL</t>
        </is>
      </c>
      <c r="J526" t="inlineStr">
        <is>
          <t>NULL</t>
        </is>
      </c>
      <c r="K526" t="inlineStr">
        <is>
          <t xml:space="preserve"> NO!  	 c_dtoffset_5列源备映射错误，源端为datetimeoffset None位	期望更改为text	实际备端为datetimeoffset None位</t>
        </is>
      </c>
    </row>
    <row r="527">
      <c r="B527" t="inlineStr">
        <is>
          <t>NULL</t>
        </is>
      </c>
      <c r="C527" t="inlineStr">
        <is>
          <t>NULL</t>
        </is>
      </c>
      <c r="D527" t="inlineStr">
        <is>
          <t>NULL</t>
        </is>
      </c>
      <c r="E527" t="inlineStr">
        <is>
          <t>NULL</t>
        </is>
      </c>
      <c r="F527" t="inlineStr">
        <is>
          <t>NULL</t>
        </is>
      </c>
      <c r="G527" t="inlineStr">
        <is>
          <t>NULL</t>
        </is>
      </c>
      <c r="H527" t="inlineStr">
        <is>
          <t>NULL</t>
        </is>
      </c>
      <c r="I527" t="inlineStr">
        <is>
          <t>NULL</t>
        </is>
      </c>
      <c r="J527" t="inlineStr">
        <is>
          <t>NULL</t>
        </is>
      </c>
      <c r="K527" t="inlineStr">
        <is>
          <t xml:space="preserve"> NO!  	 c_dtoffset_6列源备映射错误，源端为datetimeoffset None位	期望更改为text	实际备端为datetimeoffset None位</t>
        </is>
      </c>
    </row>
    <row r="528">
      <c r="B528" t="inlineStr">
        <is>
          <t>NULL</t>
        </is>
      </c>
      <c r="C528" t="inlineStr">
        <is>
          <t>NULL</t>
        </is>
      </c>
      <c r="D528" t="inlineStr">
        <is>
          <t>NULL</t>
        </is>
      </c>
      <c r="E528" t="inlineStr">
        <is>
          <t>NULL</t>
        </is>
      </c>
      <c r="F528" t="inlineStr">
        <is>
          <t>NULL</t>
        </is>
      </c>
      <c r="G528" t="inlineStr">
        <is>
          <t>NULL</t>
        </is>
      </c>
      <c r="H528" t="inlineStr">
        <is>
          <t>NULL</t>
        </is>
      </c>
      <c r="I528" t="inlineStr">
        <is>
          <t>NULL</t>
        </is>
      </c>
      <c r="J528" t="inlineStr">
        <is>
          <t>NULL</t>
        </is>
      </c>
      <c r="K528" t="inlineStr">
        <is>
          <t xml:space="preserve"> NO!  	 c_dtoffset列源备映射错误，源端为datetimeoffset None位	期望更改为text	实际备端为datetimeoffset None位</t>
        </is>
      </c>
    </row>
    <row r="529">
      <c r="A529" t="inlineStr">
        <is>
          <t>info_nvarchar_dml_single_pk_drp</t>
        </is>
      </c>
      <c r="K529" t="inlineStr">
        <is>
          <t>[0;34m info_nvarchar_dml_single_pk_drp [0m源备字段数相同，源端字段：4 	备端字段4</t>
        </is>
      </c>
      <c r="W529" t="inlineStr">
        <is>
          <t>YES 源备无差异</t>
        </is>
      </c>
      <c r="X529">
        <f>A529</f>
        <v/>
      </c>
    </row>
    <row r="530">
      <c r="B530" t="inlineStr">
        <is>
          <t>YES</t>
        </is>
      </c>
      <c r="C530" t="inlineStr">
        <is>
          <t>NULL</t>
        </is>
      </c>
      <c r="D530" t="inlineStr">
        <is>
          <t>NULL</t>
        </is>
      </c>
      <c r="E530" t="inlineStr">
        <is>
          <t>NULL</t>
        </is>
      </c>
      <c r="F530" t="inlineStr">
        <is>
          <t>NULL</t>
        </is>
      </c>
      <c r="G530" t="inlineStr">
        <is>
          <t>NULL</t>
        </is>
      </c>
      <c r="H530" t="inlineStr">
        <is>
          <t>NULL</t>
        </is>
      </c>
      <c r="I530" t="inlineStr">
        <is>
          <t>YES!PK__info_nva__3213E83F233D1150</t>
        </is>
      </c>
      <c r="J530" t="inlineStr">
        <is>
          <t>YES! 主键相关索引</t>
        </is>
      </c>
      <c r="K530" t="inlineStr">
        <is>
          <t xml:space="preserve"> NO!  	 id列源备映射错误，源端为int None位	期望更改为text	实际备端为int None位</t>
        </is>
      </c>
    </row>
    <row r="531">
      <c r="B531" t="inlineStr">
        <is>
          <t>NULL</t>
        </is>
      </c>
      <c r="C531" t="inlineStr">
        <is>
          <t>NULL</t>
        </is>
      </c>
      <c r="D531" t="inlineStr">
        <is>
          <t>NULL</t>
        </is>
      </c>
      <c r="E531" t="inlineStr">
        <is>
          <t>NULL</t>
        </is>
      </c>
      <c r="F531" t="inlineStr">
        <is>
          <t>NULL</t>
        </is>
      </c>
      <c r="G531" t="inlineStr">
        <is>
          <t>NULL</t>
        </is>
      </c>
      <c r="H531" t="inlineStr">
        <is>
          <t>NULL</t>
        </is>
      </c>
      <c r="I531" t="inlineStr">
        <is>
          <t>NULL</t>
        </is>
      </c>
      <c r="J531" t="inlineStr">
        <is>
          <t>NULL</t>
        </is>
      </c>
      <c r="K531" t="inlineStr">
        <is>
          <t xml:space="preserve"> NO!  	 c_nvarchar列源备映射错误，源端为nvarchar 2位	期望更改为text	实际备端为nvarchar 2位</t>
        </is>
      </c>
    </row>
    <row r="532">
      <c r="B532" t="inlineStr">
        <is>
          <t>NULL</t>
        </is>
      </c>
      <c r="C532" t="inlineStr">
        <is>
          <t>NULL</t>
        </is>
      </c>
      <c r="D532" t="inlineStr">
        <is>
          <t>NULL</t>
        </is>
      </c>
      <c r="E532" t="inlineStr">
        <is>
          <t>NULL</t>
        </is>
      </c>
      <c r="F532" t="inlineStr">
        <is>
          <t>NULL</t>
        </is>
      </c>
      <c r="G532" t="inlineStr">
        <is>
          <t>NULL</t>
        </is>
      </c>
      <c r="H532" t="inlineStr">
        <is>
          <t>NULL</t>
        </is>
      </c>
      <c r="I532" t="inlineStr">
        <is>
          <t>NULL</t>
        </is>
      </c>
      <c r="J532" t="inlineStr">
        <is>
          <t>NULL</t>
        </is>
      </c>
      <c r="K532" t="inlineStr">
        <is>
          <t xml:space="preserve"> NO!  	 c_nvarchar20列源备映射错误，源端为nvarchar 40位	期望更改为text	实际备端为nvarchar 40位</t>
        </is>
      </c>
    </row>
    <row r="533">
      <c r="B533" t="inlineStr">
        <is>
          <t>NULL</t>
        </is>
      </c>
      <c r="C533" t="inlineStr">
        <is>
          <t>NULL</t>
        </is>
      </c>
      <c r="D533" t="inlineStr">
        <is>
          <t>NULL</t>
        </is>
      </c>
      <c r="E533" t="inlineStr">
        <is>
          <t>NULL</t>
        </is>
      </c>
      <c r="F533" t="inlineStr">
        <is>
          <t>NULL</t>
        </is>
      </c>
      <c r="G533" t="inlineStr">
        <is>
          <t>NULL</t>
        </is>
      </c>
      <c r="H533" t="inlineStr">
        <is>
          <t>NULL</t>
        </is>
      </c>
      <c r="I533" t="inlineStr">
        <is>
          <t>NULL</t>
        </is>
      </c>
      <c r="J533" t="inlineStr">
        <is>
          <t>NULL</t>
        </is>
      </c>
      <c r="K533" t="inlineStr">
        <is>
          <t xml:space="preserve"> NO!  	 c_nvarchar4000列源备映射错误，源端为nvarchar 8000位	期望更改为text	实际备端为nvarchar 8000位</t>
        </is>
      </c>
    </row>
    <row r="534">
      <c r="A534" t="inlineStr">
        <is>
          <t>info_binary_dml_batch2_pk_irp2</t>
        </is>
      </c>
      <c r="K534" t="inlineStr">
        <is>
          <t>[0;34m info_binary_dml_batch2_pk_irp2 [0m源备字段数相同，源端字段：4 	备端字段4</t>
        </is>
      </c>
      <c r="W534" s="17">
        <f>HYPERLINK("#2026041919hbase0!BV2","NO 源备存在差异，共25个")</f>
        <v/>
      </c>
      <c r="X534">
        <f>A534</f>
        <v/>
      </c>
    </row>
    <row r="535">
      <c r="B535" t="inlineStr">
        <is>
          <t>YES</t>
        </is>
      </c>
      <c r="C535" t="inlineStr">
        <is>
          <t>NULL</t>
        </is>
      </c>
      <c r="D535" t="inlineStr">
        <is>
          <t>NULL</t>
        </is>
      </c>
      <c r="E535" t="inlineStr">
        <is>
          <t>NULL</t>
        </is>
      </c>
      <c r="F535" t="inlineStr">
        <is>
          <t>NULL</t>
        </is>
      </c>
      <c r="G535" t="inlineStr">
        <is>
          <t>NULL</t>
        </is>
      </c>
      <c r="H535" t="inlineStr">
        <is>
          <t>NULL</t>
        </is>
      </c>
      <c r="I535" t="inlineStr">
        <is>
          <t>YES!PK__info_bin__3213E83F84A701C4</t>
        </is>
      </c>
      <c r="J535" t="inlineStr">
        <is>
          <t>YES! 主键相关索引</t>
        </is>
      </c>
      <c r="K535" t="inlineStr">
        <is>
          <t xml:space="preserve"> NO!  	 id列源备映射错误，源端为int None位	期望更改为text	实际备端为int None位</t>
        </is>
      </c>
    </row>
    <row r="536">
      <c r="B536" t="inlineStr">
        <is>
          <t>NULL</t>
        </is>
      </c>
      <c r="C536" t="inlineStr">
        <is>
          <t>NULL</t>
        </is>
      </c>
      <c r="D536" t="inlineStr">
        <is>
          <t>NULL</t>
        </is>
      </c>
      <c r="E536" t="inlineStr">
        <is>
          <t>NULL</t>
        </is>
      </c>
      <c r="F536" t="inlineStr">
        <is>
          <t>NULL</t>
        </is>
      </c>
      <c r="G536" t="inlineStr">
        <is>
          <t>NULL</t>
        </is>
      </c>
      <c r="H536" t="inlineStr">
        <is>
          <t>NULL</t>
        </is>
      </c>
      <c r="I536" t="inlineStr">
        <is>
          <t>NULL</t>
        </is>
      </c>
      <c r="J536" t="inlineStr">
        <is>
          <t>NULL</t>
        </is>
      </c>
      <c r="K536" t="inlineStr">
        <is>
          <t xml:space="preserve"> NO!  	 c_binary列源备映射错误，源端为binary 1位	期望更改为text	实际备端为binary 1位</t>
        </is>
      </c>
    </row>
    <row r="537">
      <c r="B537" t="inlineStr">
        <is>
          <t>NULL</t>
        </is>
      </c>
      <c r="C537" t="inlineStr">
        <is>
          <t>NULL</t>
        </is>
      </c>
      <c r="D537" t="inlineStr">
        <is>
          <t>NULL</t>
        </is>
      </c>
      <c r="E537" t="inlineStr">
        <is>
          <t>NULL</t>
        </is>
      </c>
      <c r="F537" t="inlineStr">
        <is>
          <t>NULL</t>
        </is>
      </c>
      <c r="G537" t="inlineStr">
        <is>
          <t>NULL</t>
        </is>
      </c>
      <c r="H537" t="inlineStr">
        <is>
          <t>NULL</t>
        </is>
      </c>
      <c r="I537" t="inlineStr">
        <is>
          <t>NULL</t>
        </is>
      </c>
      <c r="J537" t="inlineStr">
        <is>
          <t>NULL</t>
        </is>
      </c>
      <c r="K537" t="inlineStr">
        <is>
          <t xml:space="preserve"> NO!  	 c_binary_20列源备映射错误，源端为binary 20位	期望更改为text	实际备端为binary 20位</t>
        </is>
      </c>
    </row>
    <row r="538">
      <c r="B538" t="inlineStr">
        <is>
          <t>NULL</t>
        </is>
      </c>
      <c r="C538" t="inlineStr">
        <is>
          <t>NULL</t>
        </is>
      </c>
      <c r="D538" t="inlineStr">
        <is>
          <t>NULL</t>
        </is>
      </c>
      <c r="E538" t="inlineStr">
        <is>
          <t>NULL</t>
        </is>
      </c>
      <c r="F538" t="inlineStr">
        <is>
          <t>NULL</t>
        </is>
      </c>
      <c r="G538" t="inlineStr">
        <is>
          <t>NULL</t>
        </is>
      </c>
      <c r="H538" t="inlineStr">
        <is>
          <t>NULL</t>
        </is>
      </c>
      <c r="I538" t="inlineStr">
        <is>
          <t>NULL</t>
        </is>
      </c>
      <c r="J538" t="inlineStr">
        <is>
          <t>NULL</t>
        </is>
      </c>
      <c r="K538" t="inlineStr">
        <is>
          <t xml:space="preserve"> NO!  	 c_binary_200列源备映射错误，源端为binary 200位	期望更改为text	实际备端为binary 200位</t>
        </is>
      </c>
    </row>
    <row r="539">
      <c r="A539" t="inlineStr">
        <is>
          <t>info_datetimeoffset_dml_batch2_pk_irp2</t>
        </is>
      </c>
      <c r="K539" t="inlineStr">
        <is>
          <t>[0;34m info_datetimeoffset_dml_batch2_pk_irp2 [0m源备字段数相同，源端字段：9 	备端字段9</t>
        </is>
      </c>
      <c r="W539" s="17">
        <f>HYPERLINK("#2026041919hbase0!BW2","NO 源备存在差异，共37个")</f>
        <v/>
      </c>
      <c r="X539">
        <f>A539</f>
        <v/>
      </c>
    </row>
    <row r="540">
      <c r="B540" t="inlineStr">
        <is>
          <t>YES</t>
        </is>
      </c>
      <c r="C540" t="inlineStr">
        <is>
          <t>NULL</t>
        </is>
      </c>
      <c r="D540" t="inlineStr">
        <is>
          <t>NULL</t>
        </is>
      </c>
      <c r="E540" t="inlineStr">
        <is>
          <t>NULL</t>
        </is>
      </c>
      <c r="F540" t="inlineStr">
        <is>
          <t>NULL</t>
        </is>
      </c>
      <c r="G540" t="inlineStr">
        <is>
          <t>NULL</t>
        </is>
      </c>
      <c r="H540" t="inlineStr">
        <is>
          <t>NULL</t>
        </is>
      </c>
      <c r="I540" t="inlineStr">
        <is>
          <t>YES!PK__info_dat__3213E83FEFCD9658</t>
        </is>
      </c>
      <c r="J540" t="inlineStr">
        <is>
          <t>YES! 主键相关索引</t>
        </is>
      </c>
      <c r="K540" t="inlineStr">
        <is>
          <t xml:space="preserve"> NO!  	 id列源备映射错误，源端为int None位	期望更改为text	实际备端为int None位</t>
        </is>
      </c>
    </row>
    <row r="541">
      <c r="B541" t="inlineStr">
        <is>
          <t>NULL</t>
        </is>
      </c>
      <c r="C541" t="inlineStr">
        <is>
          <t>NULL</t>
        </is>
      </c>
      <c r="D541" t="inlineStr">
        <is>
          <t>NULL</t>
        </is>
      </c>
      <c r="E541" t="inlineStr">
        <is>
          <t>NULL</t>
        </is>
      </c>
      <c r="F541" t="inlineStr">
        <is>
          <t>NULL</t>
        </is>
      </c>
      <c r="G541" t="inlineStr">
        <is>
          <t>NULL</t>
        </is>
      </c>
      <c r="H541" t="inlineStr">
        <is>
          <t>NULL</t>
        </is>
      </c>
      <c r="I541" t="inlineStr">
        <is>
          <t>NULL</t>
        </is>
      </c>
      <c r="J541" t="inlineStr">
        <is>
          <t>NULL</t>
        </is>
      </c>
      <c r="K541" t="inlineStr">
        <is>
          <t xml:space="preserve"> NO!  	 c_dtoffset_0列源备映射错误，源端为datetimeoffset None位	期望更改为text	实际备端为datetimeoffset None位</t>
        </is>
      </c>
    </row>
    <row r="542">
      <c r="B542" t="inlineStr">
        <is>
          <t>NULL</t>
        </is>
      </c>
      <c r="C542" t="inlineStr">
        <is>
          <t>NULL</t>
        </is>
      </c>
      <c r="D542" t="inlineStr">
        <is>
          <t>NULL</t>
        </is>
      </c>
      <c r="E542" t="inlineStr">
        <is>
          <t>NULL</t>
        </is>
      </c>
      <c r="F542" t="inlineStr">
        <is>
          <t>NULL</t>
        </is>
      </c>
      <c r="G542" t="inlineStr">
        <is>
          <t>NULL</t>
        </is>
      </c>
      <c r="H542" t="inlineStr">
        <is>
          <t>NULL</t>
        </is>
      </c>
      <c r="I542" t="inlineStr">
        <is>
          <t>NULL</t>
        </is>
      </c>
      <c r="J542" t="inlineStr">
        <is>
          <t>NULL</t>
        </is>
      </c>
      <c r="K542" t="inlineStr">
        <is>
          <t xml:space="preserve"> NO!  	 c_dtoffset_1列源备映射错误，源端为datetimeoffset None位	期望更改为text	实际备端为datetimeoffset None位</t>
        </is>
      </c>
    </row>
    <row r="543">
      <c r="B543" t="inlineStr">
        <is>
          <t>NULL</t>
        </is>
      </c>
      <c r="C543" t="inlineStr">
        <is>
          <t>NULL</t>
        </is>
      </c>
      <c r="D543" t="inlineStr">
        <is>
          <t>NULL</t>
        </is>
      </c>
      <c r="E543" t="inlineStr">
        <is>
          <t>NULL</t>
        </is>
      </c>
      <c r="F543" t="inlineStr">
        <is>
          <t>NULL</t>
        </is>
      </c>
      <c r="G543" t="inlineStr">
        <is>
          <t>NULL</t>
        </is>
      </c>
      <c r="H543" t="inlineStr">
        <is>
          <t>NULL</t>
        </is>
      </c>
      <c r="I543" t="inlineStr">
        <is>
          <t>NULL</t>
        </is>
      </c>
      <c r="J543" t="inlineStr">
        <is>
          <t>NULL</t>
        </is>
      </c>
      <c r="K543" t="inlineStr">
        <is>
          <t xml:space="preserve"> NO!  	 c_dtoffset_2列源备映射错误，源端为datetimeoffset None位	期望更改为text	实际备端为datetimeoffset None位</t>
        </is>
      </c>
    </row>
    <row r="544">
      <c r="B544" t="inlineStr">
        <is>
          <t>NULL</t>
        </is>
      </c>
      <c r="C544" t="inlineStr">
        <is>
          <t>NULL</t>
        </is>
      </c>
      <c r="D544" t="inlineStr">
        <is>
          <t>NULL</t>
        </is>
      </c>
      <c r="E544" t="inlineStr">
        <is>
          <t>NULL</t>
        </is>
      </c>
      <c r="F544" t="inlineStr">
        <is>
          <t>NULL</t>
        </is>
      </c>
      <c r="G544" t="inlineStr">
        <is>
          <t>NULL</t>
        </is>
      </c>
      <c r="H544" t="inlineStr">
        <is>
          <t>NULL</t>
        </is>
      </c>
      <c r="I544" t="inlineStr">
        <is>
          <t>NULL</t>
        </is>
      </c>
      <c r="J544" t="inlineStr">
        <is>
          <t>NULL</t>
        </is>
      </c>
      <c r="K544" t="inlineStr">
        <is>
          <t xml:space="preserve"> NO!  	 c_dtoffset_3列源备映射错误，源端为datetimeoffset None位	期望更改为text	实际备端为datetimeoffset None位</t>
        </is>
      </c>
    </row>
    <row r="545">
      <c r="B545" t="inlineStr">
        <is>
          <t>NULL</t>
        </is>
      </c>
      <c r="C545" t="inlineStr">
        <is>
          <t>NULL</t>
        </is>
      </c>
      <c r="D545" t="inlineStr">
        <is>
          <t>NULL</t>
        </is>
      </c>
      <c r="E545" t="inlineStr">
        <is>
          <t>NULL</t>
        </is>
      </c>
      <c r="F545" t="inlineStr">
        <is>
          <t>NULL</t>
        </is>
      </c>
      <c r="G545" t="inlineStr">
        <is>
          <t>NULL</t>
        </is>
      </c>
      <c r="H545" t="inlineStr">
        <is>
          <t>NULL</t>
        </is>
      </c>
      <c r="I545" t="inlineStr">
        <is>
          <t>NULL</t>
        </is>
      </c>
      <c r="J545" t="inlineStr">
        <is>
          <t>NULL</t>
        </is>
      </c>
      <c r="K545" t="inlineStr">
        <is>
          <t xml:space="preserve"> NO!  	 c_dtoffset_4列源备映射错误，源端为datetimeoffset None位	期望更改为text	实际备端为datetimeoffset None位</t>
        </is>
      </c>
    </row>
    <row r="546">
      <c r="B546" t="inlineStr">
        <is>
          <t>NULL</t>
        </is>
      </c>
      <c r="C546" t="inlineStr">
        <is>
          <t>NULL</t>
        </is>
      </c>
      <c r="D546" t="inlineStr">
        <is>
          <t>NULL</t>
        </is>
      </c>
      <c r="E546" t="inlineStr">
        <is>
          <t>NULL</t>
        </is>
      </c>
      <c r="F546" t="inlineStr">
        <is>
          <t>NULL</t>
        </is>
      </c>
      <c r="G546" t="inlineStr">
        <is>
          <t>NULL</t>
        </is>
      </c>
      <c r="H546" t="inlineStr">
        <is>
          <t>NULL</t>
        </is>
      </c>
      <c r="I546" t="inlineStr">
        <is>
          <t>NULL</t>
        </is>
      </c>
      <c r="J546" t="inlineStr">
        <is>
          <t>NULL</t>
        </is>
      </c>
      <c r="K546" t="inlineStr">
        <is>
          <t xml:space="preserve"> NO!  	 c_dtoffset_5列源备映射错误，源端为datetimeoffset None位	期望更改为text	实际备端为datetimeoffset None位</t>
        </is>
      </c>
    </row>
    <row r="547">
      <c r="B547" t="inlineStr">
        <is>
          <t>NULL</t>
        </is>
      </c>
      <c r="C547" t="inlineStr">
        <is>
          <t>NULL</t>
        </is>
      </c>
      <c r="D547" t="inlineStr">
        <is>
          <t>NULL</t>
        </is>
      </c>
      <c r="E547" t="inlineStr">
        <is>
          <t>NULL</t>
        </is>
      </c>
      <c r="F547" t="inlineStr">
        <is>
          <t>NULL</t>
        </is>
      </c>
      <c r="G547" t="inlineStr">
        <is>
          <t>NULL</t>
        </is>
      </c>
      <c r="H547" t="inlineStr">
        <is>
          <t>NULL</t>
        </is>
      </c>
      <c r="I547" t="inlineStr">
        <is>
          <t>NULL</t>
        </is>
      </c>
      <c r="J547" t="inlineStr">
        <is>
          <t>NULL</t>
        </is>
      </c>
      <c r="K547" t="inlineStr">
        <is>
          <t xml:space="preserve"> NO!  	 c_dtoffset_6列源备映射错误，源端为datetimeoffset None位	期望更改为text	实际备端为datetimeoffset None位</t>
        </is>
      </c>
    </row>
    <row r="548">
      <c r="B548" t="inlineStr">
        <is>
          <t>NULL</t>
        </is>
      </c>
      <c r="C548" t="inlineStr">
        <is>
          <t>NULL</t>
        </is>
      </c>
      <c r="D548" t="inlineStr">
        <is>
          <t>NULL</t>
        </is>
      </c>
      <c r="E548" t="inlineStr">
        <is>
          <t>NULL</t>
        </is>
      </c>
      <c r="F548" t="inlineStr">
        <is>
          <t>NULL</t>
        </is>
      </c>
      <c r="G548" t="inlineStr">
        <is>
          <t>NULL</t>
        </is>
      </c>
      <c r="H548" t="inlineStr">
        <is>
          <t>NULL</t>
        </is>
      </c>
      <c r="I548" t="inlineStr">
        <is>
          <t>NULL</t>
        </is>
      </c>
      <c r="J548" t="inlineStr">
        <is>
          <t>NULL</t>
        </is>
      </c>
      <c r="K548" t="inlineStr">
        <is>
          <t xml:space="preserve"> NO!  	 c_dtoffset列源备映射错误，源端为datetimeoffset None位	期望更改为text	实际备端为datetimeoffset None位</t>
        </is>
      </c>
    </row>
    <row r="549">
      <c r="A549" t="inlineStr">
        <is>
          <t>info_char_dml_batch1_pk_urp2</t>
        </is>
      </c>
      <c r="K549" t="inlineStr">
        <is>
          <t>[0;34m info_char_dml_batch1_pk_urp2 [0m源备字段数相同，源端字段：4 	备端字段4</t>
        </is>
      </c>
      <c r="W549" s="17">
        <f>HYPERLINK("#2026041919hbase0!BX2","NO 源备存在差异，共4个")</f>
        <v/>
      </c>
      <c r="X549">
        <f>A549</f>
        <v/>
      </c>
    </row>
    <row r="550">
      <c r="B550" t="inlineStr">
        <is>
          <t>YES</t>
        </is>
      </c>
      <c r="C550" t="inlineStr">
        <is>
          <t>NULL</t>
        </is>
      </c>
      <c r="D550" t="inlineStr">
        <is>
          <t>NULL</t>
        </is>
      </c>
      <c r="E550" t="inlineStr">
        <is>
          <t>NULL</t>
        </is>
      </c>
      <c r="F550" t="inlineStr">
        <is>
          <t>NULL</t>
        </is>
      </c>
      <c r="G550" t="inlineStr">
        <is>
          <t>NULL</t>
        </is>
      </c>
      <c r="H550" t="inlineStr">
        <is>
          <t>NULL</t>
        </is>
      </c>
      <c r="I550" t="inlineStr">
        <is>
          <t>YES!PK__info_cha__3213E83FE4C183CD</t>
        </is>
      </c>
      <c r="J550" t="inlineStr">
        <is>
          <t>YES! 主键相关索引</t>
        </is>
      </c>
      <c r="K550" t="inlineStr">
        <is>
          <t xml:space="preserve"> NO!  	 id列源备映射错误，源端为int None位	期望更改为text	实际备端为int None位</t>
        </is>
      </c>
    </row>
    <row r="551">
      <c r="B551" t="inlineStr">
        <is>
          <t>NULL</t>
        </is>
      </c>
      <c r="C551" t="inlineStr">
        <is>
          <t>NULL</t>
        </is>
      </c>
      <c r="D551" t="inlineStr">
        <is>
          <t>NULL</t>
        </is>
      </c>
      <c r="E551" t="inlineStr">
        <is>
          <t>NULL</t>
        </is>
      </c>
      <c r="F551" t="inlineStr">
        <is>
          <t>NULL</t>
        </is>
      </c>
      <c r="G551" t="inlineStr">
        <is>
          <t>NULL</t>
        </is>
      </c>
      <c r="H551" t="inlineStr">
        <is>
          <t>NULL</t>
        </is>
      </c>
      <c r="I551" t="inlineStr">
        <is>
          <t>NULL</t>
        </is>
      </c>
      <c r="J551" t="inlineStr">
        <is>
          <t>NULL</t>
        </is>
      </c>
      <c r="K551" t="inlineStr">
        <is>
          <t xml:space="preserve"> NO!  	 c_char列源备映射错误，源端为char 1位	期望更改为text	实际备端为char 1位</t>
        </is>
      </c>
    </row>
    <row r="552">
      <c r="B552" t="inlineStr">
        <is>
          <t>NULL</t>
        </is>
      </c>
      <c r="C552" t="inlineStr">
        <is>
          <t>NULL</t>
        </is>
      </c>
      <c r="D552" t="inlineStr">
        <is>
          <t>NULL</t>
        </is>
      </c>
      <c r="E552" t="inlineStr">
        <is>
          <t>NULL</t>
        </is>
      </c>
      <c r="F552" t="inlineStr">
        <is>
          <t>NULL</t>
        </is>
      </c>
      <c r="G552" t="inlineStr">
        <is>
          <t>NULL</t>
        </is>
      </c>
      <c r="H552" t="inlineStr">
        <is>
          <t>NULL</t>
        </is>
      </c>
      <c r="I552" t="inlineStr">
        <is>
          <t>NULL</t>
        </is>
      </c>
      <c r="J552" t="inlineStr">
        <is>
          <t>NULL</t>
        </is>
      </c>
      <c r="K552" t="inlineStr">
        <is>
          <t xml:space="preserve"> NO!  	 c_char20列源备映射错误，源端为char 20位	期望更改为text	实际备端为char 20位</t>
        </is>
      </c>
    </row>
    <row r="553">
      <c r="B553" t="inlineStr">
        <is>
          <t>NULL</t>
        </is>
      </c>
      <c r="C553" t="inlineStr">
        <is>
          <t>NULL</t>
        </is>
      </c>
      <c r="D553" t="inlineStr">
        <is>
          <t>NULL</t>
        </is>
      </c>
      <c r="E553" t="inlineStr">
        <is>
          <t>NULL</t>
        </is>
      </c>
      <c r="F553" t="inlineStr">
        <is>
          <t>NULL</t>
        </is>
      </c>
      <c r="G553" t="inlineStr">
        <is>
          <t>NULL</t>
        </is>
      </c>
      <c r="H553" t="inlineStr">
        <is>
          <t>NULL</t>
        </is>
      </c>
      <c r="I553" t="inlineStr">
        <is>
          <t>NULL</t>
        </is>
      </c>
      <c r="J553" t="inlineStr">
        <is>
          <t>NULL</t>
        </is>
      </c>
      <c r="K553" t="inlineStr">
        <is>
          <t xml:space="preserve"> NO!  	 c_char7000列源备映射错误，源端为char 7000位	期望更改为text	实际备端为char 7000位</t>
        </is>
      </c>
    </row>
    <row r="554">
      <c r="A554" t="inlineStr">
        <is>
          <t>info_datetimeoffset_dml_batch1_pk_urp1</t>
        </is>
      </c>
      <c r="K554" t="inlineStr">
        <is>
          <t>[0;34m info_datetimeoffset_dml_batch1_pk_urp1 [0m源备字段数相同，源端字段：9 	备端字段9</t>
        </is>
      </c>
      <c r="W554" s="17">
        <f>HYPERLINK("#2026041919hbase0!BY2","NO 源备存在差异，共12个")</f>
        <v/>
      </c>
      <c r="X554">
        <f>A554</f>
        <v/>
      </c>
    </row>
    <row r="555">
      <c r="B555" t="inlineStr">
        <is>
          <t>YES</t>
        </is>
      </c>
      <c r="C555" t="inlineStr">
        <is>
          <t>NULL</t>
        </is>
      </c>
      <c r="D555" t="inlineStr">
        <is>
          <t>NULL</t>
        </is>
      </c>
      <c r="E555" t="inlineStr">
        <is>
          <t>NULL</t>
        </is>
      </c>
      <c r="F555" t="inlineStr">
        <is>
          <t>NULL</t>
        </is>
      </c>
      <c r="G555" t="inlineStr">
        <is>
          <t>NULL</t>
        </is>
      </c>
      <c r="H555" t="inlineStr">
        <is>
          <t>NULL</t>
        </is>
      </c>
      <c r="I555" t="inlineStr">
        <is>
          <t>YES!PK__info_dat__3213E83F42DB3FC3</t>
        </is>
      </c>
      <c r="J555" t="inlineStr">
        <is>
          <t>YES! 主键相关索引</t>
        </is>
      </c>
      <c r="K555" t="inlineStr">
        <is>
          <t xml:space="preserve"> NO!  	 id列源备映射错误，源端为int None位	期望更改为text	实际备端为int None位</t>
        </is>
      </c>
    </row>
    <row r="556">
      <c r="B556" t="inlineStr">
        <is>
          <t>NULL</t>
        </is>
      </c>
      <c r="C556" t="inlineStr">
        <is>
          <t>NULL</t>
        </is>
      </c>
      <c r="D556" t="inlineStr">
        <is>
          <t>NULL</t>
        </is>
      </c>
      <c r="E556" t="inlineStr">
        <is>
          <t>NULL</t>
        </is>
      </c>
      <c r="F556" t="inlineStr">
        <is>
          <t>NULL</t>
        </is>
      </c>
      <c r="G556" t="inlineStr">
        <is>
          <t>NULL</t>
        </is>
      </c>
      <c r="H556" t="inlineStr">
        <is>
          <t>NULL</t>
        </is>
      </c>
      <c r="I556" t="inlineStr">
        <is>
          <t>NULL</t>
        </is>
      </c>
      <c r="J556" t="inlineStr">
        <is>
          <t>NULL</t>
        </is>
      </c>
      <c r="K556" t="inlineStr">
        <is>
          <t xml:space="preserve"> NO!  	 c_dtoffset_0列源备映射错误，源端为datetimeoffset None位	期望更改为text	实际备端为datetimeoffset None位</t>
        </is>
      </c>
    </row>
    <row r="557">
      <c r="B557" t="inlineStr">
        <is>
          <t>NULL</t>
        </is>
      </c>
      <c r="C557" t="inlineStr">
        <is>
          <t>NULL</t>
        </is>
      </c>
      <c r="D557" t="inlineStr">
        <is>
          <t>NULL</t>
        </is>
      </c>
      <c r="E557" t="inlineStr">
        <is>
          <t>NULL</t>
        </is>
      </c>
      <c r="F557" t="inlineStr">
        <is>
          <t>NULL</t>
        </is>
      </c>
      <c r="G557" t="inlineStr">
        <is>
          <t>NULL</t>
        </is>
      </c>
      <c r="H557" t="inlineStr">
        <is>
          <t>NULL</t>
        </is>
      </c>
      <c r="I557" t="inlineStr">
        <is>
          <t>NULL</t>
        </is>
      </c>
      <c r="J557" t="inlineStr">
        <is>
          <t>NULL</t>
        </is>
      </c>
      <c r="K557" t="inlineStr">
        <is>
          <t xml:space="preserve"> NO!  	 c_dtoffset_1列源备映射错误，源端为datetimeoffset None位	期望更改为text	实际备端为datetimeoffset None位</t>
        </is>
      </c>
    </row>
    <row r="558">
      <c r="B558" t="inlineStr">
        <is>
          <t>NULL</t>
        </is>
      </c>
      <c r="C558" t="inlineStr">
        <is>
          <t>NULL</t>
        </is>
      </c>
      <c r="D558" t="inlineStr">
        <is>
          <t>NULL</t>
        </is>
      </c>
      <c r="E558" t="inlineStr">
        <is>
          <t>NULL</t>
        </is>
      </c>
      <c r="F558" t="inlineStr">
        <is>
          <t>NULL</t>
        </is>
      </c>
      <c r="G558" t="inlineStr">
        <is>
          <t>NULL</t>
        </is>
      </c>
      <c r="H558" t="inlineStr">
        <is>
          <t>NULL</t>
        </is>
      </c>
      <c r="I558" t="inlineStr">
        <is>
          <t>NULL</t>
        </is>
      </c>
      <c r="J558" t="inlineStr">
        <is>
          <t>NULL</t>
        </is>
      </c>
      <c r="K558" t="inlineStr">
        <is>
          <t xml:space="preserve"> NO!  	 c_dtoffset_2列源备映射错误，源端为datetimeoffset None位	期望更改为text	实际备端为datetimeoffset None位</t>
        </is>
      </c>
    </row>
    <row r="559">
      <c r="B559" t="inlineStr">
        <is>
          <t>NULL</t>
        </is>
      </c>
      <c r="C559" t="inlineStr">
        <is>
          <t>NULL</t>
        </is>
      </c>
      <c r="D559" t="inlineStr">
        <is>
          <t>NULL</t>
        </is>
      </c>
      <c r="E559" t="inlineStr">
        <is>
          <t>NULL</t>
        </is>
      </c>
      <c r="F559" t="inlineStr">
        <is>
          <t>NULL</t>
        </is>
      </c>
      <c r="G559" t="inlineStr">
        <is>
          <t>NULL</t>
        </is>
      </c>
      <c r="H559" t="inlineStr">
        <is>
          <t>NULL</t>
        </is>
      </c>
      <c r="I559" t="inlineStr">
        <is>
          <t>NULL</t>
        </is>
      </c>
      <c r="J559" t="inlineStr">
        <is>
          <t>NULL</t>
        </is>
      </c>
      <c r="K559" t="inlineStr">
        <is>
          <t xml:space="preserve"> NO!  	 c_dtoffset_3列源备映射错误，源端为datetimeoffset None位	期望更改为text	实际备端为datetimeoffset None位</t>
        </is>
      </c>
    </row>
    <row r="560">
      <c r="B560" t="inlineStr">
        <is>
          <t>NULL</t>
        </is>
      </c>
      <c r="C560" t="inlineStr">
        <is>
          <t>NULL</t>
        </is>
      </c>
      <c r="D560" t="inlineStr">
        <is>
          <t>NULL</t>
        </is>
      </c>
      <c r="E560" t="inlineStr">
        <is>
          <t>NULL</t>
        </is>
      </c>
      <c r="F560" t="inlineStr">
        <is>
          <t>NULL</t>
        </is>
      </c>
      <c r="G560" t="inlineStr">
        <is>
          <t>NULL</t>
        </is>
      </c>
      <c r="H560" t="inlineStr">
        <is>
          <t>NULL</t>
        </is>
      </c>
      <c r="I560" t="inlineStr">
        <is>
          <t>NULL</t>
        </is>
      </c>
      <c r="J560" t="inlineStr">
        <is>
          <t>NULL</t>
        </is>
      </c>
      <c r="K560" t="inlineStr">
        <is>
          <t xml:space="preserve"> NO!  	 c_dtoffset_4列源备映射错误，源端为datetimeoffset None位	期望更改为text	实际备端为datetimeoffset None位</t>
        </is>
      </c>
    </row>
    <row r="561">
      <c r="B561" t="inlineStr">
        <is>
          <t>NULL</t>
        </is>
      </c>
      <c r="C561" t="inlineStr">
        <is>
          <t>NULL</t>
        </is>
      </c>
      <c r="D561" t="inlineStr">
        <is>
          <t>NULL</t>
        </is>
      </c>
      <c r="E561" t="inlineStr">
        <is>
          <t>NULL</t>
        </is>
      </c>
      <c r="F561" t="inlineStr">
        <is>
          <t>NULL</t>
        </is>
      </c>
      <c r="G561" t="inlineStr">
        <is>
          <t>NULL</t>
        </is>
      </c>
      <c r="H561" t="inlineStr">
        <is>
          <t>NULL</t>
        </is>
      </c>
      <c r="I561" t="inlineStr">
        <is>
          <t>NULL</t>
        </is>
      </c>
      <c r="J561" t="inlineStr">
        <is>
          <t>NULL</t>
        </is>
      </c>
      <c r="K561" t="inlineStr">
        <is>
          <t xml:space="preserve"> NO!  	 c_dtoffset_5列源备映射错误，源端为datetimeoffset None位	期望更改为text	实际备端为datetimeoffset None位</t>
        </is>
      </c>
    </row>
    <row r="562">
      <c r="B562" t="inlineStr">
        <is>
          <t>NULL</t>
        </is>
      </c>
      <c r="C562" t="inlineStr">
        <is>
          <t>NULL</t>
        </is>
      </c>
      <c r="D562" t="inlineStr">
        <is>
          <t>NULL</t>
        </is>
      </c>
      <c r="E562" t="inlineStr">
        <is>
          <t>NULL</t>
        </is>
      </c>
      <c r="F562" t="inlineStr">
        <is>
          <t>NULL</t>
        </is>
      </c>
      <c r="G562" t="inlineStr">
        <is>
          <t>NULL</t>
        </is>
      </c>
      <c r="H562" t="inlineStr">
        <is>
          <t>NULL</t>
        </is>
      </c>
      <c r="I562" t="inlineStr">
        <is>
          <t>NULL</t>
        </is>
      </c>
      <c r="J562" t="inlineStr">
        <is>
          <t>NULL</t>
        </is>
      </c>
      <c r="K562" t="inlineStr">
        <is>
          <t xml:space="preserve"> NO!  	 c_dtoffset_6列源备映射错误，源端为datetimeoffset None位	期望更改为text	实际备端为datetimeoffset None位</t>
        </is>
      </c>
    </row>
    <row r="563">
      <c r="B563" t="inlineStr">
        <is>
          <t>NULL</t>
        </is>
      </c>
      <c r="C563" t="inlineStr">
        <is>
          <t>NULL</t>
        </is>
      </c>
      <c r="D563" t="inlineStr">
        <is>
          <t>NULL</t>
        </is>
      </c>
      <c r="E563" t="inlineStr">
        <is>
          <t>NULL</t>
        </is>
      </c>
      <c r="F563" t="inlineStr">
        <is>
          <t>NULL</t>
        </is>
      </c>
      <c r="G563" t="inlineStr">
        <is>
          <t>NULL</t>
        </is>
      </c>
      <c r="H563" t="inlineStr">
        <is>
          <t>NULL</t>
        </is>
      </c>
      <c r="I563" t="inlineStr">
        <is>
          <t>NULL</t>
        </is>
      </c>
      <c r="J563" t="inlineStr">
        <is>
          <t>NULL</t>
        </is>
      </c>
      <c r="K563" t="inlineStr">
        <is>
          <t xml:space="preserve"> NO!  	 c_dtoffset列源备映射错误，源端为datetimeoffset None位	期望更改为text	实际备端为datetimeoffset None位</t>
        </is>
      </c>
    </row>
    <row r="564">
      <c r="A564" t="inlineStr">
        <is>
          <t>info_varcharmax_dml_batch2_pk_irp1</t>
        </is>
      </c>
      <c r="K564" t="inlineStr">
        <is>
          <t>[0;34m info_varcharmax_dml_batch2_pk_irp1 [0m源备字段数相同，源端字段：3 	备端字段3</t>
        </is>
      </c>
      <c r="W564" t="inlineStr">
        <is>
          <t>YES 源备无差异</t>
        </is>
      </c>
      <c r="X564">
        <f>A564</f>
        <v/>
      </c>
    </row>
    <row r="565">
      <c r="B565" t="inlineStr">
        <is>
          <t>YES</t>
        </is>
      </c>
      <c r="C565" t="inlineStr">
        <is>
          <t>NULL</t>
        </is>
      </c>
      <c r="D565" t="inlineStr">
        <is>
          <t>NULL</t>
        </is>
      </c>
      <c r="E565" t="inlineStr">
        <is>
          <t>NULL</t>
        </is>
      </c>
      <c r="F565" t="inlineStr">
        <is>
          <t>NULL</t>
        </is>
      </c>
      <c r="G565" t="inlineStr">
        <is>
          <t>NULL</t>
        </is>
      </c>
      <c r="H565" t="inlineStr">
        <is>
          <t>NULL</t>
        </is>
      </c>
      <c r="I565" t="inlineStr">
        <is>
          <t>YES!PK__info_var__3213E83F8E366367</t>
        </is>
      </c>
      <c r="J565" t="inlineStr">
        <is>
          <t>YES! 主键相关索引</t>
        </is>
      </c>
      <c r="K565" t="inlineStr">
        <is>
          <t xml:space="preserve"> NO!  	 id列源备映射错误，源端为int None位	期望更改为text	实际备端为int None位</t>
        </is>
      </c>
    </row>
    <row r="566">
      <c r="B566" t="inlineStr">
        <is>
          <t>NULL</t>
        </is>
      </c>
      <c r="C566" t="inlineStr">
        <is>
          <t>NULL</t>
        </is>
      </c>
      <c r="D566" t="inlineStr">
        <is>
          <t>NULL</t>
        </is>
      </c>
      <c r="E566" t="inlineStr">
        <is>
          <t>NULL</t>
        </is>
      </c>
      <c r="F566" t="inlineStr">
        <is>
          <t>NULL</t>
        </is>
      </c>
      <c r="G566" t="inlineStr">
        <is>
          <t>NULL</t>
        </is>
      </c>
      <c r="H566" t="inlineStr">
        <is>
          <t>NULL</t>
        </is>
      </c>
      <c r="I566" t="inlineStr">
        <is>
          <t>NULL</t>
        </is>
      </c>
      <c r="J566" t="inlineStr">
        <is>
          <t>NULL</t>
        </is>
      </c>
      <c r="K566" t="inlineStr">
        <is>
          <t xml:space="preserve"> NO!  	 c_varchar_max列源备映射错误，源端为varchar -1位	期望更改为text	实际备端为varchar -1位</t>
        </is>
      </c>
    </row>
    <row r="567">
      <c r="B567" t="inlineStr">
        <is>
          <t>NULL</t>
        </is>
      </c>
      <c r="C567" t="inlineStr">
        <is>
          <t>NULL</t>
        </is>
      </c>
      <c r="D567" t="inlineStr">
        <is>
          <t>NULL</t>
        </is>
      </c>
      <c r="E567" t="inlineStr">
        <is>
          <t>NULL</t>
        </is>
      </c>
      <c r="F567" t="inlineStr">
        <is>
          <t>NULL</t>
        </is>
      </c>
      <c r="G567" t="inlineStr">
        <is>
          <t>NULL</t>
        </is>
      </c>
      <c r="H567" t="inlineStr">
        <is>
          <t>NULL</t>
        </is>
      </c>
      <c r="I567" t="inlineStr">
        <is>
          <t>NULL</t>
        </is>
      </c>
      <c r="J567" t="inlineStr">
        <is>
          <t>NULL</t>
        </is>
      </c>
      <c r="K567" t="inlineStr">
        <is>
          <t xml:space="preserve"> NO!  	 c_nvarchar_max列源备映射错误，源端为nvarchar -1位	期望更改为text	实际备端为nvarchar -1位</t>
        </is>
      </c>
    </row>
    <row r="568">
      <c r="K568" t="inlineStr">
        <is>
          <t>~ 空表</t>
        </is>
      </c>
    </row>
    <row r="569">
      <c r="A569" t="inlineStr">
        <is>
          <t>info_time_dml_single_pk_irp</t>
        </is>
      </c>
      <c r="K569" t="inlineStr">
        <is>
          <t>[0;34m info_time_dml_single_pk_irp [0m源备字段数相同，源端字段：9 	备端字段9</t>
        </is>
      </c>
      <c r="W569" s="17">
        <f>HYPERLINK("#2026041919hbase0!BZ2","NO 源备存在差异，共13个")</f>
        <v/>
      </c>
      <c r="X569">
        <f>A569</f>
        <v/>
      </c>
    </row>
    <row r="570">
      <c r="B570" t="inlineStr">
        <is>
          <t>YES</t>
        </is>
      </c>
      <c r="C570" t="inlineStr">
        <is>
          <t>NULL</t>
        </is>
      </c>
      <c r="D570" t="inlineStr">
        <is>
          <t>NULL</t>
        </is>
      </c>
      <c r="E570" t="inlineStr">
        <is>
          <t>NULL</t>
        </is>
      </c>
      <c r="F570" t="inlineStr">
        <is>
          <t>NULL</t>
        </is>
      </c>
      <c r="G570" t="inlineStr">
        <is>
          <t>NULL</t>
        </is>
      </c>
      <c r="H570" t="inlineStr">
        <is>
          <t>NULL</t>
        </is>
      </c>
      <c r="I570" t="inlineStr">
        <is>
          <t>YES!PK__info_tim__3213E83FD7CA7301</t>
        </is>
      </c>
      <c r="J570" t="inlineStr">
        <is>
          <t>YES! 主键相关索引</t>
        </is>
      </c>
      <c r="K570" t="inlineStr">
        <is>
          <t xml:space="preserve"> NO!  	 id列源备映射错误，源端为int None位	期望更改为text	实际备端为int None位</t>
        </is>
      </c>
    </row>
    <row r="571">
      <c r="B571" t="inlineStr">
        <is>
          <t>NULL</t>
        </is>
      </c>
      <c r="C571" t="inlineStr">
        <is>
          <t>NULL</t>
        </is>
      </c>
      <c r="D571" t="inlineStr">
        <is>
          <t>NULL</t>
        </is>
      </c>
      <c r="E571" t="inlineStr">
        <is>
          <t>NULL</t>
        </is>
      </c>
      <c r="F571" t="inlineStr">
        <is>
          <t>NULL</t>
        </is>
      </c>
      <c r="G571" t="inlineStr">
        <is>
          <t>NULL</t>
        </is>
      </c>
      <c r="H571" t="inlineStr">
        <is>
          <t>NULL</t>
        </is>
      </c>
      <c r="I571" t="inlineStr">
        <is>
          <t>NULL</t>
        </is>
      </c>
      <c r="J571" t="inlineStr">
        <is>
          <t>NULL</t>
        </is>
      </c>
      <c r="K571" t="inlineStr">
        <is>
          <t xml:space="preserve"> NO!  	 c_time0列源备映射错误，源端为time None位	期望更改为text	实际备端为time None位</t>
        </is>
      </c>
    </row>
    <row r="572">
      <c r="B572" t="inlineStr">
        <is>
          <t>NULL</t>
        </is>
      </c>
      <c r="C572" t="inlineStr">
        <is>
          <t>NULL</t>
        </is>
      </c>
      <c r="D572" t="inlineStr">
        <is>
          <t>NULL</t>
        </is>
      </c>
      <c r="E572" t="inlineStr">
        <is>
          <t>NULL</t>
        </is>
      </c>
      <c r="F572" t="inlineStr">
        <is>
          <t>NULL</t>
        </is>
      </c>
      <c r="G572" t="inlineStr">
        <is>
          <t>NULL</t>
        </is>
      </c>
      <c r="H572" t="inlineStr">
        <is>
          <t>NULL</t>
        </is>
      </c>
      <c r="I572" t="inlineStr">
        <is>
          <t>NULL</t>
        </is>
      </c>
      <c r="J572" t="inlineStr">
        <is>
          <t>NULL</t>
        </is>
      </c>
      <c r="K572" t="inlineStr">
        <is>
          <t xml:space="preserve"> NO!  	 c_time1列源备映射错误，源端为time None位	期望更改为text	实际备端为time None位</t>
        </is>
      </c>
    </row>
    <row r="573">
      <c r="B573" t="inlineStr">
        <is>
          <t>NULL</t>
        </is>
      </c>
      <c r="C573" t="inlineStr">
        <is>
          <t>NULL</t>
        </is>
      </c>
      <c r="D573" t="inlineStr">
        <is>
          <t>NULL</t>
        </is>
      </c>
      <c r="E573" t="inlineStr">
        <is>
          <t>NULL</t>
        </is>
      </c>
      <c r="F573" t="inlineStr">
        <is>
          <t>NULL</t>
        </is>
      </c>
      <c r="G573" t="inlineStr">
        <is>
          <t>NULL</t>
        </is>
      </c>
      <c r="H573" t="inlineStr">
        <is>
          <t>NULL</t>
        </is>
      </c>
      <c r="I573" t="inlineStr">
        <is>
          <t>NULL</t>
        </is>
      </c>
      <c r="J573" t="inlineStr">
        <is>
          <t>NULL</t>
        </is>
      </c>
      <c r="K573" t="inlineStr">
        <is>
          <t xml:space="preserve"> NO!  	 c_time2列源备映射错误，源端为time None位	期望更改为text	实际备端为time None位</t>
        </is>
      </c>
    </row>
    <row r="574">
      <c r="B574" t="inlineStr">
        <is>
          <t>NULL</t>
        </is>
      </c>
      <c r="C574" t="inlineStr">
        <is>
          <t>NULL</t>
        </is>
      </c>
      <c r="D574" t="inlineStr">
        <is>
          <t>NULL</t>
        </is>
      </c>
      <c r="E574" t="inlineStr">
        <is>
          <t>NULL</t>
        </is>
      </c>
      <c r="F574" t="inlineStr">
        <is>
          <t>NULL</t>
        </is>
      </c>
      <c r="G574" t="inlineStr">
        <is>
          <t>NULL</t>
        </is>
      </c>
      <c r="H574" t="inlineStr">
        <is>
          <t>NULL</t>
        </is>
      </c>
      <c r="I574" t="inlineStr">
        <is>
          <t>NULL</t>
        </is>
      </c>
      <c r="J574" t="inlineStr">
        <is>
          <t>NULL</t>
        </is>
      </c>
      <c r="K574" t="inlineStr">
        <is>
          <t xml:space="preserve"> NO!  	 c_time3列源备映射错误，源端为time None位	期望更改为text	实际备端为time None位</t>
        </is>
      </c>
    </row>
    <row r="575">
      <c r="B575" t="inlineStr">
        <is>
          <t>NULL</t>
        </is>
      </c>
      <c r="C575" t="inlineStr">
        <is>
          <t>NULL</t>
        </is>
      </c>
      <c r="D575" t="inlineStr">
        <is>
          <t>NULL</t>
        </is>
      </c>
      <c r="E575" t="inlineStr">
        <is>
          <t>NULL</t>
        </is>
      </c>
      <c r="F575" t="inlineStr">
        <is>
          <t>NULL</t>
        </is>
      </c>
      <c r="G575" t="inlineStr">
        <is>
          <t>NULL</t>
        </is>
      </c>
      <c r="H575" t="inlineStr">
        <is>
          <t>NULL</t>
        </is>
      </c>
      <c r="I575" t="inlineStr">
        <is>
          <t>NULL</t>
        </is>
      </c>
      <c r="J575" t="inlineStr">
        <is>
          <t>NULL</t>
        </is>
      </c>
      <c r="K575" t="inlineStr">
        <is>
          <t xml:space="preserve"> NO!  	 c_time4列源备映射错误，源端为time None位	期望更改为text	实际备端为time None位</t>
        </is>
      </c>
    </row>
    <row r="576">
      <c r="B576" t="inlineStr">
        <is>
          <t>NULL</t>
        </is>
      </c>
      <c r="C576" t="inlineStr">
        <is>
          <t>NULL</t>
        </is>
      </c>
      <c r="D576" t="inlineStr">
        <is>
          <t>NULL</t>
        </is>
      </c>
      <c r="E576" t="inlineStr">
        <is>
          <t>NULL</t>
        </is>
      </c>
      <c r="F576" t="inlineStr">
        <is>
          <t>NULL</t>
        </is>
      </c>
      <c r="G576" t="inlineStr">
        <is>
          <t>NULL</t>
        </is>
      </c>
      <c r="H576" t="inlineStr">
        <is>
          <t>NULL</t>
        </is>
      </c>
      <c r="I576" t="inlineStr">
        <is>
          <t>NULL</t>
        </is>
      </c>
      <c r="J576" t="inlineStr">
        <is>
          <t>NULL</t>
        </is>
      </c>
      <c r="K576" t="inlineStr">
        <is>
          <t xml:space="preserve"> NO!  	 c_time5列源备映射错误，源端为time None位	期望更改为text	实际备端为time None位</t>
        </is>
      </c>
    </row>
    <row r="577">
      <c r="B577" t="inlineStr">
        <is>
          <t>NULL</t>
        </is>
      </c>
      <c r="C577" t="inlineStr">
        <is>
          <t>NULL</t>
        </is>
      </c>
      <c r="D577" t="inlineStr">
        <is>
          <t>NULL</t>
        </is>
      </c>
      <c r="E577" t="inlineStr">
        <is>
          <t>NULL</t>
        </is>
      </c>
      <c r="F577" t="inlineStr">
        <is>
          <t>NULL</t>
        </is>
      </c>
      <c r="G577" t="inlineStr">
        <is>
          <t>NULL</t>
        </is>
      </c>
      <c r="H577" t="inlineStr">
        <is>
          <t>NULL</t>
        </is>
      </c>
      <c r="I577" t="inlineStr">
        <is>
          <t>NULL</t>
        </is>
      </c>
      <c r="J577" t="inlineStr">
        <is>
          <t>NULL</t>
        </is>
      </c>
      <c r="K577" t="inlineStr">
        <is>
          <t xml:space="preserve"> NO!  	 c_time6列源备映射错误，源端为time None位	期望更改为text	实际备端为time None位</t>
        </is>
      </c>
    </row>
    <row r="578">
      <c r="B578" t="inlineStr">
        <is>
          <t>NULL</t>
        </is>
      </c>
      <c r="C578" t="inlineStr">
        <is>
          <t>NULL</t>
        </is>
      </c>
      <c r="D578" t="inlineStr">
        <is>
          <t>NULL</t>
        </is>
      </c>
      <c r="E578" t="inlineStr">
        <is>
          <t>NULL</t>
        </is>
      </c>
      <c r="F578" t="inlineStr">
        <is>
          <t>NULL</t>
        </is>
      </c>
      <c r="G578" t="inlineStr">
        <is>
          <t>NULL</t>
        </is>
      </c>
      <c r="H578" t="inlineStr">
        <is>
          <t>NULL</t>
        </is>
      </c>
      <c r="I578" t="inlineStr">
        <is>
          <t>NULL</t>
        </is>
      </c>
      <c r="J578" t="inlineStr">
        <is>
          <t>NULL</t>
        </is>
      </c>
      <c r="K578" t="inlineStr">
        <is>
          <t xml:space="preserve"> NO!  	 c_time列源备映射错误，源端为time None位	期望更改为text	实际备端为time None位</t>
        </is>
      </c>
    </row>
    <row r="579">
      <c r="A579" t="inlineStr">
        <is>
          <t>info_datetimeoffset_dml_batch1_pk_urp2</t>
        </is>
      </c>
      <c r="K579" t="inlineStr">
        <is>
          <t>[0;34m info_datetimeoffset_dml_batch1_pk_urp2 [0m源备字段数相同，源端字段：9 	备端字段9</t>
        </is>
      </c>
      <c r="W579" s="17">
        <f>HYPERLINK("#2026041919hbase0!CA2","NO 源备存在差异，共12个")</f>
        <v/>
      </c>
      <c r="X579">
        <f>A579</f>
        <v/>
      </c>
    </row>
    <row r="580">
      <c r="B580" t="inlineStr">
        <is>
          <t>YES</t>
        </is>
      </c>
      <c r="C580" t="inlineStr">
        <is>
          <t>NULL</t>
        </is>
      </c>
      <c r="D580" t="inlineStr">
        <is>
          <t>NULL</t>
        </is>
      </c>
      <c r="E580" t="inlineStr">
        <is>
          <t>NULL</t>
        </is>
      </c>
      <c r="F580" t="inlineStr">
        <is>
          <t>NULL</t>
        </is>
      </c>
      <c r="G580" t="inlineStr">
        <is>
          <t>NULL</t>
        </is>
      </c>
      <c r="H580" t="inlineStr">
        <is>
          <t>NULL</t>
        </is>
      </c>
      <c r="I580" t="inlineStr">
        <is>
          <t>YES!PK__info_dat__3213E83F4F046BD4</t>
        </is>
      </c>
      <c r="J580" t="inlineStr">
        <is>
          <t>YES! 主键相关索引</t>
        </is>
      </c>
      <c r="K580" t="inlineStr">
        <is>
          <t xml:space="preserve"> NO!  	 id列源备映射错误，源端为int None位	期望更改为text	实际备端为int None位</t>
        </is>
      </c>
    </row>
    <row r="581">
      <c r="B581" t="inlineStr">
        <is>
          <t>NULL</t>
        </is>
      </c>
      <c r="C581" t="inlineStr">
        <is>
          <t>NULL</t>
        </is>
      </c>
      <c r="D581" t="inlineStr">
        <is>
          <t>NULL</t>
        </is>
      </c>
      <c r="E581" t="inlineStr">
        <is>
          <t>NULL</t>
        </is>
      </c>
      <c r="F581" t="inlineStr">
        <is>
          <t>NULL</t>
        </is>
      </c>
      <c r="G581" t="inlineStr">
        <is>
          <t>NULL</t>
        </is>
      </c>
      <c r="H581" t="inlineStr">
        <is>
          <t>NULL</t>
        </is>
      </c>
      <c r="I581" t="inlineStr">
        <is>
          <t>NULL</t>
        </is>
      </c>
      <c r="J581" t="inlineStr">
        <is>
          <t>NULL</t>
        </is>
      </c>
      <c r="K581" t="inlineStr">
        <is>
          <t xml:space="preserve"> NO!  	 c_dtoffset_0列源备映射错误，源端为datetimeoffset None位	期望更改为text	实际备端为datetimeoffset None位</t>
        </is>
      </c>
    </row>
    <row r="582">
      <c r="B582" t="inlineStr">
        <is>
          <t>NULL</t>
        </is>
      </c>
      <c r="C582" t="inlineStr">
        <is>
          <t>NULL</t>
        </is>
      </c>
      <c r="D582" t="inlineStr">
        <is>
          <t>NULL</t>
        </is>
      </c>
      <c r="E582" t="inlineStr">
        <is>
          <t>NULL</t>
        </is>
      </c>
      <c r="F582" t="inlineStr">
        <is>
          <t>NULL</t>
        </is>
      </c>
      <c r="G582" t="inlineStr">
        <is>
          <t>NULL</t>
        </is>
      </c>
      <c r="H582" t="inlineStr">
        <is>
          <t>NULL</t>
        </is>
      </c>
      <c r="I582" t="inlineStr">
        <is>
          <t>NULL</t>
        </is>
      </c>
      <c r="J582" t="inlineStr">
        <is>
          <t>NULL</t>
        </is>
      </c>
      <c r="K582" t="inlineStr">
        <is>
          <t xml:space="preserve"> NO!  	 c_dtoffset_1列源备映射错误，源端为datetimeoffset None位	期望更改为text	实际备端为datetimeoffset None位</t>
        </is>
      </c>
    </row>
    <row r="583">
      <c r="B583" t="inlineStr">
        <is>
          <t>NULL</t>
        </is>
      </c>
      <c r="C583" t="inlineStr">
        <is>
          <t>NULL</t>
        </is>
      </c>
      <c r="D583" t="inlineStr">
        <is>
          <t>NULL</t>
        </is>
      </c>
      <c r="E583" t="inlineStr">
        <is>
          <t>NULL</t>
        </is>
      </c>
      <c r="F583" t="inlineStr">
        <is>
          <t>NULL</t>
        </is>
      </c>
      <c r="G583" t="inlineStr">
        <is>
          <t>NULL</t>
        </is>
      </c>
      <c r="H583" t="inlineStr">
        <is>
          <t>NULL</t>
        </is>
      </c>
      <c r="I583" t="inlineStr">
        <is>
          <t>NULL</t>
        </is>
      </c>
      <c r="J583" t="inlineStr">
        <is>
          <t>NULL</t>
        </is>
      </c>
      <c r="K583" t="inlineStr">
        <is>
          <t xml:space="preserve"> NO!  	 c_dtoffset_2列源备映射错误，源端为datetimeoffset None位	期望更改为text	实际备端为datetimeoffset None位</t>
        </is>
      </c>
    </row>
    <row r="584">
      <c r="B584" t="inlineStr">
        <is>
          <t>NULL</t>
        </is>
      </c>
      <c r="C584" t="inlineStr">
        <is>
          <t>NULL</t>
        </is>
      </c>
      <c r="D584" t="inlineStr">
        <is>
          <t>NULL</t>
        </is>
      </c>
      <c r="E584" t="inlineStr">
        <is>
          <t>NULL</t>
        </is>
      </c>
      <c r="F584" t="inlineStr">
        <is>
          <t>NULL</t>
        </is>
      </c>
      <c r="G584" t="inlineStr">
        <is>
          <t>NULL</t>
        </is>
      </c>
      <c r="H584" t="inlineStr">
        <is>
          <t>NULL</t>
        </is>
      </c>
      <c r="I584" t="inlineStr">
        <is>
          <t>NULL</t>
        </is>
      </c>
      <c r="J584" t="inlineStr">
        <is>
          <t>NULL</t>
        </is>
      </c>
      <c r="K584" t="inlineStr">
        <is>
          <t xml:space="preserve"> NO!  	 c_dtoffset_3列源备映射错误，源端为datetimeoffset None位	期望更改为text	实际备端为datetimeoffset None位</t>
        </is>
      </c>
    </row>
    <row r="585">
      <c r="B585" t="inlineStr">
        <is>
          <t>NULL</t>
        </is>
      </c>
      <c r="C585" t="inlineStr">
        <is>
          <t>NULL</t>
        </is>
      </c>
      <c r="D585" t="inlineStr">
        <is>
          <t>NULL</t>
        </is>
      </c>
      <c r="E585" t="inlineStr">
        <is>
          <t>NULL</t>
        </is>
      </c>
      <c r="F585" t="inlineStr">
        <is>
          <t>NULL</t>
        </is>
      </c>
      <c r="G585" t="inlineStr">
        <is>
          <t>NULL</t>
        </is>
      </c>
      <c r="H585" t="inlineStr">
        <is>
          <t>NULL</t>
        </is>
      </c>
      <c r="I585" t="inlineStr">
        <is>
          <t>NULL</t>
        </is>
      </c>
      <c r="J585" t="inlineStr">
        <is>
          <t>NULL</t>
        </is>
      </c>
      <c r="K585" t="inlineStr">
        <is>
          <t xml:space="preserve"> NO!  	 c_dtoffset_4列源备映射错误，源端为datetimeoffset None位	期望更改为text	实际备端为datetimeoffset None位</t>
        </is>
      </c>
    </row>
    <row r="586">
      <c r="B586" t="inlineStr">
        <is>
          <t>NULL</t>
        </is>
      </c>
      <c r="C586" t="inlineStr">
        <is>
          <t>NULL</t>
        </is>
      </c>
      <c r="D586" t="inlineStr">
        <is>
          <t>NULL</t>
        </is>
      </c>
      <c r="E586" t="inlineStr">
        <is>
          <t>NULL</t>
        </is>
      </c>
      <c r="F586" t="inlineStr">
        <is>
          <t>NULL</t>
        </is>
      </c>
      <c r="G586" t="inlineStr">
        <is>
          <t>NULL</t>
        </is>
      </c>
      <c r="H586" t="inlineStr">
        <is>
          <t>NULL</t>
        </is>
      </c>
      <c r="I586" t="inlineStr">
        <is>
          <t>NULL</t>
        </is>
      </c>
      <c r="J586" t="inlineStr">
        <is>
          <t>NULL</t>
        </is>
      </c>
      <c r="K586" t="inlineStr">
        <is>
          <t xml:space="preserve"> NO!  	 c_dtoffset_5列源备映射错误，源端为datetimeoffset None位	期望更改为text	实际备端为datetimeoffset None位</t>
        </is>
      </c>
    </row>
    <row r="587">
      <c r="B587" t="inlineStr">
        <is>
          <t>NULL</t>
        </is>
      </c>
      <c r="C587" t="inlineStr">
        <is>
          <t>NULL</t>
        </is>
      </c>
      <c r="D587" t="inlineStr">
        <is>
          <t>NULL</t>
        </is>
      </c>
      <c r="E587" t="inlineStr">
        <is>
          <t>NULL</t>
        </is>
      </c>
      <c r="F587" t="inlineStr">
        <is>
          <t>NULL</t>
        </is>
      </c>
      <c r="G587" t="inlineStr">
        <is>
          <t>NULL</t>
        </is>
      </c>
      <c r="H587" t="inlineStr">
        <is>
          <t>NULL</t>
        </is>
      </c>
      <c r="I587" t="inlineStr">
        <is>
          <t>NULL</t>
        </is>
      </c>
      <c r="J587" t="inlineStr">
        <is>
          <t>NULL</t>
        </is>
      </c>
      <c r="K587" t="inlineStr">
        <is>
          <t xml:space="preserve"> NO!  	 c_dtoffset_6列源备映射错误，源端为datetimeoffset None位	期望更改为text	实际备端为datetimeoffset None位</t>
        </is>
      </c>
    </row>
    <row r="588">
      <c r="B588" t="inlineStr">
        <is>
          <t>NULL</t>
        </is>
      </c>
      <c r="C588" t="inlineStr">
        <is>
          <t>NULL</t>
        </is>
      </c>
      <c r="D588" t="inlineStr">
        <is>
          <t>NULL</t>
        </is>
      </c>
      <c r="E588" t="inlineStr">
        <is>
          <t>NULL</t>
        </is>
      </c>
      <c r="F588" t="inlineStr">
        <is>
          <t>NULL</t>
        </is>
      </c>
      <c r="G588" t="inlineStr">
        <is>
          <t>NULL</t>
        </is>
      </c>
      <c r="H588" t="inlineStr">
        <is>
          <t>NULL</t>
        </is>
      </c>
      <c r="I588" t="inlineStr">
        <is>
          <t>NULL</t>
        </is>
      </c>
      <c r="J588" t="inlineStr">
        <is>
          <t>NULL</t>
        </is>
      </c>
      <c r="K588" t="inlineStr">
        <is>
          <t xml:space="preserve"> NO!  	 c_dtoffset列源备映射错误，源端为datetimeoffset None位	期望更改为text	实际备端为datetimeoffset None位</t>
        </is>
      </c>
    </row>
    <row r="589">
      <c r="A589" t="inlineStr">
        <is>
          <t>info_date_dml_batch1_pk_irp2</t>
        </is>
      </c>
      <c r="K589" t="inlineStr">
        <is>
          <t>[0;34m info_date_dml_batch1_pk_irp2 [0m源备字段数相同，源端字段：2 	备端字段2</t>
        </is>
      </c>
      <c r="W589" s="17">
        <f>HYPERLINK("#2026041919hbase0!CB2","NO 源备存在差异，共41个")</f>
        <v/>
      </c>
      <c r="X589">
        <f>A589</f>
        <v/>
      </c>
    </row>
    <row r="590">
      <c r="B590" t="inlineStr">
        <is>
          <t>YES</t>
        </is>
      </c>
      <c r="C590" t="inlineStr">
        <is>
          <t>NULL</t>
        </is>
      </c>
      <c r="D590" t="inlineStr">
        <is>
          <t>NULL</t>
        </is>
      </c>
      <c r="E590" t="inlineStr">
        <is>
          <t>NULL</t>
        </is>
      </c>
      <c r="F590" t="inlineStr">
        <is>
          <t>NULL</t>
        </is>
      </c>
      <c r="G590" t="inlineStr">
        <is>
          <t>NULL</t>
        </is>
      </c>
      <c r="H590" t="inlineStr">
        <is>
          <t>NULL</t>
        </is>
      </c>
      <c r="I590" t="inlineStr">
        <is>
          <t>YES!PK__info_dat__3213E83F56A77804</t>
        </is>
      </c>
      <c r="J590" t="inlineStr">
        <is>
          <t>YES! 主键相关索引</t>
        </is>
      </c>
      <c r="K590" t="inlineStr">
        <is>
          <t xml:space="preserve"> NO!  	 id列源备映射错误，源端为int None位	期望更改为text	实际备端为int None位</t>
        </is>
      </c>
    </row>
    <row r="591">
      <c r="B591" t="inlineStr">
        <is>
          <t>NULL</t>
        </is>
      </c>
      <c r="C591" t="inlineStr">
        <is>
          <t>NULL</t>
        </is>
      </c>
      <c r="D591" t="inlineStr">
        <is>
          <t>NULL</t>
        </is>
      </c>
      <c r="E591" t="inlineStr">
        <is>
          <t>NULL</t>
        </is>
      </c>
      <c r="F591" t="inlineStr">
        <is>
          <t>NULL</t>
        </is>
      </c>
      <c r="G591" t="inlineStr">
        <is>
          <t>NULL</t>
        </is>
      </c>
      <c r="H591" t="inlineStr">
        <is>
          <t>NULL</t>
        </is>
      </c>
      <c r="I591" t="inlineStr">
        <is>
          <t>NULL</t>
        </is>
      </c>
      <c r="J591" t="inlineStr">
        <is>
          <t>NULL</t>
        </is>
      </c>
      <c r="K591" t="inlineStr">
        <is>
          <t xml:space="preserve"> NO!  	 c_date列源备映射错误，源端为date None位	期望更改为text	实际备端为date None位</t>
        </is>
      </c>
    </row>
    <row r="592">
      <c r="A592" t="inlineStr">
        <is>
          <t>info_varcharmax_dml_batch2_pk_irp2</t>
        </is>
      </c>
      <c r="K592" t="inlineStr">
        <is>
          <t>[0;34m info_varcharmax_dml_batch2_pk_irp2 [0m源备字段数相同，源端字段：3 	备端字段3</t>
        </is>
      </c>
      <c r="W592" t="inlineStr">
        <is>
          <t>YES 源备无差异</t>
        </is>
      </c>
      <c r="X592">
        <f>A592</f>
        <v/>
      </c>
    </row>
    <row r="593">
      <c r="B593" t="inlineStr">
        <is>
          <t>YES</t>
        </is>
      </c>
      <c r="C593" t="inlineStr">
        <is>
          <t>NULL</t>
        </is>
      </c>
      <c r="D593" t="inlineStr">
        <is>
          <t>NULL</t>
        </is>
      </c>
      <c r="E593" t="inlineStr">
        <is>
          <t>NULL</t>
        </is>
      </c>
      <c r="F593" t="inlineStr">
        <is>
          <t>NULL</t>
        </is>
      </c>
      <c r="G593" t="inlineStr">
        <is>
          <t>NULL</t>
        </is>
      </c>
      <c r="H593" t="inlineStr">
        <is>
          <t>NULL</t>
        </is>
      </c>
      <c r="I593" t="inlineStr">
        <is>
          <t>YES!PK__info_var__3213E83FDFEDFE46</t>
        </is>
      </c>
      <c r="J593" t="inlineStr">
        <is>
          <t>YES! 主键相关索引</t>
        </is>
      </c>
      <c r="K593" t="inlineStr">
        <is>
          <t xml:space="preserve"> NO!  	 id列源备映射错误，源端为int None位	期望更改为text	实际备端为int None位</t>
        </is>
      </c>
    </row>
    <row r="594">
      <c r="B594" t="inlineStr">
        <is>
          <t>NULL</t>
        </is>
      </c>
      <c r="C594" t="inlineStr">
        <is>
          <t>NULL</t>
        </is>
      </c>
      <c r="D594" t="inlineStr">
        <is>
          <t>NULL</t>
        </is>
      </c>
      <c r="E594" t="inlineStr">
        <is>
          <t>NULL</t>
        </is>
      </c>
      <c r="F594" t="inlineStr">
        <is>
          <t>NULL</t>
        </is>
      </c>
      <c r="G594" t="inlineStr">
        <is>
          <t>NULL</t>
        </is>
      </c>
      <c r="H594" t="inlineStr">
        <is>
          <t>NULL</t>
        </is>
      </c>
      <c r="I594" t="inlineStr">
        <is>
          <t>NULL</t>
        </is>
      </c>
      <c r="J594" t="inlineStr">
        <is>
          <t>NULL</t>
        </is>
      </c>
      <c r="K594" t="inlineStr">
        <is>
          <t xml:space="preserve"> NO!  	 c_varchar_max列源备映射错误，源端为varchar -1位	期望更改为text	实际备端为varchar -1位</t>
        </is>
      </c>
    </row>
    <row r="595">
      <c r="B595" t="inlineStr">
        <is>
          <t>NULL</t>
        </is>
      </c>
      <c r="C595" t="inlineStr">
        <is>
          <t>NULL</t>
        </is>
      </c>
      <c r="D595" t="inlineStr">
        <is>
          <t>NULL</t>
        </is>
      </c>
      <c r="E595" t="inlineStr">
        <is>
          <t>NULL</t>
        </is>
      </c>
      <c r="F595" t="inlineStr">
        <is>
          <t>NULL</t>
        </is>
      </c>
      <c r="G595" t="inlineStr">
        <is>
          <t>NULL</t>
        </is>
      </c>
      <c r="H595" t="inlineStr">
        <is>
          <t>NULL</t>
        </is>
      </c>
      <c r="I595" t="inlineStr">
        <is>
          <t>NULL</t>
        </is>
      </c>
      <c r="J595" t="inlineStr">
        <is>
          <t>NULL</t>
        </is>
      </c>
      <c r="K595" t="inlineStr">
        <is>
          <t xml:space="preserve"> NO!  	 c_nvarchar_max列源备映射错误，源端为nvarchar -1位	期望更改为text	实际备端为nvarchar -1位</t>
        </is>
      </c>
    </row>
    <row r="596">
      <c r="K596" t="inlineStr">
        <is>
          <t>~ 空表</t>
        </is>
      </c>
    </row>
    <row r="597">
      <c r="A597" t="inlineStr">
        <is>
          <t>info_datetimeoffset_dml_batch1_pk_drp1</t>
        </is>
      </c>
      <c r="K597" t="inlineStr">
        <is>
          <t>[0;34m info_datetimeoffset_dml_batch1_pk_drp1 [0m源备字段数相同，源端字段：9 	备端字段9</t>
        </is>
      </c>
      <c r="W597" t="inlineStr">
        <is>
          <t>YES 源备无差异</t>
        </is>
      </c>
      <c r="X597">
        <f>A597</f>
        <v/>
      </c>
    </row>
    <row r="598">
      <c r="B598" t="inlineStr">
        <is>
          <t>YES</t>
        </is>
      </c>
      <c r="C598" t="inlineStr">
        <is>
          <t>NULL</t>
        </is>
      </c>
      <c r="D598" t="inlineStr">
        <is>
          <t>NULL</t>
        </is>
      </c>
      <c r="E598" t="inlineStr">
        <is>
          <t>NULL</t>
        </is>
      </c>
      <c r="F598" t="inlineStr">
        <is>
          <t>NULL</t>
        </is>
      </c>
      <c r="G598" t="inlineStr">
        <is>
          <t>NULL</t>
        </is>
      </c>
      <c r="H598" t="inlineStr">
        <is>
          <t>NULL</t>
        </is>
      </c>
      <c r="I598" t="inlineStr">
        <is>
          <t>YES!PK__info_dat__3213E83F03E004B8</t>
        </is>
      </c>
      <c r="J598" t="inlineStr">
        <is>
          <t>YES! 主键相关索引</t>
        </is>
      </c>
      <c r="K598" t="inlineStr">
        <is>
          <t xml:space="preserve"> NO!  	 id列源备映射错误，源端为int None位	期望更改为text	实际备端为int None位</t>
        </is>
      </c>
    </row>
    <row r="599">
      <c r="B599" t="inlineStr">
        <is>
          <t>NULL</t>
        </is>
      </c>
      <c r="C599" t="inlineStr">
        <is>
          <t>NULL</t>
        </is>
      </c>
      <c r="D599" t="inlineStr">
        <is>
          <t>NULL</t>
        </is>
      </c>
      <c r="E599" t="inlineStr">
        <is>
          <t>NULL</t>
        </is>
      </c>
      <c r="F599" t="inlineStr">
        <is>
          <t>NULL</t>
        </is>
      </c>
      <c r="G599" t="inlineStr">
        <is>
          <t>NULL</t>
        </is>
      </c>
      <c r="H599" t="inlineStr">
        <is>
          <t>NULL</t>
        </is>
      </c>
      <c r="I599" t="inlineStr">
        <is>
          <t>NULL</t>
        </is>
      </c>
      <c r="J599" t="inlineStr">
        <is>
          <t>NULL</t>
        </is>
      </c>
      <c r="K599" t="inlineStr">
        <is>
          <t xml:space="preserve"> NO!  	 c_dtoffset_0列源备映射错误，源端为datetimeoffset None位	期望更改为text	实际备端为datetimeoffset None位</t>
        </is>
      </c>
    </row>
    <row r="600">
      <c r="B600" t="inlineStr">
        <is>
          <t>NULL</t>
        </is>
      </c>
      <c r="C600" t="inlineStr">
        <is>
          <t>NULL</t>
        </is>
      </c>
      <c r="D600" t="inlineStr">
        <is>
          <t>NULL</t>
        </is>
      </c>
      <c r="E600" t="inlineStr">
        <is>
          <t>NULL</t>
        </is>
      </c>
      <c r="F600" t="inlineStr">
        <is>
          <t>NULL</t>
        </is>
      </c>
      <c r="G600" t="inlineStr">
        <is>
          <t>NULL</t>
        </is>
      </c>
      <c r="H600" t="inlineStr">
        <is>
          <t>NULL</t>
        </is>
      </c>
      <c r="I600" t="inlineStr">
        <is>
          <t>NULL</t>
        </is>
      </c>
      <c r="J600" t="inlineStr">
        <is>
          <t>NULL</t>
        </is>
      </c>
      <c r="K600" t="inlineStr">
        <is>
          <t xml:space="preserve"> NO!  	 c_dtoffset_1列源备映射错误，源端为datetimeoffset None位	期望更改为text	实际备端为datetimeoffset None位</t>
        </is>
      </c>
    </row>
    <row r="601">
      <c r="B601" t="inlineStr">
        <is>
          <t>NULL</t>
        </is>
      </c>
      <c r="C601" t="inlineStr">
        <is>
          <t>NULL</t>
        </is>
      </c>
      <c r="D601" t="inlineStr">
        <is>
          <t>NULL</t>
        </is>
      </c>
      <c r="E601" t="inlineStr">
        <is>
          <t>NULL</t>
        </is>
      </c>
      <c r="F601" t="inlineStr">
        <is>
          <t>NULL</t>
        </is>
      </c>
      <c r="G601" t="inlineStr">
        <is>
          <t>NULL</t>
        </is>
      </c>
      <c r="H601" t="inlineStr">
        <is>
          <t>NULL</t>
        </is>
      </c>
      <c r="I601" t="inlineStr">
        <is>
          <t>NULL</t>
        </is>
      </c>
      <c r="J601" t="inlineStr">
        <is>
          <t>NULL</t>
        </is>
      </c>
      <c r="K601" t="inlineStr">
        <is>
          <t xml:space="preserve"> NO!  	 c_dtoffset_2列源备映射错误，源端为datetimeoffset None位	期望更改为text	实际备端为datetimeoffset None位</t>
        </is>
      </c>
    </row>
    <row r="602">
      <c r="B602" t="inlineStr">
        <is>
          <t>NULL</t>
        </is>
      </c>
      <c r="C602" t="inlineStr">
        <is>
          <t>NULL</t>
        </is>
      </c>
      <c r="D602" t="inlineStr">
        <is>
          <t>NULL</t>
        </is>
      </c>
      <c r="E602" t="inlineStr">
        <is>
          <t>NULL</t>
        </is>
      </c>
      <c r="F602" t="inlineStr">
        <is>
          <t>NULL</t>
        </is>
      </c>
      <c r="G602" t="inlineStr">
        <is>
          <t>NULL</t>
        </is>
      </c>
      <c r="H602" t="inlineStr">
        <is>
          <t>NULL</t>
        </is>
      </c>
      <c r="I602" t="inlineStr">
        <is>
          <t>NULL</t>
        </is>
      </c>
      <c r="J602" t="inlineStr">
        <is>
          <t>NULL</t>
        </is>
      </c>
      <c r="K602" t="inlineStr">
        <is>
          <t xml:space="preserve"> NO!  	 c_dtoffset_3列源备映射错误，源端为datetimeoffset None位	期望更改为text	实际备端为datetimeoffset None位</t>
        </is>
      </c>
    </row>
    <row r="603">
      <c r="B603" t="inlineStr">
        <is>
          <t>NULL</t>
        </is>
      </c>
      <c r="C603" t="inlineStr">
        <is>
          <t>NULL</t>
        </is>
      </c>
      <c r="D603" t="inlineStr">
        <is>
          <t>NULL</t>
        </is>
      </c>
      <c r="E603" t="inlineStr">
        <is>
          <t>NULL</t>
        </is>
      </c>
      <c r="F603" t="inlineStr">
        <is>
          <t>NULL</t>
        </is>
      </c>
      <c r="G603" t="inlineStr">
        <is>
          <t>NULL</t>
        </is>
      </c>
      <c r="H603" t="inlineStr">
        <is>
          <t>NULL</t>
        </is>
      </c>
      <c r="I603" t="inlineStr">
        <is>
          <t>NULL</t>
        </is>
      </c>
      <c r="J603" t="inlineStr">
        <is>
          <t>NULL</t>
        </is>
      </c>
      <c r="K603" t="inlineStr">
        <is>
          <t xml:space="preserve"> NO!  	 c_dtoffset_4列源备映射错误，源端为datetimeoffset None位	期望更改为text	实际备端为datetimeoffset None位</t>
        </is>
      </c>
    </row>
    <row r="604">
      <c r="B604" t="inlineStr">
        <is>
          <t>NULL</t>
        </is>
      </c>
      <c r="C604" t="inlineStr">
        <is>
          <t>NULL</t>
        </is>
      </c>
      <c r="D604" t="inlineStr">
        <is>
          <t>NULL</t>
        </is>
      </c>
      <c r="E604" t="inlineStr">
        <is>
          <t>NULL</t>
        </is>
      </c>
      <c r="F604" t="inlineStr">
        <is>
          <t>NULL</t>
        </is>
      </c>
      <c r="G604" t="inlineStr">
        <is>
          <t>NULL</t>
        </is>
      </c>
      <c r="H604" t="inlineStr">
        <is>
          <t>NULL</t>
        </is>
      </c>
      <c r="I604" t="inlineStr">
        <is>
          <t>NULL</t>
        </is>
      </c>
      <c r="J604" t="inlineStr">
        <is>
          <t>NULL</t>
        </is>
      </c>
      <c r="K604" t="inlineStr">
        <is>
          <t xml:space="preserve"> NO!  	 c_dtoffset_5列源备映射错误，源端为datetimeoffset None位	期望更改为text	实际备端为datetimeoffset None位</t>
        </is>
      </c>
    </row>
    <row r="605">
      <c r="B605" t="inlineStr">
        <is>
          <t>NULL</t>
        </is>
      </c>
      <c r="C605" t="inlineStr">
        <is>
          <t>NULL</t>
        </is>
      </c>
      <c r="D605" t="inlineStr">
        <is>
          <t>NULL</t>
        </is>
      </c>
      <c r="E605" t="inlineStr">
        <is>
          <t>NULL</t>
        </is>
      </c>
      <c r="F605" t="inlineStr">
        <is>
          <t>NULL</t>
        </is>
      </c>
      <c r="G605" t="inlineStr">
        <is>
          <t>NULL</t>
        </is>
      </c>
      <c r="H605" t="inlineStr">
        <is>
          <t>NULL</t>
        </is>
      </c>
      <c r="I605" t="inlineStr">
        <is>
          <t>NULL</t>
        </is>
      </c>
      <c r="J605" t="inlineStr">
        <is>
          <t>NULL</t>
        </is>
      </c>
      <c r="K605" t="inlineStr">
        <is>
          <t xml:space="preserve"> NO!  	 c_dtoffset_6列源备映射错误，源端为datetimeoffset None位	期望更改为text	实际备端为datetimeoffset None位</t>
        </is>
      </c>
    </row>
    <row r="606">
      <c r="B606" t="inlineStr">
        <is>
          <t>NULL</t>
        </is>
      </c>
      <c r="C606" t="inlineStr">
        <is>
          <t>NULL</t>
        </is>
      </c>
      <c r="D606" t="inlineStr">
        <is>
          <t>NULL</t>
        </is>
      </c>
      <c r="E606" t="inlineStr">
        <is>
          <t>NULL</t>
        </is>
      </c>
      <c r="F606" t="inlineStr">
        <is>
          <t>NULL</t>
        </is>
      </c>
      <c r="G606" t="inlineStr">
        <is>
          <t>NULL</t>
        </is>
      </c>
      <c r="H606" t="inlineStr">
        <is>
          <t>NULL</t>
        </is>
      </c>
      <c r="I606" t="inlineStr">
        <is>
          <t>NULL</t>
        </is>
      </c>
      <c r="J606" t="inlineStr">
        <is>
          <t>NULL</t>
        </is>
      </c>
      <c r="K606" t="inlineStr">
        <is>
          <t xml:space="preserve"> NO!  	 c_dtoffset列源备映射错误，源端为datetimeoffset None位	期望更改为text	实际备端为datetimeoffset None位</t>
        </is>
      </c>
    </row>
    <row r="607">
      <c r="K607" t="inlineStr">
        <is>
          <t>~ 空表</t>
        </is>
      </c>
    </row>
    <row r="608">
      <c r="A608" t="inlineStr">
        <is>
          <t>info_hierarchyid_dml_single_pk</t>
        </is>
      </c>
      <c r="K608" t="inlineStr">
        <is>
          <t>[0;34m info_hierarchyid_dml_single_pk [0m源备字段数相同，源端字段：2 	备端字段2</t>
        </is>
      </c>
      <c r="W608" t="inlineStr">
        <is>
          <t>YES 源备无差异</t>
        </is>
      </c>
      <c r="X608">
        <f>A608</f>
        <v/>
      </c>
    </row>
    <row r="609">
      <c r="B609" t="inlineStr">
        <is>
          <t>YES</t>
        </is>
      </c>
      <c r="C609" t="inlineStr">
        <is>
          <t>NULL</t>
        </is>
      </c>
      <c r="D609" t="inlineStr">
        <is>
          <t>NULL</t>
        </is>
      </c>
      <c r="E609" t="inlineStr">
        <is>
          <t>NULL</t>
        </is>
      </c>
      <c r="F609" t="inlineStr">
        <is>
          <t>NULL</t>
        </is>
      </c>
      <c r="G609" t="inlineStr">
        <is>
          <t>NULL</t>
        </is>
      </c>
      <c r="H609" t="inlineStr">
        <is>
          <t>NULL</t>
        </is>
      </c>
      <c r="I609" t="inlineStr">
        <is>
          <t>YES!PK__info_hie__3213E83FDF81A11E</t>
        </is>
      </c>
      <c r="J609" t="inlineStr">
        <is>
          <t>YES! 主键相关索引</t>
        </is>
      </c>
      <c r="K609" t="inlineStr">
        <is>
          <t xml:space="preserve"> NO!  	 id列源备映射错误，源端为int None位	期望更改为text	实际备端为int None位</t>
        </is>
      </c>
    </row>
    <row r="610">
      <c r="B610" t="inlineStr">
        <is>
          <t>NULL</t>
        </is>
      </c>
      <c r="C610" t="inlineStr">
        <is>
          <t>NULL</t>
        </is>
      </c>
      <c r="D610" t="inlineStr">
        <is>
          <t>NULL</t>
        </is>
      </c>
      <c r="E610" t="inlineStr">
        <is>
          <t>NULL</t>
        </is>
      </c>
      <c r="F610" t="inlineStr">
        <is>
          <t>NULL</t>
        </is>
      </c>
      <c r="G610" t="inlineStr">
        <is>
          <t>NULL</t>
        </is>
      </c>
      <c r="H610" t="inlineStr">
        <is>
          <t>NULL</t>
        </is>
      </c>
      <c r="I610" t="inlineStr">
        <is>
          <t>NULL</t>
        </is>
      </c>
      <c r="J610" t="inlineStr">
        <is>
          <t>NULL</t>
        </is>
      </c>
      <c r="K610" t="inlineStr">
        <is>
          <t xml:space="preserve"> NO!  	 c_hierarchyid列源备映射错误，源端为hierarchyid 892位	期望更改为text	实际备端为hierarchyid 892位</t>
        </is>
      </c>
    </row>
    <row r="611">
      <c r="A611" t="inlineStr">
        <is>
          <t>info_nchar_dml_batch1_pk_urp1</t>
        </is>
      </c>
      <c r="K611" t="inlineStr">
        <is>
          <t>[0;34m info_nchar_dml_batch1_pk_urp1 [0m源备字段数相同，源端字段：4 	备端字段4</t>
        </is>
      </c>
      <c r="W611" t="inlineStr">
        <is>
          <t>YES 源备无差异</t>
        </is>
      </c>
      <c r="X611">
        <f>A611</f>
        <v/>
      </c>
    </row>
    <row r="612">
      <c r="B612" t="inlineStr">
        <is>
          <t>YES</t>
        </is>
      </c>
      <c r="C612" t="inlineStr">
        <is>
          <t>NULL</t>
        </is>
      </c>
      <c r="D612" t="inlineStr">
        <is>
          <t>NULL</t>
        </is>
      </c>
      <c r="E612" t="inlineStr">
        <is>
          <t>NULL</t>
        </is>
      </c>
      <c r="F612" t="inlineStr">
        <is>
          <t>NULL</t>
        </is>
      </c>
      <c r="G612" t="inlineStr">
        <is>
          <t>NULL</t>
        </is>
      </c>
      <c r="H612" t="inlineStr">
        <is>
          <t>NULL</t>
        </is>
      </c>
      <c r="I612" t="inlineStr">
        <is>
          <t>YES!PK__info_nch__3213E83F5B7B59D7</t>
        </is>
      </c>
      <c r="J612" t="inlineStr">
        <is>
          <t>YES! 主键相关索引</t>
        </is>
      </c>
      <c r="K612" t="inlineStr">
        <is>
          <t xml:space="preserve"> NO!  	 id列源备映射错误，源端为int None位	期望更改为text	实际备端为int None位</t>
        </is>
      </c>
    </row>
    <row r="613">
      <c r="B613" t="inlineStr">
        <is>
          <t>NULL</t>
        </is>
      </c>
      <c r="C613" t="inlineStr">
        <is>
          <t>NULL</t>
        </is>
      </c>
      <c r="D613" t="inlineStr">
        <is>
          <t>NULL</t>
        </is>
      </c>
      <c r="E613" t="inlineStr">
        <is>
          <t>NULL</t>
        </is>
      </c>
      <c r="F613" t="inlineStr">
        <is>
          <t>NULL</t>
        </is>
      </c>
      <c r="G613" t="inlineStr">
        <is>
          <t>NULL</t>
        </is>
      </c>
      <c r="H613" t="inlineStr">
        <is>
          <t>NULL</t>
        </is>
      </c>
      <c r="I613" t="inlineStr">
        <is>
          <t>NULL</t>
        </is>
      </c>
      <c r="J613" t="inlineStr">
        <is>
          <t>NULL</t>
        </is>
      </c>
      <c r="K613" t="inlineStr">
        <is>
          <t xml:space="preserve"> NO!  	 c_nchar列源备映射错误，源端为nchar 2位	期望更改为text	实际备端为nchar 2位</t>
        </is>
      </c>
    </row>
    <row r="614">
      <c r="B614" t="inlineStr">
        <is>
          <t>NULL</t>
        </is>
      </c>
      <c r="C614" t="inlineStr">
        <is>
          <t>NULL</t>
        </is>
      </c>
      <c r="D614" t="inlineStr">
        <is>
          <t>NULL</t>
        </is>
      </c>
      <c r="E614" t="inlineStr">
        <is>
          <t>NULL</t>
        </is>
      </c>
      <c r="F614" t="inlineStr">
        <is>
          <t>NULL</t>
        </is>
      </c>
      <c r="G614" t="inlineStr">
        <is>
          <t>NULL</t>
        </is>
      </c>
      <c r="H614" t="inlineStr">
        <is>
          <t>NULL</t>
        </is>
      </c>
      <c r="I614" t="inlineStr">
        <is>
          <t>NULL</t>
        </is>
      </c>
      <c r="J614" t="inlineStr">
        <is>
          <t>NULL</t>
        </is>
      </c>
      <c r="K614" t="inlineStr">
        <is>
          <t xml:space="preserve"> NO!  	 c_nchar20列源备映射错误，源端为nchar 40位	期望更改为text	实际备端为nchar 40位</t>
        </is>
      </c>
    </row>
    <row r="615">
      <c r="B615" t="inlineStr">
        <is>
          <t>NULL</t>
        </is>
      </c>
      <c r="C615" t="inlineStr">
        <is>
          <t>NULL</t>
        </is>
      </c>
      <c r="D615" t="inlineStr">
        <is>
          <t>NULL</t>
        </is>
      </c>
      <c r="E615" t="inlineStr">
        <is>
          <t>NULL</t>
        </is>
      </c>
      <c r="F615" t="inlineStr">
        <is>
          <t>NULL</t>
        </is>
      </c>
      <c r="G615" t="inlineStr">
        <is>
          <t>NULL</t>
        </is>
      </c>
      <c r="H615" t="inlineStr">
        <is>
          <t>NULL</t>
        </is>
      </c>
      <c r="I615" t="inlineStr">
        <is>
          <t>NULL</t>
        </is>
      </c>
      <c r="J615" t="inlineStr">
        <is>
          <t>NULL</t>
        </is>
      </c>
      <c r="K615" t="inlineStr">
        <is>
          <t xml:space="preserve"> NO!  	 c_nchar3500列源备映射错误，源端为nchar 7000位	期望更改为text	实际备端为nchar 7000位</t>
        </is>
      </c>
    </row>
    <row r="616">
      <c r="A616" t="inlineStr">
        <is>
          <t>info_datetimeoffset_dml_batch1_pk_drp2</t>
        </is>
      </c>
      <c r="K616" t="inlineStr">
        <is>
          <t>[0;34m info_datetimeoffset_dml_batch1_pk_drp2 [0m源备字段数相同，源端字段：9 	备端字段9</t>
        </is>
      </c>
      <c r="W616" s="17">
        <f>HYPERLINK("#2026041919hbase0!CC2","NO 源备存在差异，共3个")</f>
        <v/>
      </c>
      <c r="X616">
        <f>A616</f>
        <v/>
      </c>
    </row>
    <row r="617">
      <c r="B617" t="inlineStr">
        <is>
          <t>YES</t>
        </is>
      </c>
      <c r="C617" t="inlineStr">
        <is>
          <t>NULL</t>
        </is>
      </c>
      <c r="D617" t="inlineStr">
        <is>
          <t>NULL</t>
        </is>
      </c>
      <c r="E617" t="inlineStr">
        <is>
          <t>NULL</t>
        </is>
      </c>
      <c r="F617" t="inlineStr">
        <is>
          <t>NULL</t>
        </is>
      </c>
      <c r="G617" t="inlineStr">
        <is>
          <t>NULL</t>
        </is>
      </c>
      <c r="H617" t="inlineStr">
        <is>
          <t>NULL</t>
        </is>
      </c>
      <c r="I617" t="inlineStr">
        <is>
          <t>YES!PK__info_dat__3213E83F0245F38E</t>
        </is>
      </c>
      <c r="J617" t="inlineStr">
        <is>
          <t>YES! 主键相关索引</t>
        </is>
      </c>
      <c r="K617" t="inlineStr">
        <is>
          <t xml:space="preserve"> NO!  	 id列源备映射错误，源端为int None位	期望更改为text	实际备端为int None位</t>
        </is>
      </c>
    </row>
    <row r="618">
      <c r="B618" t="inlineStr">
        <is>
          <t>NULL</t>
        </is>
      </c>
      <c r="C618" t="inlineStr">
        <is>
          <t>NULL</t>
        </is>
      </c>
      <c r="D618" t="inlineStr">
        <is>
          <t>NULL</t>
        </is>
      </c>
      <c r="E618" t="inlineStr">
        <is>
          <t>NULL</t>
        </is>
      </c>
      <c r="F618" t="inlineStr">
        <is>
          <t>NULL</t>
        </is>
      </c>
      <c r="G618" t="inlineStr">
        <is>
          <t>NULL</t>
        </is>
      </c>
      <c r="H618" t="inlineStr">
        <is>
          <t>NULL</t>
        </is>
      </c>
      <c r="I618" t="inlineStr">
        <is>
          <t>NULL</t>
        </is>
      </c>
      <c r="J618" t="inlineStr">
        <is>
          <t>NULL</t>
        </is>
      </c>
      <c r="K618" t="inlineStr">
        <is>
          <t xml:space="preserve"> NO!  	 c_dtoffset_0列源备映射错误，源端为datetimeoffset None位	期望更改为text	实际备端为datetimeoffset None位</t>
        </is>
      </c>
    </row>
    <row r="619">
      <c r="B619" t="inlineStr">
        <is>
          <t>NULL</t>
        </is>
      </c>
      <c r="C619" t="inlineStr">
        <is>
          <t>NULL</t>
        </is>
      </c>
      <c r="D619" t="inlineStr">
        <is>
          <t>NULL</t>
        </is>
      </c>
      <c r="E619" t="inlineStr">
        <is>
          <t>NULL</t>
        </is>
      </c>
      <c r="F619" t="inlineStr">
        <is>
          <t>NULL</t>
        </is>
      </c>
      <c r="G619" t="inlineStr">
        <is>
          <t>NULL</t>
        </is>
      </c>
      <c r="H619" t="inlineStr">
        <is>
          <t>NULL</t>
        </is>
      </c>
      <c r="I619" t="inlineStr">
        <is>
          <t>NULL</t>
        </is>
      </c>
      <c r="J619" t="inlineStr">
        <is>
          <t>NULL</t>
        </is>
      </c>
      <c r="K619" t="inlineStr">
        <is>
          <t xml:space="preserve"> NO!  	 c_dtoffset_1列源备映射错误，源端为datetimeoffset None位	期望更改为text	实际备端为datetimeoffset None位</t>
        </is>
      </c>
    </row>
    <row r="620">
      <c r="B620" t="inlineStr">
        <is>
          <t>NULL</t>
        </is>
      </c>
      <c r="C620" t="inlineStr">
        <is>
          <t>NULL</t>
        </is>
      </c>
      <c r="D620" t="inlineStr">
        <is>
          <t>NULL</t>
        </is>
      </c>
      <c r="E620" t="inlineStr">
        <is>
          <t>NULL</t>
        </is>
      </c>
      <c r="F620" t="inlineStr">
        <is>
          <t>NULL</t>
        </is>
      </c>
      <c r="G620" t="inlineStr">
        <is>
          <t>NULL</t>
        </is>
      </c>
      <c r="H620" t="inlineStr">
        <is>
          <t>NULL</t>
        </is>
      </c>
      <c r="I620" t="inlineStr">
        <is>
          <t>NULL</t>
        </is>
      </c>
      <c r="J620" t="inlineStr">
        <is>
          <t>NULL</t>
        </is>
      </c>
      <c r="K620" t="inlineStr">
        <is>
          <t xml:space="preserve"> NO!  	 c_dtoffset_2列源备映射错误，源端为datetimeoffset None位	期望更改为text	实际备端为datetimeoffset None位</t>
        </is>
      </c>
    </row>
    <row r="621">
      <c r="B621" t="inlineStr">
        <is>
          <t>NULL</t>
        </is>
      </c>
      <c r="C621" t="inlineStr">
        <is>
          <t>NULL</t>
        </is>
      </c>
      <c r="D621" t="inlineStr">
        <is>
          <t>NULL</t>
        </is>
      </c>
      <c r="E621" t="inlineStr">
        <is>
          <t>NULL</t>
        </is>
      </c>
      <c r="F621" t="inlineStr">
        <is>
          <t>NULL</t>
        </is>
      </c>
      <c r="G621" t="inlineStr">
        <is>
          <t>NULL</t>
        </is>
      </c>
      <c r="H621" t="inlineStr">
        <is>
          <t>NULL</t>
        </is>
      </c>
      <c r="I621" t="inlineStr">
        <is>
          <t>NULL</t>
        </is>
      </c>
      <c r="J621" t="inlineStr">
        <is>
          <t>NULL</t>
        </is>
      </c>
      <c r="K621" t="inlineStr">
        <is>
          <t xml:space="preserve"> NO!  	 c_dtoffset_3列源备映射错误，源端为datetimeoffset None位	期望更改为text	实际备端为datetimeoffset None位</t>
        </is>
      </c>
    </row>
    <row r="622">
      <c r="B622" t="inlineStr">
        <is>
          <t>NULL</t>
        </is>
      </c>
      <c r="C622" t="inlineStr">
        <is>
          <t>NULL</t>
        </is>
      </c>
      <c r="D622" t="inlineStr">
        <is>
          <t>NULL</t>
        </is>
      </c>
      <c r="E622" t="inlineStr">
        <is>
          <t>NULL</t>
        </is>
      </c>
      <c r="F622" t="inlineStr">
        <is>
          <t>NULL</t>
        </is>
      </c>
      <c r="G622" t="inlineStr">
        <is>
          <t>NULL</t>
        </is>
      </c>
      <c r="H622" t="inlineStr">
        <is>
          <t>NULL</t>
        </is>
      </c>
      <c r="I622" t="inlineStr">
        <is>
          <t>NULL</t>
        </is>
      </c>
      <c r="J622" t="inlineStr">
        <is>
          <t>NULL</t>
        </is>
      </c>
      <c r="K622" t="inlineStr">
        <is>
          <t xml:space="preserve"> NO!  	 c_dtoffset_4列源备映射错误，源端为datetimeoffset None位	期望更改为text	实际备端为datetimeoffset None位</t>
        </is>
      </c>
    </row>
    <row r="623">
      <c r="B623" t="inlineStr">
        <is>
          <t>NULL</t>
        </is>
      </c>
      <c r="C623" t="inlineStr">
        <is>
          <t>NULL</t>
        </is>
      </c>
      <c r="D623" t="inlineStr">
        <is>
          <t>NULL</t>
        </is>
      </c>
      <c r="E623" t="inlineStr">
        <is>
          <t>NULL</t>
        </is>
      </c>
      <c r="F623" t="inlineStr">
        <is>
          <t>NULL</t>
        </is>
      </c>
      <c r="G623" t="inlineStr">
        <is>
          <t>NULL</t>
        </is>
      </c>
      <c r="H623" t="inlineStr">
        <is>
          <t>NULL</t>
        </is>
      </c>
      <c r="I623" t="inlineStr">
        <is>
          <t>NULL</t>
        </is>
      </c>
      <c r="J623" t="inlineStr">
        <is>
          <t>NULL</t>
        </is>
      </c>
      <c r="K623" t="inlineStr">
        <is>
          <t xml:space="preserve"> NO!  	 c_dtoffset_5列源备映射错误，源端为datetimeoffset None位	期望更改为text	实际备端为datetimeoffset None位</t>
        </is>
      </c>
    </row>
    <row r="624">
      <c r="B624" t="inlineStr">
        <is>
          <t>NULL</t>
        </is>
      </c>
      <c r="C624" t="inlineStr">
        <is>
          <t>NULL</t>
        </is>
      </c>
      <c r="D624" t="inlineStr">
        <is>
          <t>NULL</t>
        </is>
      </c>
      <c r="E624" t="inlineStr">
        <is>
          <t>NULL</t>
        </is>
      </c>
      <c r="F624" t="inlineStr">
        <is>
          <t>NULL</t>
        </is>
      </c>
      <c r="G624" t="inlineStr">
        <is>
          <t>NULL</t>
        </is>
      </c>
      <c r="H624" t="inlineStr">
        <is>
          <t>NULL</t>
        </is>
      </c>
      <c r="I624" t="inlineStr">
        <is>
          <t>NULL</t>
        </is>
      </c>
      <c r="J624" t="inlineStr">
        <is>
          <t>NULL</t>
        </is>
      </c>
      <c r="K624" t="inlineStr">
        <is>
          <t xml:space="preserve"> NO!  	 c_dtoffset_6列源备映射错误，源端为datetimeoffset None位	期望更改为text	实际备端为datetimeoffset None位</t>
        </is>
      </c>
    </row>
    <row r="625">
      <c r="B625" t="inlineStr">
        <is>
          <t>NULL</t>
        </is>
      </c>
      <c r="C625" t="inlineStr">
        <is>
          <t>NULL</t>
        </is>
      </c>
      <c r="D625" t="inlineStr">
        <is>
          <t>NULL</t>
        </is>
      </c>
      <c r="E625" t="inlineStr">
        <is>
          <t>NULL</t>
        </is>
      </c>
      <c r="F625" t="inlineStr">
        <is>
          <t>NULL</t>
        </is>
      </c>
      <c r="G625" t="inlineStr">
        <is>
          <t>NULL</t>
        </is>
      </c>
      <c r="H625" t="inlineStr">
        <is>
          <t>NULL</t>
        </is>
      </c>
      <c r="I625" t="inlineStr">
        <is>
          <t>NULL</t>
        </is>
      </c>
      <c r="J625" t="inlineStr">
        <is>
          <t>NULL</t>
        </is>
      </c>
      <c r="K625" t="inlineStr">
        <is>
          <t xml:space="preserve"> NO!  	 c_dtoffset列源备映射错误，源端为datetimeoffset None位	期望更改为text	实际备端为datetimeoffset None位</t>
        </is>
      </c>
    </row>
    <row r="626">
      <c r="A626" t="inlineStr">
        <is>
          <t>info_char_dml_batch1_pk_drp1</t>
        </is>
      </c>
      <c r="K626" t="inlineStr">
        <is>
          <t>[0;34m info_char_dml_batch1_pk_drp1 [0m源备字段数相同，源端字段：4 	备端字段4</t>
        </is>
      </c>
      <c r="W626" t="inlineStr">
        <is>
          <t>YES 源备无差异</t>
        </is>
      </c>
      <c r="X626">
        <f>A626</f>
        <v/>
      </c>
    </row>
    <row r="627">
      <c r="B627" t="inlineStr">
        <is>
          <t>YES</t>
        </is>
      </c>
      <c r="C627" t="inlineStr">
        <is>
          <t>NULL</t>
        </is>
      </c>
      <c r="D627" t="inlineStr">
        <is>
          <t>NULL</t>
        </is>
      </c>
      <c r="E627" t="inlineStr">
        <is>
          <t>NULL</t>
        </is>
      </c>
      <c r="F627" t="inlineStr">
        <is>
          <t>NULL</t>
        </is>
      </c>
      <c r="G627" t="inlineStr">
        <is>
          <t>NULL</t>
        </is>
      </c>
      <c r="H627" t="inlineStr">
        <is>
          <t>NULL</t>
        </is>
      </c>
      <c r="I627" t="inlineStr">
        <is>
          <t>YES!PK__info_cha__3213E83FA4482218</t>
        </is>
      </c>
      <c r="J627" t="inlineStr">
        <is>
          <t>YES! 主键相关索引</t>
        </is>
      </c>
      <c r="K627" t="inlineStr">
        <is>
          <t xml:space="preserve"> NO!  	 id列源备映射错误，源端为int None位	期望更改为text	实际备端为int None位</t>
        </is>
      </c>
    </row>
    <row r="628">
      <c r="B628" t="inlineStr">
        <is>
          <t>NULL</t>
        </is>
      </c>
      <c r="C628" t="inlineStr">
        <is>
          <t>NULL</t>
        </is>
      </c>
      <c r="D628" t="inlineStr">
        <is>
          <t>NULL</t>
        </is>
      </c>
      <c r="E628" t="inlineStr">
        <is>
          <t>NULL</t>
        </is>
      </c>
      <c r="F628" t="inlineStr">
        <is>
          <t>NULL</t>
        </is>
      </c>
      <c r="G628" t="inlineStr">
        <is>
          <t>NULL</t>
        </is>
      </c>
      <c r="H628" t="inlineStr">
        <is>
          <t>NULL</t>
        </is>
      </c>
      <c r="I628" t="inlineStr">
        <is>
          <t>NULL</t>
        </is>
      </c>
      <c r="J628" t="inlineStr">
        <is>
          <t>NULL</t>
        </is>
      </c>
      <c r="K628" t="inlineStr">
        <is>
          <t xml:space="preserve"> NO!  	 c_char列源备映射错误，源端为char 1位	期望更改为text	实际备端为char 1位</t>
        </is>
      </c>
    </row>
    <row r="629">
      <c r="B629" t="inlineStr">
        <is>
          <t>NULL</t>
        </is>
      </c>
      <c r="C629" t="inlineStr">
        <is>
          <t>NULL</t>
        </is>
      </c>
      <c r="D629" t="inlineStr">
        <is>
          <t>NULL</t>
        </is>
      </c>
      <c r="E629" t="inlineStr">
        <is>
          <t>NULL</t>
        </is>
      </c>
      <c r="F629" t="inlineStr">
        <is>
          <t>NULL</t>
        </is>
      </c>
      <c r="G629" t="inlineStr">
        <is>
          <t>NULL</t>
        </is>
      </c>
      <c r="H629" t="inlineStr">
        <is>
          <t>NULL</t>
        </is>
      </c>
      <c r="I629" t="inlineStr">
        <is>
          <t>NULL</t>
        </is>
      </c>
      <c r="J629" t="inlineStr">
        <is>
          <t>NULL</t>
        </is>
      </c>
      <c r="K629" t="inlineStr">
        <is>
          <t xml:space="preserve"> NO!  	 c_char20列源备映射错误，源端为char 20位	期望更改为text	实际备端为char 20位</t>
        </is>
      </c>
    </row>
    <row r="630">
      <c r="B630" t="inlineStr">
        <is>
          <t>NULL</t>
        </is>
      </c>
      <c r="C630" t="inlineStr">
        <is>
          <t>NULL</t>
        </is>
      </c>
      <c r="D630" t="inlineStr">
        <is>
          <t>NULL</t>
        </is>
      </c>
      <c r="E630" t="inlineStr">
        <is>
          <t>NULL</t>
        </is>
      </c>
      <c r="F630" t="inlineStr">
        <is>
          <t>NULL</t>
        </is>
      </c>
      <c r="G630" t="inlineStr">
        <is>
          <t>NULL</t>
        </is>
      </c>
      <c r="H630" t="inlineStr">
        <is>
          <t>NULL</t>
        </is>
      </c>
      <c r="I630" t="inlineStr">
        <is>
          <t>NULL</t>
        </is>
      </c>
      <c r="J630" t="inlineStr">
        <is>
          <t>NULL</t>
        </is>
      </c>
      <c r="K630" t="inlineStr">
        <is>
          <t xml:space="preserve"> NO!  	 c_char7000列源备映射错误，源端为char 7000位	期望更改为text	实际备端为char 7000位</t>
        </is>
      </c>
    </row>
    <row r="631">
      <c r="K631" t="inlineStr">
        <is>
          <t>~ 空表</t>
        </is>
      </c>
    </row>
    <row r="632">
      <c r="A632" t="inlineStr">
        <is>
          <t>info_datetimeoffset_dml_batch1_pk</t>
        </is>
      </c>
      <c r="K632" t="inlineStr">
        <is>
          <t>[0;34m info_datetimeoffset_dml_batch1_pk [0m源备字段数相同，源端字段：9 	备端字段9</t>
        </is>
      </c>
      <c r="W632" t="inlineStr">
        <is>
          <t>YES 源备无差异</t>
        </is>
      </c>
      <c r="X632">
        <f>A632</f>
        <v/>
      </c>
    </row>
    <row r="633">
      <c r="B633" t="inlineStr">
        <is>
          <t>YES</t>
        </is>
      </c>
      <c r="C633" t="inlineStr">
        <is>
          <t>NULL</t>
        </is>
      </c>
      <c r="D633" t="inlineStr">
        <is>
          <t>NULL</t>
        </is>
      </c>
      <c r="E633" t="inlineStr">
        <is>
          <t>NULL</t>
        </is>
      </c>
      <c r="F633" t="inlineStr">
        <is>
          <t>NULL</t>
        </is>
      </c>
      <c r="G633" t="inlineStr">
        <is>
          <t>NULL</t>
        </is>
      </c>
      <c r="H633" t="inlineStr">
        <is>
          <t>NULL</t>
        </is>
      </c>
      <c r="I633" t="inlineStr">
        <is>
          <t>YES!PK__info_dat__3213E83FB18F0774</t>
        </is>
      </c>
      <c r="J633" t="inlineStr">
        <is>
          <t>YES! 主键相关索引</t>
        </is>
      </c>
      <c r="K633" t="inlineStr">
        <is>
          <t xml:space="preserve"> NO!  	 id列源备映射错误，源端为int None位	期望更改为text	实际备端为int None位</t>
        </is>
      </c>
    </row>
    <row r="634">
      <c r="B634" t="inlineStr">
        <is>
          <t>NULL</t>
        </is>
      </c>
      <c r="C634" t="inlineStr">
        <is>
          <t>NULL</t>
        </is>
      </c>
      <c r="D634" t="inlineStr">
        <is>
          <t>NULL</t>
        </is>
      </c>
      <c r="E634" t="inlineStr">
        <is>
          <t>NULL</t>
        </is>
      </c>
      <c r="F634" t="inlineStr">
        <is>
          <t>NULL</t>
        </is>
      </c>
      <c r="G634" t="inlineStr">
        <is>
          <t>NULL</t>
        </is>
      </c>
      <c r="H634" t="inlineStr">
        <is>
          <t>NULL</t>
        </is>
      </c>
      <c r="I634" t="inlineStr">
        <is>
          <t>NULL</t>
        </is>
      </c>
      <c r="J634" t="inlineStr">
        <is>
          <t>NULL</t>
        </is>
      </c>
      <c r="K634" t="inlineStr">
        <is>
          <t xml:space="preserve"> NO!  	 c_dtoffset_0列源备映射错误，源端为datetimeoffset None位	期望更改为text	实际备端为datetimeoffset None位</t>
        </is>
      </c>
    </row>
    <row r="635">
      <c r="B635" t="inlineStr">
        <is>
          <t>NULL</t>
        </is>
      </c>
      <c r="C635" t="inlineStr">
        <is>
          <t>NULL</t>
        </is>
      </c>
      <c r="D635" t="inlineStr">
        <is>
          <t>NULL</t>
        </is>
      </c>
      <c r="E635" t="inlineStr">
        <is>
          <t>NULL</t>
        </is>
      </c>
      <c r="F635" t="inlineStr">
        <is>
          <t>NULL</t>
        </is>
      </c>
      <c r="G635" t="inlineStr">
        <is>
          <t>NULL</t>
        </is>
      </c>
      <c r="H635" t="inlineStr">
        <is>
          <t>NULL</t>
        </is>
      </c>
      <c r="I635" t="inlineStr">
        <is>
          <t>NULL</t>
        </is>
      </c>
      <c r="J635" t="inlineStr">
        <is>
          <t>NULL</t>
        </is>
      </c>
      <c r="K635" t="inlineStr">
        <is>
          <t xml:space="preserve"> NO!  	 c_dtoffset_1列源备映射错误，源端为datetimeoffset None位	期望更改为text	实际备端为datetimeoffset None位</t>
        </is>
      </c>
    </row>
    <row r="636">
      <c r="B636" t="inlineStr">
        <is>
          <t>NULL</t>
        </is>
      </c>
      <c r="C636" t="inlineStr">
        <is>
          <t>NULL</t>
        </is>
      </c>
      <c r="D636" t="inlineStr">
        <is>
          <t>NULL</t>
        </is>
      </c>
      <c r="E636" t="inlineStr">
        <is>
          <t>NULL</t>
        </is>
      </c>
      <c r="F636" t="inlineStr">
        <is>
          <t>NULL</t>
        </is>
      </c>
      <c r="G636" t="inlineStr">
        <is>
          <t>NULL</t>
        </is>
      </c>
      <c r="H636" t="inlineStr">
        <is>
          <t>NULL</t>
        </is>
      </c>
      <c r="I636" t="inlineStr">
        <is>
          <t>NULL</t>
        </is>
      </c>
      <c r="J636" t="inlineStr">
        <is>
          <t>NULL</t>
        </is>
      </c>
      <c r="K636" t="inlineStr">
        <is>
          <t xml:space="preserve"> NO!  	 c_dtoffset_2列源备映射错误，源端为datetimeoffset None位	期望更改为text	实际备端为datetimeoffset None位</t>
        </is>
      </c>
    </row>
    <row r="637">
      <c r="B637" t="inlineStr">
        <is>
          <t>NULL</t>
        </is>
      </c>
      <c r="C637" t="inlineStr">
        <is>
          <t>NULL</t>
        </is>
      </c>
      <c r="D637" t="inlineStr">
        <is>
          <t>NULL</t>
        </is>
      </c>
      <c r="E637" t="inlineStr">
        <is>
          <t>NULL</t>
        </is>
      </c>
      <c r="F637" t="inlineStr">
        <is>
          <t>NULL</t>
        </is>
      </c>
      <c r="G637" t="inlineStr">
        <is>
          <t>NULL</t>
        </is>
      </c>
      <c r="H637" t="inlineStr">
        <is>
          <t>NULL</t>
        </is>
      </c>
      <c r="I637" t="inlineStr">
        <is>
          <t>NULL</t>
        </is>
      </c>
      <c r="J637" t="inlineStr">
        <is>
          <t>NULL</t>
        </is>
      </c>
      <c r="K637" t="inlineStr">
        <is>
          <t xml:space="preserve"> NO!  	 c_dtoffset_3列源备映射错误，源端为datetimeoffset None位	期望更改为text	实际备端为datetimeoffset None位</t>
        </is>
      </c>
    </row>
    <row r="638">
      <c r="B638" t="inlineStr">
        <is>
          <t>NULL</t>
        </is>
      </c>
      <c r="C638" t="inlineStr">
        <is>
          <t>NULL</t>
        </is>
      </c>
      <c r="D638" t="inlineStr">
        <is>
          <t>NULL</t>
        </is>
      </c>
      <c r="E638" t="inlineStr">
        <is>
          <t>NULL</t>
        </is>
      </c>
      <c r="F638" t="inlineStr">
        <is>
          <t>NULL</t>
        </is>
      </c>
      <c r="G638" t="inlineStr">
        <is>
          <t>NULL</t>
        </is>
      </c>
      <c r="H638" t="inlineStr">
        <is>
          <t>NULL</t>
        </is>
      </c>
      <c r="I638" t="inlineStr">
        <is>
          <t>NULL</t>
        </is>
      </c>
      <c r="J638" t="inlineStr">
        <is>
          <t>NULL</t>
        </is>
      </c>
      <c r="K638" t="inlineStr">
        <is>
          <t xml:space="preserve"> NO!  	 c_dtoffset_4列源备映射错误，源端为datetimeoffset None位	期望更改为text	实际备端为datetimeoffset None位</t>
        </is>
      </c>
    </row>
    <row r="639">
      <c r="B639" t="inlineStr">
        <is>
          <t>NULL</t>
        </is>
      </c>
      <c r="C639" t="inlineStr">
        <is>
          <t>NULL</t>
        </is>
      </c>
      <c r="D639" t="inlineStr">
        <is>
          <t>NULL</t>
        </is>
      </c>
      <c r="E639" t="inlineStr">
        <is>
          <t>NULL</t>
        </is>
      </c>
      <c r="F639" t="inlineStr">
        <is>
          <t>NULL</t>
        </is>
      </c>
      <c r="G639" t="inlineStr">
        <is>
          <t>NULL</t>
        </is>
      </c>
      <c r="H639" t="inlineStr">
        <is>
          <t>NULL</t>
        </is>
      </c>
      <c r="I639" t="inlineStr">
        <is>
          <t>NULL</t>
        </is>
      </c>
      <c r="J639" t="inlineStr">
        <is>
          <t>NULL</t>
        </is>
      </c>
      <c r="K639" t="inlineStr">
        <is>
          <t xml:space="preserve"> NO!  	 c_dtoffset_5列源备映射错误，源端为datetimeoffset None位	期望更改为text	实际备端为datetimeoffset None位</t>
        </is>
      </c>
    </row>
    <row r="640">
      <c r="B640" t="inlineStr">
        <is>
          <t>NULL</t>
        </is>
      </c>
      <c r="C640" t="inlineStr">
        <is>
          <t>NULL</t>
        </is>
      </c>
      <c r="D640" t="inlineStr">
        <is>
          <t>NULL</t>
        </is>
      </c>
      <c r="E640" t="inlineStr">
        <is>
          <t>NULL</t>
        </is>
      </c>
      <c r="F640" t="inlineStr">
        <is>
          <t>NULL</t>
        </is>
      </c>
      <c r="G640" t="inlineStr">
        <is>
          <t>NULL</t>
        </is>
      </c>
      <c r="H640" t="inlineStr">
        <is>
          <t>NULL</t>
        </is>
      </c>
      <c r="I640" t="inlineStr">
        <is>
          <t>NULL</t>
        </is>
      </c>
      <c r="J640" t="inlineStr">
        <is>
          <t>NULL</t>
        </is>
      </c>
      <c r="K640" t="inlineStr">
        <is>
          <t xml:space="preserve"> NO!  	 c_dtoffset_6列源备映射错误，源端为datetimeoffset None位	期望更改为text	实际备端为datetimeoffset None位</t>
        </is>
      </c>
    </row>
    <row r="641">
      <c r="B641" t="inlineStr">
        <is>
          <t>NULL</t>
        </is>
      </c>
      <c r="C641" t="inlineStr">
        <is>
          <t>NULL</t>
        </is>
      </c>
      <c r="D641" t="inlineStr">
        <is>
          <t>NULL</t>
        </is>
      </c>
      <c r="E641" t="inlineStr">
        <is>
          <t>NULL</t>
        </is>
      </c>
      <c r="F641" t="inlineStr">
        <is>
          <t>NULL</t>
        </is>
      </c>
      <c r="G641" t="inlineStr">
        <is>
          <t>NULL</t>
        </is>
      </c>
      <c r="H641" t="inlineStr">
        <is>
          <t>NULL</t>
        </is>
      </c>
      <c r="I641" t="inlineStr">
        <is>
          <t>NULL</t>
        </is>
      </c>
      <c r="J641" t="inlineStr">
        <is>
          <t>NULL</t>
        </is>
      </c>
      <c r="K641" t="inlineStr">
        <is>
          <t xml:space="preserve"> NO!  	 c_dtoffset列源备映射错误，源端为datetimeoffset None位	期望更改为text	实际备端为datetimeoffset None位</t>
        </is>
      </c>
    </row>
    <row r="642">
      <c r="A642" t="inlineStr">
        <is>
          <t>info_nchar_dml_batch2_pk_urp2</t>
        </is>
      </c>
      <c r="K642" t="inlineStr">
        <is>
          <t>[0;34m info_nchar_dml_batch2_pk_urp2 [0m源备字段数相同，源端字段：4 	备端字段4</t>
        </is>
      </c>
      <c r="W642" t="inlineStr">
        <is>
          <t>YES 源备无差异</t>
        </is>
      </c>
      <c r="X642">
        <f>A642</f>
        <v/>
      </c>
    </row>
    <row r="643">
      <c r="B643" t="inlineStr">
        <is>
          <t>YES</t>
        </is>
      </c>
      <c r="C643" t="inlineStr">
        <is>
          <t>NULL</t>
        </is>
      </c>
      <c r="D643" t="inlineStr">
        <is>
          <t>NULL</t>
        </is>
      </c>
      <c r="E643" t="inlineStr">
        <is>
          <t>NULL</t>
        </is>
      </c>
      <c r="F643" t="inlineStr">
        <is>
          <t>NULL</t>
        </is>
      </c>
      <c r="G643" t="inlineStr">
        <is>
          <t>NULL</t>
        </is>
      </c>
      <c r="H643" t="inlineStr">
        <is>
          <t>NULL</t>
        </is>
      </c>
      <c r="I643" t="inlineStr">
        <is>
          <t>YES!PK__info_nch__3213E83F6BE975AA</t>
        </is>
      </c>
      <c r="J643" t="inlineStr">
        <is>
          <t>YES! 主键相关索引</t>
        </is>
      </c>
      <c r="K643" t="inlineStr">
        <is>
          <t xml:space="preserve"> NO!  	 id列源备映射错误，源端为int None位	期望更改为text	实际备端为int None位</t>
        </is>
      </c>
    </row>
    <row r="644">
      <c r="B644" t="inlineStr">
        <is>
          <t>NULL</t>
        </is>
      </c>
      <c r="C644" t="inlineStr">
        <is>
          <t>NULL</t>
        </is>
      </c>
      <c r="D644" t="inlineStr">
        <is>
          <t>NULL</t>
        </is>
      </c>
      <c r="E644" t="inlineStr">
        <is>
          <t>NULL</t>
        </is>
      </c>
      <c r="F644" t="inlineStr">
        <is>
          <t>NULL</t>
        </is>
      </c>
      <c r="G644" t="inlineStr">
        <is>
          <t>NULL</t>
        </is>
      </c>
      <c r="H644" t="inlineStr">
        <is>
          <t>NULL</t>
        </is>
      </c>
      <c r="I644" t="inlineStr">
        <is>
          <t>NULL</t>
        </is>
      </c>
      <c r="J644" t="inlineStr">
        <is>
          <t>NULL</t>
        </is>
      </c>
      <c r="K644" t="inlineStr">
        <is>
          <t xml:space="preserve"> NO!  	 c_nchar列源备映射错误，源端为nchar 2位	期望更改为text	实际备端为nchar 2位</t>
        </is>
      </c>
    </row>
    <row r="645">
      <c r="B645" t="inlineStr">
        <is>
          <t>NULL</t>
        </is>
      </c>
      <c r="C645" t="inlineStr">
        <is>
          <t>NULL</t>
        </is>
      </c>
      <c r="D645" t="inlineStr">
        <is>
          <t>NULL</t>
        </is>
      </c>
      <c r="E645" t="inlineStr">
        <is>
          <t>NULL</t>
        </is>
      </c>
      <c r="F645" t="inlineStr">
        <is>
          <t>NULL</t>
        </is>
      </c>
      <c r="G645" t="inlineStr">
        <is>
          <t>NULL</t>
        </is>
      </c>
      <c r="H645" t="inlineStr">
        <is>
          <t>NULL</t>
        </is>
      </c>
      <c r="I645" t="inlineStr">
        <is>
          <t>NULL</t>
        </is>
      </c>
      <c r="J645" t="inlineStr">
        <is>
          <t>NULL</t>
        </is>
      </c>
      <c r="K645" t="inlineStr">
        <is>
          <t xml:space="preserve"> NO!  	 c_nchar20列源备映射错误，源端为nchar 40位	期望更改为text	实际备端为nchar 40位</t>
        </is>
      </c>
    </row>
    <row r="646">
      <c r="B646" t="inlineStr">
        <is>
          <t>NULL</t>
        </is>
      </c>
      <c r="C646" t="inlineStr">
        <is>
          <t>NULL</t>
        </is>
      </c>
      <c r="D646" t="inlineStr">
        <is>
          <t>NULL</t>
        </is>
      </c>
      <c r="E646" t="inlineStr">
        <is>
          <t>NULL</t>
        </is>
      </c>
      <c r="F646" t="inlineStr">
        <is>
          <t>NULL</t>
        </is>
      </c>
      <c r="G646" t="inlineStr">
        <is>
          <t>NULL</t>
        </is>
      </c>
      <c r="H646" t="inlineStr">
        <is>
          <t>NULL</t>
        </is>
      </c>
      <c r="I646" t="inlineStr">
        <is>
          <t>NULL</t>
        </is>
      </c>
      <c r="J646" t="inlineStr">
        <is>
          <t>NULL</t>
        </is>
      </c>
      <c r="K646" t="inlineStr">
        <is>
          <t xml:space="preserve"> NO!  	 c_nchar3500列源备映射错误，源端为nchar 7000位	期望更改为text	实际备端为nchar 7000位</t>
        </is>
      </c>
    </row>
    <row r="647">
      <c r="A647" t="inlineStr">
        <is>
          <t>info_date_dml_batch2_pk_irp1</t>
        </is>
      </c>
      <c r="K647" t="inlineStr">
        <is>
          <t>[0;34m info_date_dml_batch2_pk_irp1 [0m源备字段数相同，源端字段：2 	备端字段2</t>
        </is>
      </c>
      <c r="W647" s="17">
        <f>HYPERLINK("#2026041919hbase0!CD2","NO 源备存在差异，共10个")</f>
        <v/>
      </c>
      <c r="X647">
        <f>A647</f>
        <v/>
      </c>
    </row>
    <row r="648">
      <c r="B648" t="inlineStr">
        <is>
          <t>YES</t>
        </is>
      </c>
      <c r="C648" t="inlineStr">
        <is>
          <t>NULL</t>
        </is>
      </c>
      <c r="D648" t="inlineStr">
        <is>
          <t>NULL</t>
        </is>
      </c>
      <c r="E648" t="inlineStr">
        <is>
          <t>NULL</t>
        </is>
      </c>
      <c r="F648" t="inlineStr">
        <is>
          <t>NULL</t>
        </is>
      </c>
      <c r="G648" t="inlineStr">
        <is>
          <t>NULL</t>
        </is>
      </c>
      <c r="H648" t="inlineStr">
        <is>
          <t>NULL</t>
        </is>
      </c>
      <c r="I648" t="inlineStr">
        <is>
          <t>YES!PK__info_dat__3213E83FE1963DF3</t>
        </is>
      </c>
      <c r="J648" t="inlineStr">
        <is>
          <t>YES! 主键相关索引</t>
        </is>
      </c>
      <c r="K648" t="inlineStr">
        <is>
          <t xml:space="preserve"> NO!  	 id列源备映射错误，源端为int None位	期望更改为text	实际备端为int None位</t>
        </is>
      </c>
    </row>
    <row r="649">
      <c r="B649" t="inlineStr">
        <is>
          <t>NULL</t>
        </is>
      </c>
      <c r="C649" t="inlineStr">
        <is>
          <t>NULL</t>
        </is>
      </c>
      <c r="D649" t="inlineStr">
        <is>
          <t>NULL</t>
        </is>
      </c>
      <c r="E649" t="inlineStr">
        <is>
          <t>NULL</t>
        </is>
      </c>
      <c r="F649" t="inlineStr">
        <is>
          <t>NULL</t>
        </is>
      </c>
      <c r="G649" t="inlineStr">
        <is>
          <t>NULL</t>
        </is>
      </c>
      <c r="H649" t="inlineStr">
        <is>
          <t>NULL</t>
        </is>
      </c>
      <c r="I649" t="inlineStr">
        <is>
          <t>NULL</t>
        </is>
      </c>
      <c r="J649" t="inlineStr">
        <is>
          <t>NULL</t>
        </is>
      </c>
      <c r="K649" t="inlineStr">
        <is>
          <t xml:space="preserve"> NO!  	 c_date列源备映射错误，源端为date None位	期望更改为text	实际备端为date None位</t>
        </is>
      </c>
    </row>
    <row r="650">
      <c r="A650" t="inlineStr">
        <is>
          <t>info_time_dml_single_pk_urp</t>
        </is>
      </c>
      <c r="K650" t="inlineStr">
        <is>
          <t>[0;34m info_time_dml_single_pk_urp [0m源备字段数相同，源端字段：9 	备端字段9</t>
        </is>
      </c>
      <c r="W650" s="17">
        <f>HYPERLINK("#2026041919hbase0!CE2","NO 源备存在差异，共4个")</f>
        <v/>
      </c>
      <c r="X650">
        <f>A650</f>
        <v/>
      </c>
    </row>
    <row r="651">
      <c r="B651" t="inlineStr">
        <is>
          <t>YES</t>
        </is>
      </c>
      <c r="C651" t="inlineStr">
        <is>
          <t>NULL</t>
        </is>
      </c>
      <c r="D651" t="inlineStr">
        <is>
          <t>NULL</t>
        </is>
      </c>
      <c r="E651" t="inlineStr">
        <is>
          <t>NULL</t>
        </is>
      </c>
      <c r="F651" t="inlineStr">
        <is>
          <t>NULL</t>
        </is>
      </c>
      <c r="G651" t="inlineStr">
        <is>
          <t>NULL</t>
        </is>
      </c>
      <c r="H651" t="inlineStr">
        <is>
          <t>NULL</t>
        </is>
      </c>
      <c r="I651" t="inlineStr">
        <is>
          <t>YES!PK__info_tim__3213E83FC9F1688E</t>
        </is>
      </c>
      <c r="J651" t="inlineStr">
        <is>
          <t>YES! 主键相关索引</t>
        </is>
      </c>
      <c r="K651" t="inlineStr">
        <is>
          <t xml:space="preserve"> NO!  	 id列源备映射错误，源端为int None位	期望更改为text	实际备端为int None位</t>
        </is>
      </c>
    </row>
    <row r="652">
      <c r="B652" t="inlineStr">
        <is>
          <t>NULL</t>
        </is>
      </c>
      <c r="C652" t="inlineStr">
        <is>
          <t>NULL</t>
        </is>
      </c>
      <c r="D652" t="inlineStr">
        <is>
          <t>NULL</t>
        </is>
      </c>
      <c r="E652" t="inlineStr">
        <is>
          <t>NULL</t>
        </is>
      </c>
      <c r="F652" t="inlineStr">
        <is>
          <t>NULL</t>
        </is>
      </c>
      <c r="G652" t="inlineStr">
        <is>
          <t>NULL</t>
        </is>
      </c>
      <c r="H652" t="inlineStr">
        <is>
          <t>NULL</t>
        </is>
      </c>
      <c r="I652" t="inlineStr">
        <is>
          <t>NULL</t>
        </is>
      </c>
      <c r="J652" t="inlineStr">
        <is>
          <t>NULL</t>
        </is>
      </c>
      <c r="K652" t="inlineStr">
        <is>
          <t xml:space="preserve"> NO!  	 c_time0列源备映射错误，源端为time None位	期望更改为text	实际备端为time None位</t>
        </is>
      </c>
    </row>
    <row r="653">
      <c r="B653" t="inlineStr">
        <is>
          <t>NULL</t>
        </is>
      </c>
      <c r="C653" t="inlineStr">
        <is>
          <t>NULL</t>
        </is>
      </c>
      <c r="D653" t="inlineStr">
        <is>
          <t>NULL</t>
        </is>
      </c>
      <c r="E653" t="inlineStr">
        <is>
          <t>NULL</t>
        </is>
      </c>
      <c r="F653" t="inlineStr">
        <is>
          <t>NULL</t>
        </is>
      </c>
      <c r="G653" t="inlineStr">
        <is>
          <t>NULL</t>
        </is>
      </c>
      <c r="H653" t="inlineStr">
        <is>
          <t>NULL</t>
        </is>
      </c>
      <c r="I653" t="inlineStr">
        <is>
          <t>NULL</t>
        </is>
      </c>
      <c r="J653" t="inlineStr">
        <is>
          <t>NULL</t>
        </is>
      </c>
      <c r="K653" t="inlineStr">
        <is>
          <t xml:space="preserve"> NO!  	 c_time1列源备映射错误，源端为time None位	期望更改为text	实际备端为time None位</t>
        </is>
      </c>
    </row>
    <row r="654">
      <c r="B654" t="inlineStr">
        <is>
          <t>NULL</t>
        </is>
      </c>
      <c r="C654" t="inlineStr">
        <is>
          <t>NULL</t>
        </is>
      </c>
      <c r="D654" t="inlineStr">
        <is>
          <t>NULL</t>
        </is>
      </c>
      <c r="E654" t="inlineStr">
        <is>
          <t>NULL</t>
        </is>
      </c>
      <c r="F654" t="inlineStr">
        <is>
          <t>NULL</t>
        </is>
      </c>
      <c r="G654" t="inlineStr">
        <is>
          <t>NULL</t>
        </is>
      </c>
      <c r="H654" t="inlineStr">
        <is>
          <t>NULL</t>
        </is>
      </c>
      <c r="I654" t="inlineStr">
        <is>
          <t>NULL</t>
        </is>
      </c>
      <c r="J654" t="inlineStr">
        <is>
          <t>NULL</t>
        </is>
      </c>
      <c r="K654" t="inlineStr">
        <is>
          <t xml:space="preserve"> NO!  	 c_time2列源备映射错误，源端为time None位	期望更改为text	实际备端为time None位</t>
        </is>
      </c>
    </row>
    <row r="655">
      <c r="B655" t="inlineStr">
        <is>
          <t>NULL</t>
        </is>
      </c>
      <c r="C655" t="inlineStr">
        <is>
          <t>NULL</t>
        </is>
      </c>
      <c r="D655" t="inlineStr">
        <is>
          <t>NULL</t>
        </is>
      </c>
      <c r="E655" t="inlineStr">
        <is>
          <t>NULL</t>
        </is>
      </c>
      <c r="F655" t="inlineStr">
        <is>
          <t>NULL</t>
        </is>
      </c>
      <c r="G655" t="inlineStr">
        <is>
          <t>NULL</t>
        </is>
      </c>
      <c r="H655" t="inlineStr">
        <is>
          <t>NULL</t>
        </is>
      </c>
      <c r="I655" t="inlineStr">
        <is>
          <t>NULL</t>
        </is>
      </c>
      <c r="J655" t="inlineStr">
        <is>
          <t>NULL</t>
        </is>
      </c>
      <c r="K655" t="inlineStr">
        <is>
          <t xml:space="preserve"> NO!  	 c_time3列源备映射错误，源端为time None位	期望更改为text	实际备端为time None位</t>
        </is>
      </c>
    </row>
    <row r="656">
      <c r="B656" t="inlineStr">
        <is>
          <t>NULL</t>
        </is>
      </c>
      <c r="C656" t="inlineStr">
        <is>
          <t>NULL</t>
        </is>
      </c>
      <c r="D656" t="inlineStr">
        <is>
          <t>NULL</t>
        </is>
      </c>
      <c r="E656" t="inlineStr">
        <is>
          <t>NULL</t>
        </is>
      </c>
      <c r="F656" t="inlineStr">
        <is>
          <t>NULL</t>
        </is>
      </c>
      <c r="G656" t="inlineStr">
        <is>
          <t>NULL</t>
        </is>
      </c>
      <c r="H656" t="inlineStr">
        <is>
          <t>NULL</t>
        </is>
      </c>
      <c r="I656" t="inlineStr">
        <is>
          <t>NULL</t>
        </is>
      </c>
      <c r="J656" t="inlineStr">
        <is>
          <t>NULL</t>
        </is>
      </c>
      <c r="K656" t="inlineStr">
        <is>
          <t xml:space="preserve"> NO!  	 c_time4列源备映射错误，源端为time None位	期望更改为text	实际备端为time None位</t>
        </is>
      </c>
    </row>
    <row r="657">
      <c r="B657" t="inlineStr">
        <is>
          <t>NULL</t>
        </is>
      </c>
      <c r="C657" t="inlineStr">
        <is>
          <t>NULL</t>
        </is>
      </c>
      <c r="D657" t="inlineStr">
        <is>
          <t>NULL</t>
        </is>
      </c>
      <c r="E657" t="inlineStr">
        <is>
          <t>NULL</t>
        </is>
      </c>
      <c r="F657" t="inlineStr">
        <is>
          <t>NULL</t>
        </is>
      </c>
      <c r="G657" t="inlineStr">
        <is>
          <t>NULL</t>
        </is>
      </c>
      <c r="H657" t="inlineStr">
        <is>
          <t>NULL</t>
        </is>
      </c>
      <c r="I657" t="inlineStr">
        <is>
          <t>NULL</t>
        </is>
      </c>
      <c r="J657" t="inlineStr">
        <is>
          <t>NULL</t>
        </is>
      </c>
      <c r="K657" t="inlineStr">
        <is>
          <t xml:space="preserve"> NO!  	 c_time5列源备映射错误，源端为time None位	期望更改为text	实际备端为time None位</t>
        </is>
      </c>
    </row>
    <row r="658">
      <c r="B658" t="inlineStr">
        <is>
          <t>NULL</t>
        </is>
      </c>
      <c r="C658" t="inlineStr">
        <is>
          <t>NULL</t>
        </is>
      </c>
      <c r="D658" t="inlineStr">
        <is>
          <t>NULL</t>
        </is>
      </c>
      <c r="E658" t="inlineStr">
        <is>
          <t>NULL</t>
        </is>
      </c>
      <c r="F658" t="inlineStr">
        <is>
          <t>NULL</t>
        </is>
      </c>
      <c r="G658" t="inlineStr">
        <is>
          <t>NULL</t>
        </is>
      </c>
      <c r="H658" t="inlineStr">
        <is>
          <t>NULL</t>
        </is>
      </c>
      <c r="I658" t="inlineStr">
        <is>
          <t>NULL</t>
        </is>
      </c>
      <c r="J658" t="inlineStr">
        <is>
          <t>NULL</t>
        </is>
      </c>
      <c r="K658" t="inlineStr">
        <is>
          <t xml:space="preserve"> NO!  	 c_time6列源备映射错误，源端为time None位	期望更改为text	实际备端为time None位</t>
        </is>
      </c>
    </row>
    <row r="659">
      <c r="B659" t="inlineStr">
        <is>
          <t>NULL</t>
        </is>
      </c>
      <c r="C659" t="inlineStr">
        <is>
          <t>NULL</t>
        </is>
      </c>
      <c r="D659" t="inlineStr">
        <is>
          <t>NULL</t>
        </is>
      </c>
      <c r="E659" t="inlineStr">
        <is>
          <t>NULL</t>
        </is>
      </c>
      <c r="F659" t="inlineStr">
        <is>
          <t>NULL</t>
        </is>
      </c>
      <c r="G659" t="inlineStr">
        <is>
          <t>NULL</t>
        </is>
      </c>
      <c r="H659" t="inlineStr">
        <is>
          <t>NULL</t>
        </is>
      </c>
      <c r="I659" t="inlineStr">
        <is>
          <t>NULL</t>
        </is>
      </c>
      <c r="J659" t="inlineStr">
        <is>
          <t>NULL</t>
        </is>
      </c>
      <c r="K659" t="inlineStr">
        <is>
          <t xml:space="preserve"> NO!  	 c_time列源备映射错误，源端为time None位	期望更改为text	实际备端为time None位</t>
        </is>
      </c>
    </row>
    <row r="660">
      <c r="A660" t="inlineStr">
        <is>
          <t>info_binary_dml_batch1_pk_urp1</t>
        </is>
      </c>
      <c r="K660" t="inlineStr">
        <is>
          <t>[0;34m info_binary_dml_batch1_pk_urp1 [0m源备字段数相同，源端字段：4 	备端字段4</t>
        </is>
      </c>
      <c r="W660" s="17">
        <f>HYPERLINK("#2026041919hbase0!CF2","NO 源备存在差异，共10个")</f>
        <v/>
      </c>
      <c r="X660">
        <f>A660</f>
        <v/>
      </c>
    </row>
    <row r="661">
      <c r="B661" t="inlineStr">
        <is>
          <t>YES</t>
        </is>
      </c>
      <c r="C661" t="inlineStr">
        <is>
          <t>NULL</t>
        </is>
      </c>
      <c r="D661" t="inlineStr">
        <is>
          <t>NULL</t>
        </is>
      </c>
      <c r="E661" t="inlineStr">
        <is>
          <t>NULL</t>
        </is>
      </c>
      <c r="F661" t="inlineStr">
        <is>
          <t>NULL</t>
        </is>
      </c>
      <c r="G661" t="inlineStr">
        <is>
          <t>NULL</t>
        </is>
      </c>
      <c r="H661" t="inlineStr">
        <is>
          <t>NULL</t>
        </is>
      </c>
      <c r="I661" t="inlineStr">
        <is>
          <t>YES!PK__info_bin__3213E83F0AD14B48</t>
        </is>
      </c>
      <c r="J661" t="inlineStr">
        <is>
          <t>YES! 主键相关索引</t>
        </is>
      </c>
      <c r="K661" t="inlineStr">
        <is>
          <t xml:space="preserve"> NO!  	 id列源备映射错误，源端为int None位	期望更改为text	实际备端为int None位</t>
        </is>
      </c>
    </row>
    <row r="662">
      <c r="B662" t="inlineStr">
        <is>
          <t>NULL</t>
        </is>
      </c>
      <c r="C662" t="inlineStr">
        <is>
          <t>NULL</t>
        </is>
      </c>
      <c r="D662" t="inlineStr">
        <is>
          <t>NULL</t>
        </is>
      </c>
      <c r="E662" t="inlineStr">
        <is>
          <t>NULL</t>
        </is>
      </c>
      <c r="F662" t="inlineStr">
        <is>
          <t>NULL</t>
        </is>
      </c>
      <c r="G662" t="inlineStr">
        <is>
          <t>NULL</t>
        </is>
      </c>
      <c r="H662" t="inlineStr">
        <is>
          <t>NULL</t>
        </is>
      </c>
      <c r="I662" t="inlineStr">
        <is>
          <t>NULL</t>
        </is>
      </c>
      <c r="J662" t="inlineStr">
        <is>
          <t>NULL</t>
        </is>
      </c>
      <c r="K662" t="inlineStr">
        <is>
          <t xml:space="preserve"> NO!  	 c_binary列源备映射错误，源端为binary 1位	期望更改为text	实际备端为binary 1位</t>
        </is>
      </c>
    </row>
    <row r="663">
      <c r="B663" t="inlineStr">
        <is>
          <t>NULL</t>
        </is>
      </c>
      <c r="C663" t="inlineStr">
        <is>
          <t>NULL</t>
        </is>
      </c>
      <c r="D663" t="inlineStr">
        <is>
          <t>NULL</t>
        </is>
      </c>
      <c r="E663" t="inlineStr">
        <is>
          <t>NULL</t>
        </is>
      </c>
      <c r="F663" t="inlineStr">
        <is>
          <t>NULL</t>
        </is>
      </c>
      <c r="G663" t="inlineStr">
        <is>
          <t>NULL</t>
        </is>
      </c>
      <c r="H663" t="inlineStr">
        <is>
          <t>NULL</t>
        </is>
      </c>
      <c r="I663" t="inlineStr">
        <is>
          <t>NULL</t>
        </is>
      </c>
      <c r="J663" t="inlineStr">
        <is>
          <t>NULL</t>
        </is>
      </c>
      <c r="K663" t="inlineStr">
        <is>
          <t xml:space="preserve"> NO!  	 c_binary_20列源备映射错误，源端为binary 20位	期望更改为text	实际备端为binary 20位</t>
        </is>
      </c>
    </row>
    <row r="664">
      <c r="B664" t="inlineStr">
        <is>
          <t>NULL</t>
        </is>
      </c>
      <c r="C664" t="inlineStr">
        <is>
          <t>NULL</t>
        </is>
      </c>
      <c r="D664" t="inlineStr">
        <is>
          <t>NULL</t>
        </is>
      </c>
      <c r="E664" t="inlineStr">
        <is>
          <t>NULL</t>
        </is>
      </c>
      <c r="F664" t="inlineStr">
        <is>
          <t>NULL</t>
        </is>
      </c>
      <c r="G664" t="inlineStr">
        <is>
          <t>NULL</t>
        </is>
      </c>
      <c r="H664" t="inlineStr">
        <is>
          <t>NULL</t>
        </is>
      </c>
      <c r="I664" t="inlineStr">
        <is>
          <t>NULL</t>
        </is>
      </c>
      <c r="J664" t="inlineStr">
        <is>
          <t>NULL</t>
        </is>
      </c>
      <c r="K664" t="inlineStr">
        <is>
          <t xml:space="preserve"> NO!  	 c_binary_200列源备映射错误，源端为binary 200位	期望更改为text	实际备端为binary 200位</t>
        </is>
      </c>
    </row>
    <row r="665">
      <c r="A665" t="inlineStr">
        <is>
          <t>info_time_dml_single_pk_drp</t>
        </is>
      </c>
      <c r="K665" t="inlineStr">
        <is>
          <t>[0;34m info_time_dml_single_pk_drp [0m源备字段数相同，源端字段：9 	备端字段9</t>
        </is>
      </c>
      <c r="W665" s="17">
        <f>HYPERLINK("#2026041919hbase0!CG2","NO 源备存在差异，共8个")</f>
        <v/>
      </c>
      <c r="X665">
        <f>A665</f>
        <v/>
      </c>
    </row>
    <row r="666">
      <c r="B666" t="inlineStr">
        <is>
          <t>YES</t>
        </is>
      </c>
      <c r="C666" t="inlineStr">
        <is>
          <t>NULL</t>
        </is>
      </c>
      <c r="D666" t="inlineStr">
        <is>
          <t>NULL</t>
        </is>
      </c>
      <c r="E666" t="inlineStr">
        <is>
          <t>NULL</t>
        </is>
      </c>
      <c r="F666" t="inlineStr">
        <is>
          <t>NULL</t>
        </is>
      </c>
      <c r="G666" t="inlineStr">
        <is>
          <t>NULL</t>
        </is>
      </c>
      <c r="H666" t="inlineStr">
        <is>
          <t>NULL</t>
        </is>
      </c>
      <c r="I666" t="inlineStr">
        <is>
          <t>YES!PK__info_tim__3213E83FB2F0BF8C</t>
        </is>
      </c>
      <c r="J666" t="inlineStr">
        <is>
          <t>YES! 主键相关索引</t>
        </is>
      </c>
      <c r="K666" t="inlineStr">
        <is>
          <t xml:space="preserve"> NO!  	 id列源备映射错误，源端为int None位	期望更改为text	实际备端为int None位</t>
        </is>
      </c>
    </row>
    <row r="667">
      <c r="B667" t="inlineStr">
        <is>
          <t>NULL</t>
        </is>
      </c>
      <c r="C667" t="inlineStr">
        <is>
          <t>NULL</t>
        </is>
      </c>
      <c r="D667" t="inlineStr">
        <is>
          <t>NULL</t>
        </is>
      </c>
      <c r="E667" t="inlineStr">
        <is>
          <t>NULL</t>
        </is>
      </c>
      <c r="F667" t="inlineStr">
        <is>
          <t>NULL</t>
        </is>
      </c>
      <c r="G667" t="inlineStr">
        <is>
          <t>NULL</t>
        </is>
      </c>
      <c r="H667" t="inlineStr">
        <is>
          <t>NULL</t>
        </is>
      </c>
      <c r="I667" t="inlineStr">
        <is>
          <t>NULL</t>
        </is>
      </c>
      <c r="J667" t="inlineStr">
        <is>
          <t>NULL</t>
        </is>
      </c>
      <c r="K667" t="inlineStr">
        <is>
          <t xml:space="preserve"> NO!  	 c_time0列源备映射错误，源端为time None位	期望更改为text	实际备端为time None位</t>
        </is>
      </c>
    </row>
    <row r="668">
      <c r="B668" t="inlineStr">
        <is>
          <t>NULL</t>
        </is>
      </c>
      <c r="C668" t="inlineStr">
        <is>
          <t>NULL</t>
        </is>
      </c>
      <c r="D668" t="inlineStr">
        <is>
          <t>NULL</t>
        </is>
      </c>
      <c r="E668" t="inlineStr">
        <is>
          <t>NULL</t>
        </is>
      </c>
      <c r="F668" t="inlineStr">
        <is>
          <t>NULL</t>
        </is>
      </c>
      <c r="G668" t="inlineStr">
        <is>
          <t>NULL</t>
        </is>
      </c>
      <c r="H668" t="inlineStr">
        <is>
          <t>NULL</t>
        </is>
      </c>
      <c r="I668" t="inlineStr">
        <is>
          <t>NULL</t>
        </is>
      </c>
      <c r="J668" t="inlineStr">
        <is>
          <t>NULL</t>
        </is>
      </c>
      <c r="K668" t="inlineStr">
        <is>
          <t xml:space="preserve"> NO!  	 c_time1列源备映射错误，源端为time None位	期望更改为text	实际备端为time None位</t>
        </is>
      </c>
    </row>
    <row r="669">
      <c r="B669" t="inlineStr">
        <is>
          <t>NULL</t>
        </is>
      </c>
      <c r="C669" t="inlineStr">
        <is>
          <t>NULL</t>
        </is>
      </c>
      <c r="D669" t="inlineStr">
        <is>
          <t>NULL</t>
        </is>
      </c>
      <c r="E669" t="inlineStr">
        <is>
          <t>NULL</t>
        </is>
      </c>
      <c r="F669" t="inlineStr">
        <is>
          <t>NULL</t>
        </is>
      </c>
      <c r="G669" t="inlineStr">
        <is>
          <t>NULL</t>
        </is>
      </c>
      <c r="H669" t="inlineStr">
        <is>
          <t>NULL</t>
        </is>
      </c>
      <c r="I669" t="inlineStr">
        <is>
          <t>NULL</t>
        </is>
      </c>
      <c r="J669" t="inlineStr">
        <is>
          <t>NULL</t>
        </is>
      </c>
      <c r="K669" t="inlineStr">
        <is>
          <t xml:space="preserve"> NO!  	 c_time2列源备映射错误，源端为time None位	期望更改为text	实际备端为time None位</t>
        </is>
      </c>
    </row>
    <row r="670">
      <c r="B670" t="inlineStr">
        <is>
          <t>NULL</t>
        </is>
      </c>
      <c r="C670" t="inlineStr">
        <is>
          <t>NULL</t>
        </is>
      </c>
      <c r="D670" t="inlineStr">
        <is>
          <t>NULL</t>
        </is>
      </c>
      <c r="E670" t="inlineStr">
        <is>
          <t>NULL</t>
        </is>
      </c>
      <c r="F670" t="inlineStr">
        <is>
          <t>NULL</t>
        </is>
      </c>
      <c r="G670" t="inlineStr">
        <is>
          <t>NULL</t>
        </is>
      </c>
      <c r="H670" t="inlineStr">
        <is>
          <t>NULL</t>
        </is>
      </c>
      <c r="I670" t="inlineStr">
        <is>
          <t>NULL</t>
        </is>
      </c>
      <c r="J670" t="inlineStr">
        <is>
          <t>NULL</t>
        </is>
      </c>
      <c r="K670" t="inlineStr">
        <is>
          <t xml:space="preserve"> NO!  	 c_time3列源备映射错误，源端为time None位	期望更改为text	实际备端为time None位</t>
        </is>
      </c>
    </row>
    <row r="671">
      <c r="B671" t="inlineStr">
        <is>
          <t>NULL</t>
        </is>
      </c>
      <c r="C671" t="inlineStr">
        <is>
          <t>NULL</t>
        </is>
      </c>
      <c r="D671" t="inlineStr">
        <is>
          <t>NULL</t>
        </is>
      </c>
      <c r="E671" t="inlineStr">
        <is>
          <t>NULL</t>
        </is>
      </c>
      <c r="F671" t="inlineStr">
        <is>
          <t>NULL</t>
        </is>
      </c>
      <c r="G671" t="inlineStr">
        <is>
          <t>NULL</t>
        </is>
      </c>
      <c r="H671" t="inlineStr">
        <is>
          <t>NULL</t>
        </is>
      </c>
      <c r="I671" t="inlineStr">
        <is>
          <t>NULL</t>
        </is>
      </c>
      <c r="J671" t="inlineStr">
        <is>
          <t>NULL</t>
        </is>
      </c>
      <c r="K671" t="inlineStr">
        <is>
          <t xml:space="preserve"> NO!  	 c_time4列源备映射错误，源端为time None位	期望更改为text	实际备端为time None位</t>
        </is>
      </c>
    </row>
    <row r="672">
      <c r="B672" t="inlineStr">
        <is>
          <t>NULL</t>
        </is>
      </c>
      <c r="C672" t="inlineStr">
        <is>
          <t>NULL</t>
        </is>
      </c>
      <c r="D672" t="inlineStr">
        <is>
          <t>NULL</t>
        </is>
      </c>
      <c r="E672" t="inlineStr">
        <is>
          <t>NULL</t>
        </is>
      </c>
      <c r="F672" t="inlineStr">
        <is>
          <t>NULL</t>
        </is>
      </c>
      <c r="G672" t="inlineStr">
        <is>
          <t>NULL</t>
        </is>
      </c>
      <c r="H672" t="inlineStr">
        <is>
          <t>NULL</t>
        </is>
      </c>
      <c r="I672" t="inlineStr">
        <is>
          <t>NULL</t>
        </is>
      </c>
      <c r="J672" t="inlineStr">
        <is>
          <t>NULL</t>
        </is>
      </c>
      <c r="K672" t="inlineStr">
        <is>
          <t xml:space="preserve"> NO!  	 c_time5列源备映射错误，源端为time None位	期望更改为text	实际备端为time None位</t>
        </is>
      </c>
    </row>
    <row r="673">
      <c r="B673" t="inlineStr">
        <is>
          <t>NULL</t>
        </is>
      </c>
      <c r="C673" t="inlineStr">
        <is>
          <t>NULL</t>
        </is>
      </c>
      <c r="D673" t="inlineStr">
        <is>
          <t>NULL</t>
        </is>
      </c>
      <c r="E673" t="inlineStr">
        <is>
          <t>NULL</t>
        </is>
      </c>
      <c r="F673" t="inlineStr">
        <is>
          <t>NULL</t>
        </is>
      </c>
      <c r="G673" t="inlineStr">
        <is>
          <t>NULL</t>
        </is>
      </c>
      <c r="H673" t="inlineStr">
        <is>
          <t>NULL</t>
        </is>
      </c>
      <c r="I673" t="inlineStr">
        <is>
          <t>NULL</t>
        </is>
      </c>
      <c r="J673" t="inlineStr">
        <is>
          <t>NULL</t>
        </is>
      </c>
      <c r="K673" t="inlineStr">
        <is>
          <t xml:space="preserve"> NO!  	 c_time6列源备映射错误，源端为time None位	期望更改为text	实际备端为time None位</t>
        </is>
      </c>
    </row>
    <row r="674">
      <c r="B674" t="inlineStr">
        <is>
          <t>NULL</t>
        </is>
      </c>
      <c r="C674" t="inlineStr">
        <is>
          <t>NULL</t>
        </is>
      </c>
      <c r="D674" t="inlineStr">
        <is>
          <t>NULL</t>
        </is>
      </c>
      <c r="E674" t="inlineStr">
        <is>
          <t>NULL</t>
        </is>
      </c>
      <c r="F674" t="inlineStr">
        <is>
          <t>NULL</t>
        </is>
      </c>
      <c r="G674" t="inlineStr">
        <is>
          <t>NULL</t>
        </is>
      </c>
      <c r="H674" t="inlineStr">
        <is>
          <t>NULL</t>
        </is>
      </c>
      <c r="I674" t="inlineStr">
        <is>
          <t>NULL</t>
        </is>
      </c>
      <c r="J674" t="inlineStr">
        <is>
          <t>NULL</t>
        </is>
      </c>
      <c r="K674" t="inlineStr">
        <is>
          <t xml:space="preserve"> NO!  	 c_time列源备映射错误，源端为time None位	期望更改为text	实际备端为time None位</t>
        </is>
      </c>
    </row>
    <row r="675">
      <c r="A675" t="inlineStr">
        <is>
          <t>info_nvarchar_dml_single_pk</t>
        </is>
      </c>
      <c r="K675" t="inlineStr">
        <is>
          <t>[0;34m info_nvarchar_dml_single_pk [0m源备字段数相同，源端字段：4 	备端字段4</t>
        </is>
      </c>
      <c r="W675" t="inlineStr">
        <is>
          <t>YES 源备无差异</t>
        </is>
      </c>
      <c r="X675">
        <f>A675</f>
        <v/>
      </c>
    </row>
    <row r="676">
      <c r="B676" t="inlineStr">
        <is>
          <t>YES</t>
        </is>
      </c>
      <c r="C676" t="inlineStr">
        <is>
          <t>NULL</t>
        </is>
      </c>
      <c r="D676" t="inlineStr">
        <is>
          <t>NULL</t>
        </is>
      </c>
      <c r="E676" t="inlineStr">
        <is>
          <t>NULL</t>
        </is>
      </c>
      <c r="F676" t="inlineStr">
        <is>
          <t>NULL</t>
        </is>
      </c>
      <c r="G676" t="inlineStr">
        <is>
          <t>NULL</t>
        </is>
      </c>
      <c r="H676" t="inlineStr">
        <is>
          <t>NULL</t>
        </is>
      </c>
      <c r="I676" t="inlineStr">
        <is>
          <t>YES!PK__info_nva__3213E83F38F69D92</t>
        </is>
      </c>
      <c r="J676" t="inlineStr">
        <is>
          <t>YES! 主键相关索引</t>
        </is>
      </c>
      <c r="K676" t="inlineStr">
        <is>
          <t xml:space="preserve"> NO!  	 id列源备映射错误，源端为int None位	期望更改为text	实际备端为int None位</t>
        </is>
      </c>
    </row>
    <row r="677">
      <c r="B677" t="inlineStr">
        <is>
          <t>NULL</t>
        </is>
      </c>
      <c r="C677" t="inlineStr">
        <is>
          <t>NULL</t>
        </is>
      </c>
      <c r="D677" t="inlineStr">
        <is>
          <t>NULL</t>
        </is>
      </c>
      <c r="E677" t="inlineStr">
        <is>
          <t>NULL</t>
        </is>
      </c>
      <c r="F677" t="inlineStr">
        <is>
          <t>NULL</t>
        </is>
      </c>
      <c r="G677" t="inlineStr">
        <is>
          <t>NULL</t>
        </is>
      </c>
      <c r="H677" t="inlineStr">
        <is>
          <t>NULL</t>
        </is>
      </c>
      <c r="I677" t="inlineStr">
        <is>
          <t>NULL</t>
        </is>
      </c>
      <c r="J677" t="inlineStr">
        <is>
          <t>NULL</t>
        </is>
      </c>
      <c r="K677" t="inlineStr">
        <is>
          <t xml:space="preserve"> NO!  	 c_nvarchar列源备映射错误，源端为nvarchar 2位	期望更改为text	实际备端为nvarchar 2位</t>
        </is>
      </c>
    </row>
    <row r="678">
      <c r="B678" t="inlineStr">
        <is>
          <t>NULL</t>
        </is>
      </c>
      <c r="C678" t="inlineStr">
        <is>
          <t>NULL</t>
        </is>
      </c>
      <c r="D678" t="inlineStr">
        <is>
          <t>NULL</t>
        </is>
      </c>
      <c r="E678" t="inlineStr">
        <is>
          <t>NULL</t>
        </is>
      </c>
      <c r="F678" t="inlineStr">
        <is>
          <t>NULL</t>
        </is>
      </c>
      <c r="G678" t="inlineStr">
        <is>
          <t>NULL</t>
        </is>
      </c>
      <c r="H678" t="inlineStr">
        <is>
          <t>NULL</t>
        </is>
      </c>
      <c r="I678" t="inlineStr">
        <is>
          <t>NULL</t>
        </is>
      </c>
      <c r="J678" t="inlineStr">
        <is>
          <t>NULL</t>
        </is>
      </c>
      <c r="K678" t="inlineStr">
        <is>
          <t xml:space="preserve"> NO!  	 c_nvarchar20列源备映射错误，源端为nvarchar 40位	期望更改为text	实际备端为nvarchar 40位</t>
        </is>
      </c>
    </row>
    <row r="679">
      <c r="B679" t="inlineStr">
        <is>
          <t>NULL</t>
        </is>
      </c>
      <c r="C679" t="inlineStr">
        <is>
          <t>NULL</t>
        </is>
      </c>
      <c r="D679" t="inlineStr">
        <is>
          <t>NULL</t>
        </is>
      </c>
      <c r="E679" t="inlineStr">
        <is>
          <t>NULL</t>
        </is>
      </c>
      <c r="F679" t="inlineStr">
        <is>
          <t>NULL</t>
        </is>
      </c>
      <c r="G679" t="inlineStr">
        <is>
          <t>NULL</t>
        </is>
      </c>
      <c r="H679" t="inlineStr">
        <is>
          <t>NULL</t>
        </is>
      </c>
      <c r="I679" t="inlineStr">
        <is>
          <t>NULL</t>
        </is>
      </c>
      <c r="J679" t="inlineStr">
        <is>
          <t>NULL</t>
        </is>
      </c>
      <c r="K679" t="inlineStr">
        <is>
          <t xml:space="preserve"> NO!  	 c_nvarchar4000列源备映射错误，源端为nvarchar 8000位	期望更改为text	实际备端为nvarchar 8000位</t>
        </is>
      </c>
    </row>
    <row r="680">
      <c r="A680" t="inlineStr">
        <is>
          <t>info_date_dml_batch2_pk_irp2</t>
        </is>
      </c>
      <c r="K680" t="inlineStr">
        <is>
          <t>[0;34m info_date_dml_batch2_pk_irp2 [0m源备字段数相同，源端字段：2 	备端字段2</t>
        </is>
      </c>
      <c r="W680" s="17">
        <f>HYPERLINK("#2026041919hbase0!CH2","NO 源备存在差异，共25个")</f>
        <v/>
      </c>
      <c r="X680">
        <f>A680</f>
        <v/>
      </c>
    </row>
    <row r="681">
      <c r="B681" t="inlineStr">
        <is>
          <t>YES</t>
        </is>
      </c>
      <c r="C681" t="inlineStr">
        <is>
          <t>NULL</t>
        </is>
      </c>
      <c r="D681" t="inlineStr">
        <is>
          <t>NULL</t>
        </is>
      </c>
      <c r="E681" t="inlineStr">
        <is>
          <t>NULL</t>
        </is>
      </c>
      <c r="F681" t="inlineStr">
        <is>
          <t>NULL</t>
        </is>
      </c>
      <c r="G681" t="inlineStr">
        <is>
          <t>NULL</t>
        </is>
      </c>
      <c r="H681" t="inlineStr">
        <is>
          <t>NULL</t>
        </is>
      </c>
      <c r="I681" t="inlineStr">
        <is>
          <t>YES!PK__info_dat__3213E83FEA201868</t>
        </is>
      </c>
      <c r="J681" t="inlineStr">
        <is>
          <t>YES! 主键相关索引</t>
        </is>
      </c>
      <c r="K681" t="inlineStr">
        <is>
          <t xml:space="preserve"> NO!  	 id列源备映射错误，源端为int None位	期望更改为text	实际备端为int None位</t>
        </is>
      </c>
    </row>
    <row r="682">
      <c r="B682" t="inlineStr">
        <is>
          <t>NULL</t>
        </is>
      </c>
      <c r="C682" t="inlineStr">
        <is>
          <t>NULL</t>
        </is>
      </c>
      <c r="D682" t="inlineStr">
        <is>
          <t>NULL</t>
        </is>
      </c>
      <c r="E682" t="inlineStr">
        <is>
          <t>NULL</t>
        </is>
      </c>
      <c r="F682" t="inlineStr">
        <is>
          <t>NULL</t>
        </is>
      </c>
      <c r="G682" t="inlineStr">
        <is>
          <t>NULL</t>
        </is>
      </c>
      <c r="H682" t="inlineStr">
        <is>
          <t>NULL</t>
        </is>
      </c>
      <c r="I682" t="inlineStr">
        <is>
          <t>NULL</t>
        </is>
      </c>
      <c r="J682" t="inlineStr">
        <is>
          <t>NULL</t>
        </is>
      </c>
      <c r="K682" t="inlineStr">
        <is>
          <t xml:space="preserve"> NO!  	 c_date列源备映射错误，源端为date None位	期望更改为text	实际备端为date None位</t>
        </is>
      </c>
    </row>
    <row r="683">
      <c r="A683" t="inlineStr">
        <is>
          <t>info_binary_dml_batch1_pk_urp2</t>
        </is>
      </c>
      <c r="K683" t="inlineStr">
        <is>
          <t>[0;34m info_binary_dml_batch1_pk_urp2 [0m源备字段数相同，源端字段：4 	备端字段4</t>
        </is>
      </c>
      <c r="W683" s="17">
        <f>HYPERLINK("#2026041919hbase0!CI2","NO 源备存在差异，共10个")</f>
        <v/>
      </c>
      <c r="X683">
        <f>A683</f>
        <v/>
      </c>
    </row>
    <row r="684">
      <c r="B684" t="inlineStr">
        <is>
          <t>YES</t>
        </is>
      </c>
      <c r="C684" t="inlineStr">
        <is>
          <t>NULL</t>
        </is>
      </c>
      <c r="D684" t="inlineStr">
        <is>
          <t>NULL</t>
        </is>
      </c>
      <c r="E684" t="inlineStr">
        <is>
          <t>NULL</t>
        </is>
      </c>
      <c r="F684" t="inlineStr">
        <is>
          <t>NULL</t>
        </is>
      </c>
      <c r="G684" t="inlineStr">
        <is>
          <t>NULL</t>
        </is>
      </c>
      <c r="H684" t="inlineStr">
        <is>
          <t>NULL</t>
        </is>
      </c>
      <c r="I684" t="inlineStr">
        <is>
          <t>YES!PK__info_bin__3213E83F3885918B</t>
        </is>
      </c>
      <c r="J684" t="inlineStr">
        <is>
          <t>YES! 主键相关索引</t>
        </is>
      </c>
      <c r="K684" t="inlineStr">
        <is>
          <t xml:space="preserve"> NO!  	 id列源备映射错误，源端为int None位	期望更改为text	实际备端为int None位</t>
        </is>
      </c>
    </row>
    <row r="685">
      <c r="B685" t="inlineStr">
        <is>
          <t>NULL</t>
        </is>
      </c>
      <c r="C685" t="inlineStr">
        <is>
          <t>NULL</t>
        </is>
      </c>
      <c r="D685" t="inlineStr">
        <is>
          <t>NULL</t>
        </is>
      </c>
      <c r="E685" t="inlineStr">
        <is>
          <t>NULL</t>
        </is>
      </c>
      <c r="F685" t="inlineStr">
        <is>
          <t>NULL</t>
        </is>
      </c>
      <c r="G685" t="inlineStr">
        <is>
          <t>NULL</t>
        </is>
      </c>
      <c r="H685" t="inlineStr">
        <is>
          <t>NULL</t>
        </is>
      </c>
      <c r="I685" t="inlineStr">
        <is>
          <t>NULL</t>
        </is>
      </c>
      <c r="J685" t="inlineStr">
        <is>
          <t>NULL</t>
        </is>
      </c>
      <c r="K685" t="inlineStr">
        <is>
          <t xml:space="preserve"> NO!  	 c_binary列源备映射错误，源端为binary 1位	期望更改为text	实际备端为binary 1位</t>
        </is>
      </c>
    </row>
    <row r="686">
      <c r="B686" t="inlineStr">
        <is>
          <t>NULL</t>
        </is>
      </c>
      <c r="C686" t="inlineStr">
        <is>
          <t>NULL</t>
        </is>
      </c>
      <c r="D686" t="inlineStr">
        <is>
          <t>NULL</t>
        </is>
      </c>
      <c r="E686" t="inlineStr">
        <is>
          <t>NULL</t>
        </is>
      </c>
      <c r="F686" t="inlineStr">
        <is>
          <t>NULL</t>
        </is>
      </c>
      <c r="G686" t="inlineStr">
        <is>
          <t>NULL</t>
        </is>
      </c>
      <c r="H686" t="inlineStr">
        <is>
          <t>NULL</t>
        </is>
      </c>
      <c r="I686" t="inlineStr">
        <is>
          <t>NULL</t>
        </is>
      </c>
      <c r="J686" t="inlineStr">
        <is>
          <t>NULL</t>
        </is>
      </c>
      <c r="K686" t="inlineStr">
        <is>
          <t xml:space="preserve"> NO!  	 c_binary_20列源备映射错误，源端为binary 20位	期望更改为text	实际备端为binary 20位</t>
        </is>
      </c>
    </row>
    <row r="687">
      <c r="B687" t="inlineStr">
        <is>
          <t>NULL</t>
        </is>
      </c>
      <c r="C687" t="inlineStr">
        <is>
          <t>NULL</t>
        </is>
      </c>
      <c r="D687" t="inlineStr">
        <is>
          <t>NULL</t>
        </is>
      </c>
      <c r="E687" t="inlineStr">
        <is>
          <t>NULL</t>
        </is>
      </c>
      <c r="F687" t="inlineStr">
        <is>
          <t>NULL</t>
        </is>
      </c>
      <c r="G687" t="inlineStr">
        <is>
          <t>NULL</t>
        </is>
      </c>
      <c r="H687" t="inlineStr">
        <is>
          <t>NULL</t>
        </is>
      </c>
      <c r="I687" t="inlineStr">
        <is>
          <t>NULL</t>
        </is>
      </c>
      <c r="J687" t="inlineStr">
        <is>
          <t>NULL</t>
        </is>
      </c>
      <c r="K687" t="inlineStr">
        <is>
          <t xml:space="preserve"> NO!  	 c_binary_200列源备映射错误，源端为binary 200位	期望更改为text	实际备端为binary 200位</t>
        </is>
      </c>
    </row>
    <row r="688">
      <c r="A688" t="inlineStr">
        <is>
          <t>info_time_dml_single_pk</t>
        </is>
      </c>
      <c r="K688" t="inlineStr">
        <is>
          <t>[0;34m info_time_dml_single_pk [0m源备字段数相同，源端字段：9 	备端字段9</t>
        </is>
      </c>
      <c r="W688" s="17">
        <f>HYPERLINK("#2026041919hbase0!CJ2","NO 源备存在差异，共2个")</f>
        <v/>
      </c>
      <c r="X688">
        <f>A688</f>
        <v/>
      </c>
    </row>
    <row r="689">
      <c r="B689" t="inlineStr">
        <is>
          <t>YES</t>
        </is>
      </c>
      <c r="C689" t="inlineStr">
        <is>
          <t>NULL</t>
        </is>
      </c>
      <c r="D689" t="inlineStr">
        <is>
          <t>NULL</t>
        </is>
      </c>
      <c r="E689" t="inlineStr">
        <is>
          <t>NULL</t>
        </is>
      </c>
      <c r="F689" t="inlineStr">
        <is>
          <t>NULL</t>
        </is>
      </c>
      <c r="G689" t="inlineStr">
        <is>
          <t>NULL</t>
        </is>
      </c>
      <c r="H689" t="inlineStr">
        <is>
          <t>NULL</t>
        </is>
      </c>
      <c r="I689" t="inlineStr">
        <is>
          <t>YES!PK__info_tim__3213E83F7E3C0DE7</t>
        </is>
      </c>
      <c r="J689" t="inlineStr">
        <is>
          <t>YES! 主键相关索引</t>
        </is>
      </c>
      <c r="K689" t="inlineStr">
        <is>
          <t xml:space="preserve"> NO!  	 id列源备映射错误，源端为int None位	期望更改为text	实际备端为int None位</t>
        </is>
      </c>
    </row>
    <row r="690">
      <c r="B690" t="inlineStr">
        <is>
          <t>NULL</t>
        </is>
      </c>
      <c r="C690" t="inlineStr">
        <is>
          <t>NULL</t>
        </is>
      </c>
      <c r="D690" t="inlineStr">
        <is>
          <t>NULL</t>
        </is>
      </c>
      <c r="E690" t="inlineStr">
        <is>
          <t>NULL</t>
        </is>
      </c>
      <c r="F690" t="inlineStr">
        <is>
          <t>NULL</t>
        </is>
      </c>
      <c r="G690" t="inlineStr">
        <is>
          <t>NULL</t>
        </is>
      </c>
      <c r="H690" t="inlineStr">
        <is>
          <t>NULL</t>
        </is>
      </c>
      <c r="I690" t="inlineStr">
        <is>
          <t>NULL</t>
        </is>
      </c>
      <c r="J690" t="inlineStr">
        <is>
          <t>NULL</t>
        </is>
      </c>
      <c r="K690" t="inlineStr">
        <is>
          <t xml:space="preserve"> NO!  	 c_time0列源备映射错误，源端为time None位	期望更改为text	实际备端为time None位</t>
        </is>
      </c>
    </row>
    <row r="691">
      <c r="B691" t="inlineStr">
        <is>
          <t>NULL</t>
        </is>
      </c>
      <c r="C691" t="inlineStr">
        <is>
          <t>NULL</t>
        </is>
      </c>
      <c r="D691" t="inlineStr">
        <is>
          <t>NULL</t>
        </is>
      </c>
      <c r="E691" t="inlineStr">
        <is>
          <t>NULL</t>
        </is>
      </c>
      <c r="F691" t="inlineStr">
        <is>
          <t>NULL</t>
        </is>
      </c>
      <c r="G691" t="inlineStr">
        <is>
          <t>NULL</t>
        </is>
      </c>
      <c r="H691" t="inlineStr">
        <is>
          <t>NULL</t>
        </is>
      </c>
      <c r="I691" t="inlineStr">
        <is>
          <t>NULL</t>
        </is>
      </c>
      <c r="J691" t="inlineStr">
        <is>
          <t>NULL</t>
        </is>
      </c>
      <c r="K691" t="inlineStr">
        <is>
          <t xml:space="preserve"> NO!  	 c_time1列源备映射错误，源端为time None位	期望更改为text	实际备端为time None位</t>
        </is>
      </c>
    </row>
    <row r="692">
      <c r="B692" t="inlineStr">
        <is>
          <t>NULL</t>
        </is>
      </c>
      <c r="C692" t="inlineStr">
        <is>
          <t>NULL</t>
        </is>
      </c>
      <c r="D692" t="inlineStr">
        <is>
          <t>NULL</t>
        </is>
      </c>
      <c r="E692" t="inlineStr">
        <is>
          <t>NULL</t>
        </is>
      </c>
      <c r="F692" t="inlineStr">
        <is>
          <t>NULL</t>
        </is>
      </c>
      <c r="G692" t="inlineStr">
        <is>
          <t>NULL</t>
        </is>
      </c>
      <c r="H692" t="inlineStr">
        <is>
          <t>NULL</t>
        </is>
      </c>
      <c r="I692" t="inlineStr">
        <is>
          <t>NULL</t>
        </is>
      </c>
      <c r="J692" t="inlineStr">
        <is>
          <t>NULL</t>
        </is>
      </c>
      <c r="K692" t="inlineStr">
        <is>
          <t xml:space="preserve"> NO!  	 c_time2列源备映射错误，源端为time None位	期望更改为text	实际备端为time None位</t>
        </is>
      </c>
    </row>
    <row r="693">
      <c r="B693" t="inlineStr">
        <is>
          <t>NULL</t>
        </is>
      </c>
      <c r="C693" t="inlineStr">
        <is>
          <t>NULL</t>
        </is>
      </c>
      <c r="D693" t="inlineStr">
        <is>
          <t>NULL</t>
        </is>
      </c>
      <c r="E693" t="inlineStr">
        <is>
          <t>NULL</t>
        </is>
      </c>
      <c r="F693" t="inlineStr">
        <is>
          <t>NULL</t>
        </is>
      </c>
      <c r="G693" t="inlineStr">
        <is>
          <t>NULL</t>
        </is>
      </c>
      <c r="H693" t="inlineStr">
        <is>
          <t>NULL</t>
        </is>
      </c>
      <c r="I693" t="inlineStr">
        <is>
          <t>NULL</t>
        </is>
      </c>
      <c r="J693" t="inlineStr">
        <is>
          <t>NULL</t>
        </is>
      </c>
      <c r="K693" t="inlineStr">
        <is>
          <t xml:space="preserve"> NO!  	 c_time3列源备映射错误，源端为time None位	期望更改为text	实际备端为time None位</t>
        </is>
      </c>
    </row>
    <row r="694">
      <c r="B694" t="inlineStr">
        <is>
          <t>NULL</t>
        </is>
      </c>
      <c r="C694" t="inlineStr">
        <is>
          <t>NULL</t>
        </is>
      </c>
      <c r="D694" t="inlineStr">
        <is>
          <t>NULL</t>
        </is>
      </c>
      <c r="E694" t="inlineStr">
        <is>
          <t>NULL</t>
        </is>
      </c>
      <c r="F694" t="inlineStr">
        <is>
          <t>NULL</t>
        </is>
      </c>
      <c r="G694" t="inlineStr">
        <is>
          <t>NULL</t>
        </is>
      </c>
      <c r="H694" t="inlineStr">
        <is>
          <t>NULL</t>
        </is>
      </c>
      <c r="I694" t="inlineStr">
        <is>
          <t>NULL</t>
        </is>
      </c>
      <c r="J694" t="inlineStr">
        <is>
          <t>NULL</t>
        </is>
      </c>
      <c r="K694" t="inlineStr">
        <is>
          <t xml:space="preserve"> NO!  	 c_time4列源备映射错误，源端为time None位	期望更改为text	实际备端为time None位</t>
        </is>
      </c>
    </row>
    <row r="695">
      <c r="B695" t="inlineStr">
        <is>
          <t>NULL</t>
        </is>
      </c>
      <c r="C695" t="inlineStr">
        <is>
          <t>NULL</t>
        </is>
      </c>
      <c r="D695" t="inlineStr">
        <is>
          <t>NULL</t>
        </is>
      </c>
      <c r="E695" t="inlineStr">
        <is>
          <t>NULL</t>
        </is>
      </c>
      <c r="F695" t="inlineStr">
        <is>
          <t>NULL</t>
        </is>
      </c>
      <c r="G695" t="inlineStr">
        <is>
          <t>NULL</t>
        </is>
      </c>
      <c r="H695" t="inlineStr">
        <is>
          <t>NULL</t>
        </is>
      </c>
      <c r="I695" t="inlineStr">
        <is>
          <t>NULL</t>
        </is>
      </c>
      <c r="J695" t="inlineStr">
        <is>
          <t>NULL</t>
        </is>
      </c>
      <c r="K695" t="inlineStr">
        <is>
          <t xml:space="preserve"> NO!  	 c_time5列源备映射错误，源端为time None位	期望更改为text	实际备端为time None位</t>
        </is>
      </c>
    </row>
    <row r="696">
      <c r="B696" t="inlineStr">
        <is>
          <t>NULL</t>
        </is>
      </c>
      <c r="C696" t="inlineStr">
        <is>
          <t>NULL</t>
        </is>
      </c>
      <c r="D696" t="inlineStr">
        <is>
          <t>NULL</t>
        </is>
      </c>
      <c r="E696" t="inlineStr">
        <is>
          <t>NULL</t>
        </is>
      </c>
      <c r="F696" t="inlineStr">
        <is>
          <t>NULL</t>
        </is>
      </c>
      <c r="G696" t="inlineStr">
        <is>
          <t>NULL</t>
        </is>
      </c>
      <c r="H696" t="inlineStr">
        <is>
          <t>NULL</t>
        </is>
      </c>
      <c r="I696" t="inlineStr">
        <is>
          <t>NULL</t>
        </is>
      </c>
      <c r="J696" t="inlineStr">
        <is>
          <t>NULL</t>
        </is>
      </c>
      <c r="K696" t="inlineStr">
        <is>
          <t xml:space="preserve"> NO!  	 c_time6列源备映射错误，源端为time None位	期望更改为text	实际备端为time None位</t>
        </is>
      </c>
    </row>
    <row r="697">
      <c r="B697" t="inlineStr">
        <is>
          <t>NULL</t>
        </is>
      </c>
      <c r="C697" t="inlineStr">
        <is>
          <t>NULL</t>
        </is>
      </c>
      <c r="D697" t="inlineStr">
        <is>
          <t>NULL</t>
        </is>
      </c>
      <c r="E697" t="inlineStr">
        <is>
          <t>NULL</t>
        </is>
      </c>
      <c r="F697" t="inlineStr">
        <is>
          <t>NULL</t>
        </is>
      </c>
      <c r="G697" t="inlineStr">
        <is>
          <t>NULL</t>
        </is>
      </c>
      <c r="H697" t="inlineStr">
        <is>
          <t>NULL</t>
        </is>
      </c>
      <c r="I697" t="inlineStr">
        <is>
          <t>NULL</t>
        </is>
      </c>
      <c r="J697" t="inlineStr">
        <is>
          <t>NULL</t>
        </is>
      </c>
      <c r="K697" t="inlineStr">
        <is>
          <t xml:space="preserve"> NO!  	 c_time列源备映射错误，源端为time None位	期望更改为text	实际备端为time None位</t>
        </is>
      </c>
    </row>
    <row r="698">
      <c r="A698" t="inlineStr">
        <is>
          <t>info_int_dml_single_pk_irp</t>
        </is>
      </c>
      <c r="K698" t="inlineStr">
        <is>
          <t>[0;34m info_int_dml_single_pk_irp [0m源备字段数相同，源端字段：20 	备端字段20</t>
        </is>
      </c>
      <c r="W698" s="17">
        <f>HYPERLINK("#2026041919hbase0!CK2","NO 源备存在差异，共23个")</f>
        <v/>
      </c>
      <c r="X698">
        <f>A698</f>
        <v/>
      </c>
    </row>
    <row r="699">
      <c r="B699" t="inlineStr">
        <is>
          <t>YES</t>
        </is>
      </c>
      <c r="C699" t="inlineStr">
        <is>
          <t>NULL</t>
        </is>
      </c>
      <c r="D699" t="inlineStr">
        <is>
          <t>NULL</t>
        </is>
      </c>
      <c r="E699" t="inlineStr">
        <is>
          <t>NULL</t>
        </is>
      </c>
      <c r="F699" t="inlineStr">
        <is>
          <t>NULL</t>
        </is>
      </c>
      <c r="G699" t="inlineStr">
        <is>
          <t>NULL</t>
        </is>
      </c>
      <c r="H699" t="inlineStr">
        <is>
          <t>NULL</t>
        </is>
      </c>
      <c r="I699" t="inlineStr">
        <is>
          <t>YES!PK__info_int__3213E83F8E3BC63E</t>
        </is>
      </c>
      <c r="J699" t="inlineStr">
        <is>
          <t>YES! 主键相关索引</t>
        </is>
      </c>
      <c r="K699" t="inlineStr">
        <is>
          <t xml:space="preserve"> NO!  	 id列源备映射错误，源端为int None位	期望更改为text	实际备端为int None位</t>
        </is>
      </c>
    </row>
    <row r="700">
      <c r="B700" t="inlineStr">
        <is>
          <t>NULL</t>
        </is>
      </c>
      <c r="C700" t="inlineStr">
        <is>
          <t>NULL</t>
        </is>
      </c>
      <c r="D700" t="inlineStr">
        <is>
          <t>NULL</t>
        </is>
      </c>
      <c r="E700" t="inlineStr">
        <is>
          <t>NULL</t>
        </is>
      </c>
      <c r="F700" t="inlineStr">
        <is>
          <t>NULL</t>
        </is>
      </c>
      <c r="G700" t="inlineStr">
        <is>
          <t>NULL</t>
        </is>
      </c>
      <c r="H700" t="inlineStr">
        <is>
          <t>NULL</t>
        </is>
      </c>
      <c r="I700" t="inlineStr">
        <is>
          <t>NULL</t>
        </is>
      </c>
      <c r="J700" t="inlineStr">
        <is>
          <t>NULL</t>
        </is>
      </c>
      <c r="K700" t="inlineStr">
        <is>
          <t xml:space="preserve"> NO!  	 c_tinyint列源备映射错误，源端为tinyint None位	期望更改为text	实际备端为tinyint None位</t>
        </is>
      </c>
    </row>
    <row r="701">
      <c r="B701" t="inlineStr">
        <is>
          <t>NULL</t>
        </is>
      </c>
      <c r="C701" t="inlineStr">
        <is>
          <t>NULL</t>
        </is>
      </c>
      <c r="D701" t="inlineStr">
        <is>
          <t>NULL</t>
        </is>
      </c>
      <c r="E701" t="inlineStr">
        <is>
          <t>NULL</t>
        </is>
      </c>
      <c r="F701" t="inlineStr">
        <is>
          <t>NULL</t>
        </is>
      </c>
      <c r="G701" t="inlineStr">
        <is>
          <t>NULL</t>
        </is>
      </c>
      <c r="H701" t="inlineStr">
        <is>
          <t>NULL</t>
        </is>
      </c>
      <c r="I701" t="inlineStr">
        <is>
          <t>NULL</t>
        </is>
      </c>
      <c r="J701" t="inlineStr">
        <is>
          <t>NULL</t>
        </is>
      </c>
      <c r="K701" t="inlineStr">
        <is>
          <t xml:space="preserve"> NO!  	 c_smallint列源备映射错误，源端为smallint None位	期望更改为text	实际备端为smallint None位</t>
        </is>
      </c>
    </row>
    <row r="702">
      <c r="B702" t="inlineStr">
        <is>
          <t>NULL</t>
        </is>
      </c>
      <c r="C702" t="inlineStr">
        <is>
          <t>NULL</t>
        </is>
      </c>
      <c r="D702" t="inlineStr">
        <is>
          <t>NULL</t>
        </is>
      </c>
      <c r="E702" t="inlineStr">
        <is>
          <t>NULL</t>
        </is>
      </c>
      <c r="F702" t="inlineStr">
        <is>
          <t>NULL</t>
        </is>
      </c>
      <c r="G702" t="inlineStr">
        <is>
          <t>NULL</t>
        </is>
      </c>
      <c r="H702" t="inlineStr">
        <is>
          <t>NULL</t>
        </is>
      </c>
      <c r="I702" t="inlineStr">
        <is>
          <t>NULL</t>
        </is>
      </c>
      <c r="J702" t="inlineStr">
        <is>
          <t>NULL</t>
        </is>
      </c>
      <c r="K702" t="inlineStr">
        <is>
          <t xml:space="preserve"> NO!  	 c_int列源备映射错误，源端为int None位	期望更改为text	实际备端为int None位</t>
        </is>
      </c>
    </row>
    <row r="703">
      <c r="B703" t="inlineStr">
        <is>
          <t>NULL</t>
        </is>
      </c>
      <c r="C703" t="inlineStr">
        <is>
          <t>NULL</t>
        </is>
      </c>
      <c r="D703" t="inlineStr">
        <is>
          <t>NULL</t>
        </is>
      </c>
      <c r="E703" t="inlineStr">
        <is>
          <t>NULL</t>
        </is>
      </c>
      <c r="F703" t="inlineStr">
        <is>
          <t>NULL</t>
        </is>
      </c>
      <c r="G703" t="inlineStr">
        <is>
          <t>NULL</t>
        </is>
      </c>
      <c r="H703" t="inlineStr">
        <is>
          <t>NULL</t>
        </is>
      </c>
      <c r="I703" t="inlineStr">
        <is>
          <t>NULL</t>
        </is>
      </c>
      <c r="J703" t="inlineStr">
        <is>
          <t>NULL</t>
        </is>
      </c>
      <c r="K703" t="inlineStr">
        <is>
          <t xml:space="preserve"> NO!  	 c_bigint列源备映射错误，源端为bigint None位	期望更改为text	实际备端为bigint None位</t>
        </is>
      </c>
    </row>
    <row r="704">
      <c r="B704" t="inlineStr">
        <is>
          <t>NULL</t>
        </is>
      </c>
      <c r="C704" t="inlineStr">
        <is>
          <t>NULL</t>
        </is>
      </c>
      <c r="D704" t="inlineStr">
        <is>
          <t>NULL</t>
        </is>
      </c>
      <c r="E704" t="inlineStr">
        <is>
          <t>NULL</t>
        </is>
      </c>
      <c r="F704" t="inlineStr">
        <is>
          <t>NULL</t>
        </is>
      </c>
      <c r="G704" t="inlineStr">
        <is>
          <t>NULL</t>
        </is>
      </c>
      <c r="H704" t="inlineStr">
        <is>
          <t>NULL</t>
        </is>
      </c>
      <c r="I704" t="inlineStr">
        <is>
          <t>NULL</t>
        </is>
      </c>
      <c r="J704" t="inlineStr">
        <is>
          <t>NULL</t>
        </is>
      </c>
      <c r="K704" t="inlineStr">
        <is>
          <t xml:space="preserve"> NO!  	 c_decimal列源备映射错误，源端为decimal None位	期望更改为text	实际备端为decimal None位</t>
        </is>
      </c>
    </row>
    <row r="705">
      <c r="B705" t="inlineStr">
        <is>
          <t>NULL</t>
        </is>
      </c>
      <c r="C705" t="inlineStr">
        <is>
          <t>NULL</t>
        </is>
      </c>
      <c r="D705" t="inlineStr">
        <is>
          <t>NULL</t>
        </is>
      </c>
      <c r="E705" t="inlineStr">
        <is>
          <t>NULL</t>
        </is>
      </c>
      <c r="F705" t="inlineStr">
        <is>
          <t>NULL</t>
        </is>
      </c>
      <c r="G705" t="inlineStr">
        <is>
          <t>NULL</t>
        </is>
      </c>
      <c r="H705" t="inlineStr">
        <is>
          <t>NULL</t>
        </is>
      </c>
      <c r="I705" t="inlineStr">
        <is>
          <t>NULL</t>
        </is>
      </c>
      <c r="J705" t="inlineStr">
        <is>
          <t>NULL</t>
        </is>
      </c>
      <c r="K705" t="inlineStr">
        <is>
          <t xml:space="preserve"> NO!  	 c_decimal38列源备映射错误，源端为decimal None位	期望更改为text	实际备端为decimal None位</t>
        </is>
      </c>
    </row>
    <row r="706">
      <c r="B706" t="inlineStr">
        <is>
          <t>NULL</t>
        </is>
      </c>
      <c r="C706" t="inlineStr">
        <is>
          <t>NULL</t>
        </is>
      </c>
      <c r="D706" t="inlineStr">
        <is>
          <t>NULL</t>
        </is>
      </c>
      <c r="E706" t="inlineStr">
        <is>
          <t>NULL</t>
        </is>
      </c>
      <c r="F706" t="inlineStr">
        <is>
          <t>NULL</t>
        </is>
      </c>
      <c r="G706" t="inlineStr">
        <is>
          <t>NULL</t>
        </is>
      </c>
      <c r="H706" t="inlineStr">
        <is>
          <t>NULL</t>
        </is>
      </c>
      <c r="I706" t="inlineStr">
        <is>
          <t>NULL</t>
        </is>
      </c>
      <c r="J706" t="inlineStr">
        <is>
          <t>NULL</t>
        </is>
      </c>
      <c r="K706" t="inlineStr">
        <is>
          <t xml:space="preserve"> NO!  	 c_decimal38_38列源备映射错误，源端为decimal None位	期望更改为text	实际备端为decimal None位</t>
        </is>
      </c>
    </row>
    <row r="707">
      <c r="B707" t="inlineStr">
        <is>
          <t>NULL</t>
        </is>
      </c>
      <c r="C707" t="inlineStr">
        <is>
          <t>NULL</t>
        </is>
      </c>
      <c r="D707" t="inlineStr">
        <is>
          <t>NULL</t>
        </is>
      </c>
      <c r="E707" t="inlineStr">
        <is>
          <t>NULL</t>
        </is>
      </c>
      <c r="F707" t="inlineStr">
        <is>
          <t>NULL</t>
        </is>
      </c>
      <c r="G707" t="inlineStr">
        <is>
          <t>NULL</t>
        </is>
      </c>
      <c r="H707" t="inlineStr">
        <is>
          <t>NULL</t>
        </is>
      </c>
      <c r="I707" t="inlineStr">
        <is>
          <t>NULL</t>
        </is>
      </c>
      <c r="J707" t="inlineStr">
        <is>
          <t>NULL</t>
        </is>
      </c>
      <c r="K707" t="inlineStr">
        <is>
          <t xml:space="preserve"> NO!  	 c_decimal38_10列源备映射错误，源端为decimal None位	期望更改为text	实际备端为decimal None位</t>
        </is>
      </c>
    </row>
    <row r="708">
      <c r="B708" t="inlineStr">
        <is>
          <t>NULL</t>
        </is>
      </c>
      <c r="C708" t="inlineStr">
        <is>
          <t>NULL</t>
        </is>
      </c>
      <c r="D708" t="inlineStr">
        <is>
          <t>NULL</t>
        </is>
      </c>
      <c r="E708" t="inlineStr">
        <is>
          <t>NULL</t>
        </is>
      </c>
      <c r="F708" t="inlineStr">
        <is>
          <t>NULL</t>
        </is>
      </c>
      <c r="G708" t="inlineStr">
        <is>
          <t>NULL</t>
        </is>
      </c>
      <c r="H708" t="inlineStr">
        <is>
          <t>NULL</t>
        </is>
      </c>
      <c r="I708" t="inlineStr">
        <is>
          <t>NULL</t>
        </is>
      </c>
      <c r="J708" t="inlineStr">
        <is>
          <t>NULL</t>
        </is>
      </c>
      <c r="K708" t="inlineStr">
        <is>
          <t xml:space="preserve"> NO!  	 c_decimal19_4列源备映射错误，源端为decimal None位	期望更改为text	实际备端为decimal None位</t>
        </is>
      </c>
    </row>
    <row r="709">
      <c r="B709" t="inlineStr">
        <is>
          <t>NULL</t>
        </is>
      </c>
      <c r="C709" t="inlineStr">
        <is>
          <t>NULL</t>
        </is>
      </c>
      <c r="D709" t="inlineStr">
        <is>
          <t>NULL</t>
        </is>
      </c>
      <c r="E709" t="inlineStr">
        <is>
          <t>NULL</t>
        </is>
      </c>
      <c r="F709" t="inlineStr">
        <is>
          <t>NULL</t>
        </is>
      </c>
      <c r="G709" t="inlineStr">
        <is>
          <t>NULL</t>
        </is>
      </c>
      <c r="H709" t="inlineStr">
        <is>
          <t>NULL</t>
        </is>
      </c>
      <c r="I709" t="inlineStr">
        <is>
          <t>NULL</t>
        </is>
      </c>
      <c r="J709" t="inlineStr">
        <is>
          <t>NULL</t>
        </is>
      </c>
      <c r="K709" t="inlineStr">
        <is>
          <t xml:space="preserve"> NO!  	 c_numeric列源备映射错误，源端为numeric None位	期望更改为text	实际备端为numeric None位</t>
        </is>
      </c>
    </row>
    <row r="710">
      <c r="B710" t="inlineStr">
        <is>
          <t>NULL</t>
        </is>
      </c>
      <c r="C710" t="inlineStr">
        <is>
          <t>NULL</t>
        </is>
      </c>
      <c r="D710" t="inlineStr">
        <is>
          <t>NULL</t>
        </is>
      </c>
      <c r="E710" t="inlineStr">
        <is>
          <t>NULL</t>
        </is>
      </c>
      <c r="F710" t="inlineStr">
        <is>
          <t>NULL</t>
        </is>
      </c>
      <c r="G710" t="inlineStr">
        <is>
          <t>NULL</t>
        </is>
      </c>
      <c r="H710" t="inlineStr">
        <is>
          <t>NULL</t>
        </is>
      </c>
      <c r="I710" t="inlineStr">
        <is>
          <t>NULL</t>
        </is>
      </c>
      <c r="J710" t="inlineStr">
        <is>
          <t>NULL</t>
        </is>
      </c>
      <c r="K710" t="inlineStr">
        <is>
          <t xml:space="preserve"> NO!  	 c_numeric38列源备映射错误，源端为numeric None位	期望更改为text	实际备端为numeric None位</t>
        </is>
      </c>
    </row>
    <row r="711">
      <c r="B711" t="inlineStr">
        <is>
          <t>NULL</t>
        </is>
      </c>
      <c r="C711" t="inlineStr">
        <is>
          <t>NULL</t>
        </is>
      </c>
      <c r="D711" t="inlineStr">
        <is>
          <t>NULL</t>
        </is>
      </c>
      <c r="E711" t="inlineStr">
        <is>
          <t>NULL</t>
        </is>
      </c>
      <c r="F711" t="inlineStr">
        <is>
          <t>NULL</t>
        </is>
      </c>
      <c r="G711" t="inlineStr">
        <is>
          <t>NULL</t>
        </is>
      </c>
      <c r="H711" t="inlineStr">
        <is>
          <t>NULL</t>
        </is>
      </c>
      <c r="I711" t="inlineStr">
        <is>
          <t>NULL</t>
        </is>
      </c>
      <c r="J711" t="inlineStr">
        <is>
          <t>NULL</t>
        </is>
      </c>
      <c r="K711" t="inlineStr">
        <is>
          <t xml:space="preserve"> NO!  	 c_numeric38_38列源备映射错误，源端为numeric None位	期望更改为text	实际备端为numeric None位</t>
        </is>
      </c>
    </row>
    <row r="712">
      <c r="B712" t="inlineStr">
        <is>
          <t>NULL</t>
        </is>
      </c>
      <c r="C712" t="inlineStr">
        <is>
          <t>NULL</t>
        </is>
      </c>
      <c r="D712" t="inlineStr">
        <is>
          <t>NULL</t>
        </is>
      </c>
      <c r="E712" t="inlineStr">
        <is>
          <t>NULL</t>
        </is>
      </c>
      <c r="F712" t="inlineStr">
        <is>
          <t>NULL</t>
        </is>
      </c>
      <c r="G712" t="inlineStr">
        <is>
          <t>NULL</t>
        </is>
      </c>
      <c r="H712" t="inlineStr">
        <is>
          <t>NULL</t>
        </is>
      </c>
      <c r="I712" t="inlineStr">
        <is>
          <t>NULL</t>
        </is>
      </c>
      <c r="J712" t="inlineStr">
        <is>
          <t>NULL</t>
        </is>
      </c>
      <c r="K712" t="inlineStr">
        <is>
          <t xml:space="preserve"> NO!  	 c_numeric38_10列源备映射错误，源端为numeric None位	期望更改为text	实际备端为numeric None位</t>
        </is>
      </c>
    </row>
    <row r="713">
      <c r="B713" t="inlineStr">
        <is>
          <t>NULL</t>
        </is>
      </c>
      <c r="C713" t="inlineStr">
        <is>
          <t>NULL</t>
        </is>
      </c>
      <c r="D713" t="inlineStr">
        <is>
          <t>NULL</t>
        </is>
      </c>
      <c r="E713" t="inlineStr">
        <is>
          <t>NULL</t>
        </is>
      </c>
      <c r="F713" t="inlineStr">
        <is>
          <t>NULL</t>
        </is>
      </c>
      <c r="G713" t="inlineStr">
        <is>
          <t>NULL</t>
        </is>
      </c>
      <c r="H713" t="inlineStr">
        <is>
          <t>NULL</t>
        </is>
      </c>
      <c r="I713" t="inlineStr">
        <is>
          <t>NULL</t>
        </is>
      </c>
      <c r="J713" t="inlineStr">
        <is>
          <t>NULL</t>
        </is>
      </c>
      <c r="K713" t="inlineStr">
        <is>
          <t xml:space="preserve"> NO!  	 c_numeric18_2列源备映射错误，源端为numeric None位	期望更改为text	实际备端为numeric None位</t>
        </is>
      </c>
    </row>
    <row r="714">
      <c r="B714" t="inlineStr">
        <is>
          <t>NULL</t>
        </is>
      </c>
      <c r="C714" t="inlineStr">
        <is>
          <t>NULL</t>
        </is>
      </c>
      <c r="D714" t="inlineStr">
        <is>
          <t>NULL</t>
        </is>
      </c>
      <c r="E714" t="inlineStr">
        <is>
          <t>NULL</t>
        </is>
      </c>
      <c r="F714" t="inlineStr">
        <is>
          <t>NULL</t>
        </is>
      </c>
      <c r="G714" t="inlineStr">
        <is>
          <t>NULL</t>
        </is>
      </c>
      <c r="H714" t="inlineStr">
        <is>
          <t>NULL</t>
        </is>
      </c>
      <c r="I714" t="inlineStr">
        <is>
          <t>NULL</t>
        </is>
      </c>
      <c r="J714" t="inlineStr">
        <is>
          <t>NULL</t>
        </is>
      </c>
      <c r="K714" t="inlineStr">
        <is>
          <t xml:space="preserve"> NO!  	 c_float列源备映射错误，源端为float None位	期望更改为text	实际备端为float None位</t>
        </is>
      </c>
    </row>
    <row r="715">
      <c r="B715" t="inlineStr">
        <is>
          <t>NULL</t>
        </is>
      </c>
      <c r="C715" t="inlineStr">
        <is>
          <t>NULL</t>
        </is>
      </c>
      <c r="D715" t="inlineStr">
        <is>
          <t>NULL</t>
        </is>
      </c>
      <c r="E715" t="inlineStr">
        <is>
          <t>NULL</t>
        </is>
      </c>
      <c r="F715" t="inlineStr">
        <is>
          <t>NULL</t>
        </is>
      </c>
      <c r="G715" t="inlineStr">
        <is>
          <t>NULL</t>
        </is>
      </c>
      <c r="H715" t="inlineStr">
        <is>
          <t>NULL</t>
        </is>
      </c>
      <c r="I715" t="inlineStr">
        <is>
          <t>NULL</t>
        </is>
      </c>
      <c r="J715" t="inlineStr">
        <is>
          <t>NULL</t>
        </is>
      </c>
      <c r="K715" t="inlineStr">
        <is>
          <t xml:space="preserve"> NO!  	 c_real列源备映射错误，源端为real None位	期望更改为text	实际备端为real None位</t>
        </is>
      </c>
    </row>
    <row r="716">
      <c r="B716" t="inlineStr">
        <is>
          <t>NULL</t>
        </is>
      </c>
      <c r="C716" t="inlineStr">
        <is>
          <t>NULL</t>
        </is>
      </c>
      <c r="D716" t="inlineStr">
        <is>
          <t>NULL</t>
        </is>
      </c>
      <c r="E716" t="inlineStr">
        <is>
          <t>NULL</t>
        </is>
      </c>
      <c r="F716" t="inlineStr">
        <is>
          <t>NULL</t>
        </is>
      </c>
      <c r="G716" t="inlineStr">
        <is>
          <t>NULL</t>
        </is>
      </c>
      <c r="H716" t="inlineStr">
        <is>
          <t>NULL</t>
        </is>
      </c>
      <c r="I716" t="inlineStr">
        <is>
          <t>NULL</t>
        </is>
      </c>
      <c r="J716" t="inlineStr">
        <is>
          <t>NULL</t>
        </is>
      </c>
      <c r="K716" t="inlineStr">
        <is>
          <t xml:space="preserve"> NO!  	 c_money列源备映射错误，源端为money None位	期望更改为text	实际备端为money None位</t>
        </is>
      </c>
    </row>
    <row r="717">
      <c r="B717" t="inlineStr">
        <is>
          <t>NULL</t>
        </is>
      </c>
      <c r="C717" t="inlineStr">
        <is>
          <t>NULL</t>
        </is>
      </c>
      <c r="D717" t="inlineStr">
        <is>
          <t>NULL</t>
        </is>
      </c>
      <c r="E717" t="inlineStr">
        <is>
          <t>NULL</t>
        </is>
      </c>
      <c r="F717" t="inlineStr">
        <is>
          <t>NULL</t>
        </is>
      </c>
      <c r="G717" t="inlineStr">
        <is>
          <t>NULL</t>
        </is>
      </c>
      <c r="H717" t="inlineStr">
        <is>
          <t>NULL</t>
        </is>
      </c>
      <c r="I717" t="inlineStr">
        <is>
          <t>NULL</t>
        </is>
      </c>
      <c r="J717" t="inlineStr">
        <is>
          <t>NULL</t>
        </is>
      </c>
      <c r="K717" t="inlineStr">
        <is>
          <t xml:space="preserve"> NO!  	 c_smallmoney列源备映射错误，源端为smallmoney None位	期望更改为text	实际备端为smallmoney None位</t>
        </is>
      </c>
    </row>
    <row r="718">
      <c r="B718" t="inlineStr">
        <is>
          <t>NULL</t>
        </is>
      </c>
      <c r="C718" t="inlineStr">
        <is>
          <t>NULL</t>
        </is>
      </c>
      <c r="D718" t="inlineStr">
        <is>
          <t>NULL</t>
        </is>
      </c>
      <c r="E718" t="inlineStr">
        <is>
          <t>NULL</t>
        </is>
      </c>
      <c r="F718" t="inlineStr">
        <is>
          <t>NULL</t>
        </is>
      </c>
      <c r="G718" t="inlineStr">
        <is>
          <t>NULL</t>
        </is>
      </c>
      <c r="H718" t="inlineStr">
        <is>
          <t>NULL</t>
        </is>
      </c>
      <c r="I718" t="inlineStr">
        <is>
          <t>NULL</t>
        </is>
      </c>
      <c r="J718" t="inlineStr">
        <is>
          <t>NULL</t>
        </is>
      </c>
      <c r="K718" t="inlineStr">
        <is>
          <t xml:space="preserve"> NO!  	 c_bit列源备映射错误，源端为bit None位	期望更改为text	实际备端为bit None位</t>
        </is>
      </c>
    </row>
    <row r="719">
      <c r="A719" t="inlineStr">
        <is>
          <t>info_sdt_dml_single_pk_irp</t>
        </is>
      </c>
      <c r="K719" t="inlineStr">
        <is>
          <t>[0;34m info_sdt_dml_single_pk_irp [0m源备字段数相同，源端字段：2 	备端字段2</t>
        </is>
      </c>
      <c r="W719" s="17">
        <f>HYPERLINK("#2026041919hbase0!CL2","NO 源备存在差异，共13个")</f>
        <v/>
      </c>
      <c r="X719">
        <f>A719</f>
        <v/>
      </c>
    </row>
    <row r="720">
      <c r="B720" t="inlineStr">
        <is>
          <t>YES</t>
        </is>
      </c>
      <c r="C720" t="inlineStr">
        <is>
          <t>NULL</t>
        </is>
      </c>
      <c r="D720" t="inlineStr">
        <is>
          <t>NULL</t>
        </is>
      </c>
      <c r="E720" t="inlineStr">
        <is>
          <t>NULL</t>
        </is>
      </c>
      <c r="F720" t="inlineStr">
        <is>
          <t>NULL</t>
        </is>
      </c>
      <c r="G720" t="inlineStr">
        <is>
          <t>NULL</t>
        </is>
      </c>
      <c r="H720" t="inlineStr">
        <is>
          <t>NULL</t>
        </is>
      </c>
      <c r="I720" t="inlineStr">
        <is>
          <t>YES!PK__info_sdt__3213E83F1AFDD18F</t>
        </is>
      </c>
      <c r="J720" t="inlineStr">
        <is>
          <t>YES! 主键相关索引</t>
        </is>
      </c>
      <c r="K720" t="inlineStr">
        <is>
          <t xml:space="preserve"> NO!  	 id列源备映射错误，源端为int None位	期望更改为text	实际备端为int None位</t>
        </is>
      </c>
    </row>
    <row r="721">
      <c r="B721" t="inlineStr">
        <is>
          <t>NULL</t>
        </is>
      </c>
      <c r="C721" t="inlineStr">
        <is>
          <t>NULL</t>
        </is>
      </c>
      <c r="D721" t="inlineStr">
        <is>
          <t>NULL</t>
        </is>
      </c>
      <c r="E721" t="inlineStr">
        <is>
          <t>NULL</t>
        </is>
      </c>
      <c r="F721" t="inlineStr">
        <is>
          <t>NULL</t>
        </is>
      </c>
      <c r="G721" t="inlineStr">
        <is>
          <t>NULL</t>
        </is>
      </c>
      <c r="H721" t="inlineStr">
        <is>
          <t>NULL</t>
        </is>
      </c>
      <c r="I721" t="inlineStr">
        <is>
          <t>NULL</t>
        </is>
      </c>
      <c r="J721" t="inlineStr">
        <is>
          <t>NULL</t>
        </is>
      </c>
      <c r="K721" t="inlineStr">
        <is>
          <t xml:space="preserve"> NO!  	 c_sdt列源备映射错误，源端为smalldatetime None位	期望更改为text	实际备端为smalldatetime None位</t>
        </is>
      </c>
    </row>
    <row r="722">
      <c r="A722" t="inlineStr">
        <is>
          <t>info_varcharmax_dml_batch1_pk_urp1</t>
        </is>
      </c>
      <c r="K722" t="inlineStr">
        <is>
          <t>[0;34m info_varcharmax_dml_batch1_pk_urp1 [0m源备字段数相同，源端字段：3 	备端字段3</t>
        </is>
      </c>
      <c r="W722" t="inlineStr">
        <is>
          <t>YES 源备无差异</t>
        </is>
      </c>
      <c r="X722">
        <f>A722</f>
        <v/>
      </c>
    </row>
    <row r="723">
      <c r="B723" t="inlineStr">
        <is>
          <t>YES</t>
        </is>
      </c>
      <c r="C723" t="inlineStr">
        <is>
          <t>NULL</t>
        </is>
      </c>
      <c r="D723" t="inlineStr">
        <is>
          <t>NULL</t>
        </is>
      </c>
      <c r="E723" t="inlineStr">
        <is>
          <t>NULL</t>
        </is>
      </c>
      <c r="F723" t="inlineStr">
        <is>
          <t>NULL</t>
        </is>
      </c>
      <c r="G723" t="inlineStr">
        <is>
          <t>NULL</t>
        </is>
      </c>
      <c r="H723" t="inlineStr">
        <is>
          <t>NULL</t>
        </is>
      </c>
      <c r="I723" t="inlineStr">
        <is>
          <t>YES!PK__info_var__3213E83FACC0F1BF</t>
        </is>
      </c>
      <c r="J723" t="inlineStr">
        <is>
          <t>YES! 主键相关索引</t>
        </is>
      </c>
      <c r="K723" t="inlineStr">
        <is>
          <t xml:space="preserve"> NO!  	 id列源备映射错误，源端为int None位	期望更改为text	实际备端为int None位</t>
        </is>
      </c>
    </row>
    <row r="724">
      <c r="B724" t="inlineStr">
        <is>
          <t>NULL</t>
        </is>
      </c>
      <c r="C724" t="inlineStr">
        <is>
          <t>NULL</t>
        </is>
      </c>
      <c r="D724" t="inlineStr">
        <is>
          <t>NULL</t>
        </is>
      </c>
      <c r="E724" t="inlineStr">
        <is>
          <t>NULL</t>
        </is>
      </c>
      <c r="F724" t="inlineStr">
        <is>
          <t>NULL</t>
        </is>
      </c>
      <c r="G724" t="inlineStr">
        <is>
          <t>NULL</t>
        </is>
      </c>
      <c r="H724" t="inlineStr">
        <is>
          <t>NULL</t>
        </is>
      </c>
      <c r="I724" t="inlineStr">
        <is>
          <t>NULL</t>
        </is>
      </c>
      <c r="J724" t="inlineStr">
        <is>
          <t>NULL</t>
        </is>
      </c>
      <c r="K724" t="inlineStr">
        <is>
          <t xml:space="preserve"> NO!  	 c_varchar_max列源备映射错误，源端为varchar -1位	期望更改为text	实际备端为varchar -1位</t>
        </is>
      </c>
    </row>
    <row r="725">
      <c r="B725" t="inlineStr">
        <is>
          <t>NULL</t>
        </is>
      </c>
      <c r="C725" t="inlineStr">
        <is>
          <t>NULL</t>
        </is>
      </c>
      <c r="D725" t="inlineStr">
        <is>
          <t>NULL</t>
        </is>
      </c>
      <c r="E725" t="inlineStr">
        <is>
          <t>NULL</t>
        </is>
      </c>
      <c r="F725" t="inlineStr">
        <is>
          <t>NULL</t>
        </is>
      </c>
      <c r="G725" t="inlineStr">
        <is>
          <t>NULL</t>
        </is>
      </c>
      <c r="H725" t="inlineStr">
        <is>
          <t>NULL</t>
        </is>
      </c>
      <c r="I725" t="inlineStr">
        <is>
          <t>NULL</t>
        </is>
      </c>
      <c r="J725" t="inlineStr">
        <is>
          <t>NULL</t>
        </is>
      </c>
      <c r="K725" t="inlineStr">
        <is>
          <t xml:space="preserve"> NO!  	 c_nvarchar_max列源备映射错误，源端为nvarchar -1位	期望更改为text	实际备端为nvarchar -1位</t>
        </is>
      </c>
    </row>
    <row r="726">
      <c r="K726" t="inlineStr">
        <is>
          <t>~ 空表</t>
        </is>
      </c>
    </row>
    <row r="727">
      <c r="A727" t="inlineStr">
        <is>
          <t>info_nchar_dml_batch1_pk_drp1</t>
        </is>
      </c>
      <c r="K727" t="inlineStr">
        <is>
          <t>[0;34m info_nchar_dml_batch1_pk_drp1 [0m源备字段数相同，源端字段：4 	备端字段4</t>
        </is>
      </c>
      <c r="W727" t="inlineStr">
        <is>
          <t>YES 源备无差异</t>
        </is>
      </c>
      <c r="X727">
        <f>A727</f>
        <v/>
      </c>
    </row>
    <row r="728">
      <c r="B728" t="inlineStr">
        <is>
          <t>YES</t>
        </is>
      </c>
      <c r="C728" t="inlineStr">
        <is>
          <t>NULL</t>
        </is>
      </c>
      <c r="D728" t="inlineStr">
        <is>
          <t>NULL</t>
        </is>
      </c>
      <c r="E728" t="inlineStr">
        <is>
          <t>NULL</t>
        </is>
      </c>
      <c r="F728" t="inlineStr">
        <is>
          <t>NULL</t>
        </is>
      </c>
      <c r="G728" t="inlineStr">
        <is>
          <t>NULL</t>
        </is>
      </c>
      <c r="H728" t="inlineStr">
        <is>
          <t>NULL</t>
        </is>
      </c>
      <c r="I728" t="inlineStr">
        <is>
          <t>YES!PK__info_nch__3213E83F857F4EF2</t>
        </is>
      </c>
      <c r="J728" t="inlineStr">
        <is>
          <t>YES! 主键相关索引</t>
        </is>
      </c>
      <c r="K728" t="inlineStr">
        <is>
          <t xml:space="preserve"> NO!  	 id列源备映射错误，源端为int None位	期望更改为text	实际备端为int None位</t>
        </is>
      </c>
    </row>
    <row r="729">
      <c r="B729" t="inlineStr">
        <is>
          <t>NULL</t>
        </is>
      </c>
      <c r="C729" t="inlineStr">
        <is>
          <t>NULL</t>
        </is>
      </c>
      <c r="D729" t="inlineStr">
        <is>
          <t>NULL</t>
        </is>
      </c>
      <c r="E729" t="inlineStr">
        <is>
          <t>NULL</t>
        </is>
      </c>
      <c r="F729" t="inlineStr">
        <is>
          <t>NULL</t>
        </is>
      </c>
      <c r="G729" t="inlineStr">
        <is>
          <t>NULL</t>
        </is>
      </c>
      <c r="H729" t="inlineStr">
        <is>
          <t>NULL</t>
        </is>
      </c>
      <c r="I729" t="inlineStr">
        <is>
          <t>NULL</t>
        </is>
      </c>
      <c r="J729" t="inlineStr">
        <is>
          <t>NULL</t>
        </is>
      </c>
      <c r="K729" t="inlineStr">
        <is>
          <t xml:space="preserve"> NO!  	 c_nchar列源备映射错误，源端为nchar 2位	期望更改为text	实际备端为nchar 2位</t>
        </is>
      </c>
    </row>
    <row r="730">
      <c r="B730" t="inlineStr">
        <is>
          <t>NULL</t>
        </is>
      </c>
      <c r="C730" t="inlineStr">
        <is>
          <t>NULL</t>
        </is>
      </c>
      <c r="D730" t="inlineStr">
        <is>
          <t>NULL</t>
        </is>
      </c>
      <c r="E730" t="inlineStr">
        <is>
          <t>NULL</t>
        </is>
      </c>
      <c r="F730" t="inlineStr">
        <is>
          <t>NULL</t>
        </is>
      </c>
      <c r="G730" t="inlineStr">
        <is>
          <t>NULL</t>
        </is>
      </c>
      <c r="H730" t="inlineStr">
        <is>
          <t>NULL</t>
        </is>
      </c>
      <c r="I730" t="inlineStr">
        <is>
          <t>NULL</t>
        </is>
      </c>
      <c r="J730" t="inlineStr">
        <is>
          <t>NULL</t>
        </is>
      </c>
      <c r="K730" t="inlineStr">
        <is>
          <t xml:space="preserve"> NO!  	 c_nchar20列源备映射错误，源端为nchar 40位	期望更改为text	实际备端为nchar 40位</t>
        </is>
      </c>
    </row>
    <row r="731">
      <c r="B731" t="inlineStr">
        <is>
          <t>NULL</t>
        </is>
      </c>
      <c r="C731" t="inlineStr">
        <is>
          <t>NULL</t>
        </is>
      </c>
      <c r="D731" t="inlineStr">
        <is>
          <t>NULL</t>
        </is>
      </c>
      <c r="E731" t="inlineStr">
        <is>
          <t>NULL</t>
        </is>
      </c>
      <c r="F731" t="inlineStr">
        <is>
          <t>NULL</t>
        </is>
      </c>
      <c r="G731" t="inlineStr">
        <is>
          <t>NULL</t>
        </is>
      </c>
      <c r="H731" t="inlineStr">
        <is>
          <t>NULL</t>
        </is>
      </c>
      <c r="I731" t="inlineStr">
        <is>
          <t>NULL</t>
        </is>
      </c>
      <c r="J731" t="inlineStr">
        <is>
          <t>NULL</t>
        </is>
      </c>
      <c r="K731" t="inlineStr">
        <is>
          <t xml:space="preserve"> NO!  	 c_nchar3500列源备映射错误，源端为nchar 7000位	期望更改为text	实际备端为nchar 7000位</t>
        </is>
      </c>
    </row>
    <row r="732">
      <c r="K732" t="inlineStr">
        <is>
          <t>~ 空表</t>
        </is>
      </c>
    </row>
    <row r="733">
      <c r="A733" t="inlineStr">
        <is>
          <t>info_sdt_dml_single_pk_urp</t>
        </is>
      </c>
      <c r="K733" t="inlineStr">
        <is>
          <t>[0;34m info_sdt_dml_single_pk_urp [0m源备字段数相同，源端字段：2 	备端字段2</t>
        </is>
      </c>
      <c r="W733" s="17">
        <f>HYPERLINK("#2026041919hbase0!CM2","NO 源备存在差异，共5个")</f>
        <v/>
      </c>
      <c r="X733">
        <f>A733</f>
        <v/>
      </c>
    </row>
    <row r="734">
      <c r="B734" t="inlineStr">
        <is>
          <t>YES</t>
        </is>
      </c>
      <c r="C734" t="inlineStr">
        <is>
          <t>NULL</t>
        </is>
      </c>
      <c r="D734" t="inlineStr">
        <is>
          <t>NULL</t>
        </is>
      </c>
      <c r="E734" t="inlineStr">
        <is>
          <t>NULL</t>
        </is>
      </c>
      <c r="F734" t="inlineStr">
        <is>
          <t>NULL</t>
        </is>
      </c>
      <c r="G734" t="inlineStr">
        <is>
          <t>NULL</t>
        </is>
      </c>
      <c r="H734" t="inlineStr">
        <is>
          <t>NULL</t>
        </is>
      </c>
      <c r="I734" t="inlineStr">
        <is>
          <t>YES!PK__info_sdt__3213E83F5F19C7BD</t>
        </is>
      </c>
      <c r="J734" t="inlineStr">
        <is>
          <t>YES! 主键相关索引</t>
        </is>
      </c>
      <c r="K734" t="inlineStr">
        <is>
          <t xml:space="preserve"> NO!  	 id列源备映射错误，源端为int None位	期望更改为text	实际备端为int None位</t>
        </is>
      </c>
    </row>
    <row r="735">
      <c r="B735" t="inlineStr">
        <is>
          <t>NULL</t>
        </is>
      </c>
      <c r="C735" t="inlineStr">
        <is>
          <t>NULL</t>
        </is>
      </c>
      <c r="D735" t="inlineStr">
        <is>
          <t>NULL</t>
        </is>
      </c>
      <c r="E735" t="inlineStr">
        <is>
          <t>NULL</t>
        </is>
      </c>
      <c r="F735" t="inlineStr">
        <is>
          <t>NULL</t>
        </is>
      </c>
      <c r="G735" t="inlineStr">
        <is>
          <t>NULL</t>
        </is>
      </c>
      <c r="H735" t="inlineStr">
        <is>
          <t>NULL</t>
        </is>
      </c>
      <c r="I735" t="inlineStr">
        <is>
          <t>NULL</t>
        </is>
      </c>
      <c r="J735" t="inlineStr">
        <is>
          <t>NULL</t>
        </is>
      </c>
      <c r="K735" t="inlineStr">
        <is>
          <t xml:space="preserve"> NO!  	 c_sdt列源备映射错误，源端为smalldatetime None位	期望更改为text	实际备端为smalldatetime None位</t>
        </is>
      </c>
    </row>
    <row r="736">
      <c r="A736" t="inlineStr">
        <is>
          <t>info_varcharmax_dml_batch1_pk_urp2</t>
        </is>
      </c>
      <c r="K736" t="inlineStr">
        <is>
          <t>[0;34m info_varcharmax_dml_batch1_pk_urp2 [0m源备字段数相同，源端字段：3 	备端字段3</t>
        </is>
      </c>
      <c r="W736" t="inlineStr">
        <is>
          <t>YES 源备无差异</t>
        </is>
      </c>
      <c r="X736">
        <f>A736</f>
        <v/>
      </c>
    </row>
    <row r="737">
      <c r="B737" t="inlineStr">
        <is>
          <t>YES</t>
        </is>
      </c>
      <c r="C737" t="inlineStr">
        <is>
          <t>NULL</t>
        </is>
      </c>
      <c r="D737" t="inlineStr">
        <is>
          <t>NULL</t>
        </is>
      </c>
      <c r="E737" t="inlineStr">
        <is>
          <t>NULL</t>
        </is>
      </c>
      <c r="F737" t="inlineStr">
        <is>
          <t>NULL</t>
        </is>
      </c>
      <c r="G737" t="inlineStr">
        <is>
          <t>NULL</t>
        </is>
      </c>
      <c r="H737" t="inlineStr">
        <is>
          <t>NULL</t>
        </is>
      </c>
      <c r="I737" t="inlineStr">
        <is>
          <t>YES!PK__info_var__3213E83FE1B334A2</t>
        </is>
      </c>
      <c r="J737" t="inlineStr">
        <is>
          <t>YES! 主键相关索引</t>
        </is>
      </c>
      <c r="K737" t="inlineStr">
        <is>
          <t xml:space="preserve"> NO!  	 id列源备映射错误，源端为int None位	期望更改为text	实际备端为int None位</t>
        </is>
      </c>
    </row>
    <row r="738">
      <c r="B738" t="inlineStr">
        <is>
          <t>NULL</t>
        </is>
      </c>
      <c r="C738" t="inlineStr">
        <is>
          <t>NULL</t>
        </is>
      </c>
      <c r="D738" t="inlineStr">
        <is>
          <t>NULL</t>
        </is>
      </c>
      <c r="E738" t="inlineStr">
        <is>
          <t>NULL</t>
        </is>
      </c>
      <c r="F738" t="inlineStr">
        <is>
          <t>NULL</t>
        </is>
      </c>
      <c r="G738" t="inlineStr">
        <is>
          <t>NULL</t>
        </is>
      </c>
      <c r="H738" t="inlineStr">
        <is>
          <t>NULL</t>
        </is>
      </c>
      <c r="I738" t="inlineStr">
        <is>
          <t>NULL</t>
        </is>
      </c>
      <c r="J738" t="inlineStr">
        <is>
          <t>NULL</t>
        </is>
      </c>
      <c r="K738" t="inlineStr">
        <is>
          <t xml:space="preserve"> NO!  	 c_varchar_max列源备映射错误，源端为varchar -1位	期望更改为text	实际备端为varchar -1位</t>
        </is>
      </c>
    </row>
    <row r="739">
      <c r="B739" t="inlineStr">
        <is>
          <t>NULL</t>
        </is>
      </c>
      <c r="C739" t="inlineStr">
        <is>
          <t>NULL</t>
        </is>
      </c>
      <c r="D739" t="inlineStr">
        <is>
          <t>NULL</t>
        </is>
      </c>
      <c r="E739" t="inlineStr">
        <is>
          <t>NULL</t>
        </is>
      </c>
      <c r="F739" t="inlineStr">
        <is>
          <t>NULL</t>
        </is>
      </c>
      <c r="G739" t="inlineStr">
        <is>
          <t>NULL</t>
        </is>
      </c>
      <c r="H739" t="inlineStr">
        <is>
          <t>NULL</t>
        </is>
      </c>
      <c r="I739" t="inlineStr">
        <is>
          <t>NULL</t>
        </is>
      </c>
      <c r="J739" t="inlineStr">
        <is>
          <t>NULL</t>
        </is>
      </c>
      <c r="K739" t="inlineStr">
        <is>
          <t xml:space="preserve"> NO!  	 c_nvarchar_max列源备映射错误，源端为nvarchar -1位	期望更改为text	实际备端为nvarchar -1位</t>
        </is>
      </c>
    </row>
    <row r="740">
      <c r="K740" t="inlineStr">
        <is>
          <t>~ 空表</t>
        </is>
      </c>
    </row>
    <row r="741">
      <c r="A741" t="inlineStr">
        <is>
          <t>info_varcharmax_dml_single_pk_irp</t>
        </is>
      </c>
      <c r="K741" t="inlineStr">
        <is>
          <t>[0;34m info_varcharmax_dml_single_pk_irp [0m源备字段数相同，源端字段：3 	备端字段3</t>
        </is>
      </c>
      <c r="W741" t="inlineStr">
        <is>
          <t>YES 源备无差异</t>
        </is>
      </c>
      <c r="X741">
        <f>A741</f>
        <v/>
      </c>
    </row>
    <row r="742">
      <c r="B742" t="inlineStr">
        <is>
          <t>YES</t>
        </is>
      </c>
      <c r="C742" t="inlineStr">
        <is>
          <t>NULL</t>
        </is>
      </c>
      <c r="D742" t="inlineStr">
        <is>
          <t>NULL</t>
        </is>
      </c>
      <c r="E742" t="inlineStr">
        <is>
          <t>NULL</t>
        </is>
      </c>
      <c r="F742" t="inlineStr">
        <is>
          <t>NULL</t>
        </is>
      </c>
      <c r="G742" t="inlineStr">
        <is>
          <t>NULL</t>
        </is>
      </c>
      <c r="H742" t="inlineStr">
        <is>
          <t>NULL</t>
        </is>
      </c>
      <c r="I742" t="inlineStr">
        <is>
          <t>YES!PK__info_var__3213E83FFCACF649</t>
        </is>
      </c>
      <c r="J742" t="inlineStr">
        <is>
          <t>YES! 主键相关索引</t>
        </is>
      </c>
      <c r="K742" t="inlineStr">
        <is>
          <t xml:space="preserve"> NO!  	 id列源备映射错误，源端为int None位	期望更改为text	实际备端为int None位</t>
        </is>
      </c>
    </row>
    <row r="743">
      <c r="B743" t="inlineStr">
        <is>
          <t>NULL</t>
        </is>
      </c>
      <c r="C743" t="inlineStr">
        <is>
          <t>NULL</t>
        </is>
      </c>
      <c r="D743" t="inlineStr">
        <is>
          <t>NULL</t>
        </is>
      </c>
      <c r="E743" t="inlineStr">
        <is>
          <t>NULL</t>
        </is>
      </c>
      <c r="F743" t="inlineStr">
        <is>
          <t>NULL</t>
        </is>
      </c>
      <c r="G743" t="inlineStr">
        <is>
          <t>NULL</t>
        </is>
      </c>
      <c r="H743" t="inlineStr">
        <is>
          <t>NULL</t>
        </is>
      </c>
      <c r="I743" t="inlineStr">
        <is>
          <t>NULL</t>
        </is>
      </c>
      <c r="J743" t="inlineStr">
        <is>
          <t>NULL</t>
        </is>
      </c>
      <c r="K743" t="inlineStr">
        <is>
          <t xml:space="preserve"> NO!  	 c_varchar_max列源备映射错误，源端为varchar -1位	期望更改为text	实际备端为varchar -1位</t>
        </is>
      </c>
    </row>
    <row r="744">
      <c r="B744" t="inlineStr">
        <is>
          <t>NULL</t>
        </is>
      </c>
      <c r="C744" t="inlineStr">
        <is>
          <t>NULL</t>
        </is>
      </c>
      <c r="D744" t="inlineStr">
        <is>
          <t>NULL</t>
        </is>
      </c>
      <c r="E744" t="inlineStr">
        <is>
          <t>NULL</t>
        </is>
      </c>
      <c r="F744" t="inlineStr">
        <is>
          <t>NULL</t>
        </is>
      </c>
      <c r="G744" t="inlineStr">
        <is>
          <t>NULL</t>
        </is>
      </c>
      <c r="H744" t="inlineStr">
        <is>
          <t>NULL</t>
        </is>
      </c>
      <c r="I744" t="inlineStr">
        <is>
          <t>NULL</t>
        </is>
      </c>
      <c r="J744" t="inlineStr">
        <is>
          <t>NULL</t>
        </is>
      </c>
      <c r="K744" t="inlineStr">
        <is>
          <t xml:space="preserve"> NO!  	 c_nvarchar_max列源备映射错误，源端为nvarchar -1位	期望更改为text	实际备端为nvarchar -1位</t>
        </is>
      </c>
    </row>
    <row r="745">
      <c r="A745" t="inlineStr">
        <is>
          <t>info_sdt_dml_single_pk_drp</t>
        </is>
      </c>
      <c r="K745" t="inlineStr">
        <is>
          <t>[0;34m info_sdt_dml_single_pk_drp [0m源备字段数相同，源端字段：2 	备端字段2</t>
        </is>
      </c>
      <c r="W745" s="17">
        <f>HYPERLINK("#2026041919hbase0!CN2","NO 源备存在差异，共6个")</f>
        <v/>
      </c>
      <c r="X745">
        <f>A745</f>
        <v/>
      </c>
    </row>
    <row r="746">
      <c r="B746" t="inlineStr">
        <is>
          <t>YES</t>
        </is>
      </c>
      <c r="C746" t="inlineStr">
        <is>
          <t>NULL</t>
        </is>
      </c>
      <c r="D746" t="inlineStr">
        <is>
          <t>NULL</t>
        </is>
      </c>
      <c r="E746" t="inlineStr">
        <is>
          <t>NULL</t>
        </is>
      </c>
      <c r="F746" t="inlineStr">
        <is>
          <t>NULL</t>
        </is>
      </c>
      <c r="G746" t="inlineStr">
        <is>
          <t>NULL</t>
        </is>
      </c>
      <c r="H746" t="inlineStr">
        <is>
          <t>NULL</t>
        </is>
      </c>
      <c r="I746" t="inlineStr">
        <is>
          <t>YES!PK__info_sdt__3213E83FA9CA8008</t>
        </is>
      </c>
      <c r="J746" t="inlineStr">
        <is>
          <t>YES! 主键相关索引</t>
        </is>
      </c>
      <c r="K746" t="inlineStr">
        <is>
          <t xml:space="preserve"> NO!  	 id列源备映射错误，源端为int None位	期望更改为text	实际备端为int None位</t>
        </is>
      </c>
    </row>
    <row r="747">
      <c r="B747" t="inlineStr">
        <is>
          <t>NULL</t>
        </is>
      </c>
      <c r="C747" t="inlineStr">
        <is>
          <t>NULL</t>
        </is>
      </c>
      <c r="D747" t="inlineStr">
        <is>
          <t>NULL</t>
        </is>
      </c>
      <c r="E747" t="inlineStr">
        <is>
          <t>NULL</t>
        </is>
      </c>
      <c r="F747" t="inlineStr">
        <is>
          <t>NULL</t>
        </is>
      </c>
      <c r="G747" t="inlineStr">
        <is>
          <t>NULL</t>
        </is>
      </c>
      <c r="H747" t="inlineStr">
        <is>
          <t>NULL</t>
        </is>
      </c>
      <c r="I747" t="inlineStr">
        <is>
          <t>NULL</t>
        </is>
      </c>
      <c r="J747" t="inlineStr">
        <is>
          <t>NULL</t>
        </is>
      </c>
      <c r="K747" t="inlineStr">
        <is>
          <t xml:space="preserve"> NO!  	 c_sdt列源备映射错误，源端为smalldatetime None位	期望更改为text	实际备端为smalldatetime None位</t>
        </is>
      </c>
    </row>
    <row r="748">
      <c r="A748" t="inlineStr">
        <is>
          <t>info_char_dml_batch1_pk_drp2</t>
        </is>
      </c>
      <c r="K748" t="inlineStr">
        <is>
          <t>[0;34m info_char_dml_batch1_pk_drp2 [0m源备字段数相同，源端字段：4 	备端字段4</t>
        </is>
      </c>
      <c r="W748" s="17">
        <f>HYPERLINK("#2026041919hbase0!CO2","NO 源备存在差异，共2个")</f>
        <v/>
      </c>
      <c r="X748">
        <f>A748</f>
        <v/>
      </c>
    </row>
    <row r="749">
      <c r="B749" t="inlineStr">
        <is>
          <t>YES</t>
        </is>
      </c>
      <c r="C749" t="inlineStr">
        <is>
          <t>NULL</t>
        </is>
      </c>
      <c r="D749" t="inlineStr">
        <is>
          <t>NULL</t>
        </is>
      </c>
      <c r="E749" t="inlineStr">
        <is>
          <t>NULL</t>
        </is>
      </c>
      <c r="F749" t="inlineStr">
        <is>
          <t>NULL</t>
        </is>
      </c>
      <c r="G749" t="inlineStr">
        <is>
          <t>NULL</t>
        </is>
      </c>
      <c r="H749" t="inlineStr">
        <is>
          <t>NULL</t>
        </is>
      </c>
      <c r="I749" t="inlineStr">
        <is>
          <t>YES!PK__info_cha__3213E83F191B3139</t>
        </is>
      </c>
      <c r="J749" t="inlineStr">
        <is>
          <t>YES! 主键相关索引</t>
        </is>
      </c>
      <c r="K749" t="inlineStr">
        <is>
          <t xml:space="preserve"> NO!  	 id列源备映射错误，源端为int None位	期望更改为text	实际备端为int None位</t>
        </is>
      </c>
    </row>
    <row r="750">
      <c r="B750" t="inlineStr">
        <is>
          <t>NULL</t>
        </is>
      </c>
      <c r="C750" t="inlineStr">
        <is>
          <t>NULL</t>
        </is>
      </c>
      <c r="D750" t="inlineStr">
        <is>
          <t>NULL</t>
        </is>
      </c>
      <c r="E750" t="inlineStr">
        <is>
          <t>NULL</t>
        </is>
      </c>
      <c r="F750" t="inlineStr">
        <is>
          <t>NULL</t>
        </is>
      </c>
      <c r="G750" t="inlineStr">
        <is>
          <t>NULL</t>
        </is>
      </c>
      <c r="H750" t="inlineStr">
        <is>
          <t>NULL</t>
        </is>
      </c>
      <c r="I750" t="inlineStr">
        <is>
          <t>NULL</t>
        </is>
      </c>
      <c r="J750" t="inlineStr">
        <is>
          <t>NULL</t>
        </is>
      </c>
      <c r="K750" t="inlineStr">
        <is>
          <t xml:space="preserve"> NO!  	 c_char列源备映射错误，源端为char 1位	期望更改为text	实际备端为char 1位</t>
        </is>
      </c>
    </row>
    <row r="751">
      <c r="B751" t="inlineStr">
        <is>
          <t>NULL</t>
        </is>
      </c>
      <c r="C751" t="inlineStr">
        <is>
          <t>NULL</t>
        </is>
      </c>
      <c r="D751" t="inlineStr">
        <is>
          <t>NULL</t>
        </is>
      </c>
      <c r="E751" t="inlineStr">
        <is>
          <t>NULL</t>
        </is>
      </c>
      <c r="F751" t="inlineStr">
        <is>
          <t>NULL</t>
        </is>
      </c>
      <c r="G751" t="inlineStr">
        <is>
          <t>NULL</t>
        </is>
      </c>
      <c r="H751" t="inlineStr">
        <is>
          <t>NULL</t>
        </is>
      </c>
      <c r="I751" t="inlineStr">
        <is>
          <t>NULL</t>
        </is>
      </c>
      <c r="J751" t="inlineStr">
        <is>
          <t>NULL</t>
        </is>
      </c>
      <c r="K751" t="inlineStr">
        <is>
          <t xml:space="preserve"> NO!  	 c_char20列源备映射错误，源端为char 20位	期望更改为text	实际备端为char 20位</t>
        </is>
      </c>
    </row>
    <row r="752">
      <c r="B752" t="inlineStr">
        <is>
          <t>NULL</t>
        </is>
      </c>
      <c r="C752" t="inlineStr">
        <is>
          <t>NULL</t>
        </is>
      </c>
      <c r="D752" t="inlineStr">
        <is>
          <t>NULL</t>
        </is>
      </c>
      <c r="E752" t="inlineStr">
        <is>
          <t>NULL</t>
        </is>
      </c>
      <c r="F752" t="inlineStr">
        <is>
          <t>NULL</t>
        </is>
      </c>
      <c r="G752" t="inlineStr">
        <is>
          <t>NULL</t>
        </is>
      </c>
      <c r="H752" t="inlineStr">
        <is>
          <t>NULL</t>
        </is>
      </c>
      <c r="I752" t="inlineStr">
        <is>
          <t>NULL</t>
        </is>
      </c>
      <c r="J752" t="inlineStr">
        <is>
          <t>NULL</t>
        </is>
      </c>
      <c r="K752" t="inlineStr">
        <is>
          <t xml:space="preserve"> NO!  	 c_char7000列源备映射错误，源端为char 7000位	期望更改为text	实际备端为char 7000位</t>
        </is>
      </c>
    </row>
    <row r="753">
      <c r="A753" t="inlineStr">
        <is>
          <t>info_sdt_dml_single_pk</t>
        </is>
      </c>
      <c r="K753" t="inlineStr">
        <is>
          <t>[0;34m info_sdt_dml_single_pk [0m源备字段数相同，源端字段：2 	备端字段2</t>
        </is>
      </c>
      <c r="W753" s="17">
        <f>HYPERLINK("#2026041919hbase0!CP2","NO 源备存在差异，共1个")</f>
        <v/>
      </c>
      <c r="X753">
        <f>A753</f>
        <v/>
      </c>
    </row>
    <row r="754">
      <c r="B754" t="inlineStr">
        <is>
          <t>YES</t>
        </is>
      </c>
      <c r="C754" t="inlineStr">
        <is>
          <t>NULL</t>
        </is>
      </c>
      <c r="D754" t="inlineStr">
        <is>
          <t>NULL</t>
        </is>
      </c>
      <c r="E754" t="inlineStr">
        <is>
          <t>NULL</t>
        </is>
      </c>
      <c r="F754" t="inlineStr">
        <is>
          <t>NULL</t>
        </is>
      </c>
      <c r="G754" t="inlineStr">
        <is>
          <t>NULL</t>
        </is>
      </c>
      <c r="H754" t="inlineStr">
        <is>
          <t>NULL</t>
        </is>
      </c>
      <c r="I754" t="inlineStr">
        <is>
          <t>YES!PK__info_sdt__3213E83F863EA3DC</t>
        </is>
      </c>
      <c r="J754" t="inlineStr">
        <is>
          <t>YES! 主键相关索引</t>
        </is>
      </c>
      <c r="K754" t="inlineStr">
        <is>
          <t xml:space="preserve"> NO!  	 id列源备映射错误，源端为int None位	期望更改为text	实际备端为int None位</t>
        </is>
      </c>
    </row>
    <row r="755">
      <c r="B755" t="inlineStr">
        <is>
          <t>NULL</t>
        </is>
      </c>
      <c r="C755" t="inlineStr">
        <is>
          <t>NULL</t>
        </is>
      </c>
      <c r="D755" t="inlineStr">
        <is>
          <t>NULL</t>
        </is>
      </c>
      <c r="E755" t="inlineStr">
        <is>
          <t>NULL</t>
        </is>
      </c>
      <c r="F755" t="inlineStr">
        <is>
          <t>NULL</t>
        </is>
      </c>
      <c r="G755" t="inlineStr">
        <is>
          <t>NULL</t>
        </is>
      </c>
      <c r="H755" t="inlineStr">
        <is>
          <t>NULL</t>
        </is>
      </c>
      <c r="I755" t="inlineStr">
        <is>
          <t>NULL</t>
        </is>
      </c>
      <c r="J755" t="inlineStr">
        <is>
          <t>NULL</t>
        </is>
      </c>
      <c r="K755" t="inlineStr">
        <is>
          <t xml:space="preserve"> NO!  	 c_sdt列源备映射错误，源端为smalldatetime None位	期望更改为text	实际备端为smalldatetime None位</t>
        </is>
      </c>
    </row>
    <row r="756">
      <c r="A756" t="inlineStr">
        <is>
          <t>info_varcharmax_dml_single_pk_urp</t>
        </is>
      </c>
      <c r="K756" t="inlineStr">
        <is>
          <t>[0;34m info_varcharmax_dml_single_pk_urp [0m源备字段数相同，源端字段：3 	备端字段3</t>
        </is>
      </c>
      <c r="W756" t="inlineStr">
        <is>
          <t>YES 源备无差异</t>
        </is>
      </c>
      <c r="X756">
        <f>A756</f>
        <v/>
      </c>
    </row>
    <row r="757">
      <c r="B757" t="inlineStr">
        <is>
          <t>YES</t>
        </is>
      </c>
      <c r="C757" t="inlineStr">
        <is>
          <t>NULL</t>
        </is>
      </c>
      <c r="D757" t="inlineStr">
        <is>
          <t>NULL</t>
        </is>
      </c>
      <c r="E757" t="inlineStr">
        <is>
          <t>NULL</t>
        </is>
      </c>
      <c r="F757" t="inlineStr">
        <is>
          <t>NULL</t>
        </is>
      </c>
      <c r="G757" t="inlineStr">
        <is>
          <t>NULL</t>
        </is>
      </c>
      <c r="H757" t="inlineStr">
        <is>
          <t>NULL</t>
        </is>
      </c>
      <c r="I757" t="inlineStr">
        <is>
          <t>YES!PK__info_var__3213E83F4ABB782C</t>
        </is>
      </c>
      <c r="J757" t="inlineStr">
        <is>
          <t>YES! 主键相关索引</t>
        </is>
      </c>
      <c r="K757" t="inlineStr">
        <is>
          <t xml:space="preserve"> NO!  	 id列源备映射错误，源端为int None位	期望更改为text	实际备端为int None位</t>
        </is>
      </c>
    </row>
    <row r="758">
      <c r="B758" t="inlineStr">
        <is>
          <t>NULL</t>
        </is>
      </c>
      <c r="C758" t="inlineStr">
        <is>
          <t>NULL</t>
        </is>
      </c>
      <c r="D758" t="inlineStr">
        <is>
          <t>NULL</t>
        </is>
      </c>
      <c r="E758" t="inlineStr">
        <is>
          <t>NULL</t>
        </is>
      </c>
      <c r="F758" t="inlineStr">
        <is>
          <t>NULL</t>
        </is>
      </c>
      <c r="G758" t="inlineStr">
        <is>
          <t>NULL</t>
        </is>
      </c>
      <c r="H758" t="inlineStr">
        <is>
          <t>NULL</t>
        </is>
      </c>
      <c r="I758" t="inlineStr">
        <is>
          <t>NULL</t>
        </is>
      </c>
      <c r="J758" t="inlineStr">
        <is>
          <t>NULL</t>
        </is>
      </c>
      <c r="K758" t="inlineStr">
        <is>
          <t xml:space="preserve"> NO!  	 c_varchar_max列源备映射错误，源端为varchar -1位	期望更改为text	实际备端为varchar -1位</t>
        </is>
      </c>
    </row>
    <row r="759">
      <c r="B759" t="inlineStr">
        <is>
          <t>NULL</t>
        </is>
      </c>
      <c r="C759" t="inlineStr">
        <is>
          <t>NULL</t>
        </is>
      </c>
      <c r="D759" t="inlineStr">
        <is>
          <t>NULL</t>
        </is>
      </c>
      <c r="E759" t="inlineStr">
        <is>
          <t>NULL</t>
        </is>
      </c>
      <c r="F759" t="inlineStr">
        <is>
          <t>NULL</t>
        </is>
      </c>
      <c r="G759" t="inlineStr">
        <is>
          <t>NULL</t>
        </is>
      </c>
      <c r="H759" t="inlineStr">
        <is>
          <t>NULL</t>
        </is>
      </c>
      <c r="I759" t="inlineStr">
        <is>
          <t>NULL</t>
        </is>
      </c>
      <c r="J759" t="inlineStr">
        <is>
          <t>NULL</t>
        </is>
      </c>
      <c r="K759" t="inlineStr">
        <is>
          <t xml:space="preserve"> NO!  	 c_nvarchar_max列源备映射错误，源端为nvarchar -1位	期望更改为text	实际备端为nvarchar -1位</t>
        </is>
      </c>
    </row>
    <row r="760">
      <c r="A760" t="inlineStr">
        <is>
          <t>info_int_dml_single_pk_urp</t>
        </is>
      </c>
      <c r="K760" t="inlineStr">
        <is>
          <t>[0;34m info_int_dml_single_pk_urp [0m源备字段数相同，源端字段：20 	备端字段20</t>
        </is>
      </c>
      <c r="W760" s="17">
        <f>HYPERLINK("#2026041919hbase0!CQ2","NO 源备存在差异，共2个")</f>
        <v/>
      </c>
      <c r="X760">
        <f>A760</f>
        <v/>
      </c>
    </row>
    <row r="761">
      <c r="B761" t="inlineStr">
        <is>
          <t>YES</t>
        </is>
      </c>
      <c r="C761" t="inlineStr">
        <is>
          <t>NULL</t>
        </is>
      </c>
      <c r="D761" t="inlineStr">
        <is>
          <t>NULL</t>
        </is>
      </c>
      <c r="E761" t="inlineStr">
        <is>
          <t>NULL</t>
        </is>
      </c>
      <c r="F761" t="inlineStr">
        <is>
          <t>NULL</t>
        </is>
      </c>
      <c r="G761" t="inlineStr">
        <is>
          <t>NULL</t>
        </is>
      </c>
      <c r="H761" t="inlineStr">
        <is>
          <t>NULL</t>
        </is>
      </c>
      <c r="I761" t="inlineStr">
        <is>
          <t>YES!PK__info_int__3213E83F126475C2</t>
        </is>
      </c>
      <c r="J761" t="inlineStr">
        <is>
          <t>YES! 主键相关索引</t>
        </is>
      </c>
      <c r="K761" t="inlineStr">
        <is>
          <t xml:space="preserve"> NO!  	 id列源备映射错误，源端为int None位	期望更改为text	实际备端为int None位</t>
        </is>
      </c>
    </row>
    <row r="762">
      <c r="B762" t="inlineStr">
        <is>
          <t>NULL</t>
        </is>
      </c>
      <c r="C762" t="inlineStr">
        <is>
          <t>NULL</t>
        </is>
      </c>
      <c r="D762" t="inlineStr">
        <is>
          <t>NULL</t>
        </is>
      </c>
      <c r="E762" t="inlineStr">
        <is>
          <t>NULL</t>
        </is>
      </c>
      <c r="F762" t="inlineStr">
        <is>
          <t>NULL</t>
        </is>
      </c>
      <c r="G762" t="inlineStr">
        <is>
          <t>NULL</t>
        </is>
      </c>
      <c r="H762" t="inlineStr">
        <is>
          <t>NULL</t>
        </is>
      </c>
      <c r="I762" t="inlineStr">
        <is>
          <t>NULL</t>
        </is>
      </c>
      <c r="J762" t="inlineStr">
        <is>
          <t>NULL</t>
        </is>
      </c>
      <c r="K762" t="inlineStr">
        <is>
          <t xml:space="preserve"> NO!  	 c_tinyint列源备映射错误，源端为tinyint None位	期望更改为text	实际备端为tinyint None位</t>
        </is>
      </c>
    </row>
    <row r="763">
      <c r="B763" t="inlineStr">
        <is>
          <t>NULL</t>
        </is>
      </c>
      <c r="C763" t="inlineStr">
        <is>
          <t>NULL</t>
        </is>
      </c>
      <c r="D763" t="inlineStr">
        <is>
          <t>NULL</t>
        </is>
      </c>
      <c r="E763" t="inlineStr">
        <is>
          <t>NULL</t>
        </is>
      </c>
      <c r="F763" t="inlineStr">
        <is>
          <t>NULL</t>
        </is>
      </c>
      <c r="G763" t="inlineStr">
        <is>
          <t>NULL</t>
        </is>
      </c>
      <c r="H763" t="inlineStr">
        <is>
          <t>NULL</t>
        </is>
      </c>
      <c r="I763" t="inlineStr">
        <is>
          <t>NULL</t>
        </is>
      </c>
      <c r="J763" t="inlineStr">
        <is>
          <t>NULL</t>
        </is>
      </c>
      <c r="K763" t="inlineStr">
        <is>
          <t xml:space="preserve"> NO!  	 c_smallint列源备映射错误，源端为smallint None位	期望更改为text	实际备端为smallint None位</t>
        </is>
      </c>
    </row>
    <row r="764">
      <c r="B764" t="inlineStr">
        <is>
          <t>NULL</t>
        </is>
      </c>
      <c r="C764" t="inlineStr">
        <is>
          <t>NULL</t>
        </is>
      </c>
      <c r="D764" t="inlineStr">
        <is>
          <t>NULL</t>
        </is>
      </c>
      <c r="E764" t="inlineStr">
        <is>
          <t>NULL</t>
        </is>
      </c>
      <c r="F764" t="inlineStr">
        <is>
          <t>NULL</t>
        </is>
      </c>
      <c r="G764" t="inlineStr">
        <is>
          <t>NULL</t>
        </is>
      </c>
      <c r="H764" t="inlineStr">
        <is>
          <t>NULL</t>
        </is>
      </c>
      <c r="I764" t="inlineStr">
        <is>
          <t>NULL</t>
        </is>
      </c>
      <c r="J764" t="inlineStr">
        <is>
          <t>NULL</t>
        </is>
      </c>
      <c r="K764" t="inlineStr">
        <is>
          <t xml:space="preserve"> NO!  	 c_int列源备映射错误，源端为int None位	期望更改为text	实际备端为int None位</t>
        </is>
      </c>
    </row>
    <row r="765">
      <c r="B765" t="inlineStr">
        <is>
          <t>NULL</t>
        </is>
      </c>
      <c r="C765" t="inlineStr">
        <is>
          <t>NULL</t>
        </is>
      </c>
      <c r="D765" t="inlineStr">
        <is>
          <t>NULL</t>
        </is>
      </c>
      <c r="E765" t="inlineStr">
        <is>
          <t>NULL</t>
        </is>
      </c>
      <c r="F765" t="inlineStr">
        <is>
          <t>NULL</t>
        </is>
      </c>
      <c r="G765" t="inlineStr">
        <is>
          <t>NULL</t>
        </is>
      </c>
      <c r="H765" t="inlineStr">
        <is>
          <t>NULL</t>
        </is>
      </c>
      <c r="I765" t="inlineStr">
        <is>
          <t>NULL</t>
        </is>
      </c>
      <c r="J765" t="inlineStr">
        <is>
          <t>NULL</t>
        </is>
      </c>
      <c r="K765" t="inlineStr">
        <is>
          <t xml:space="preserve"> NO!  	 c_bigint列源备映射错误，源端为bigint None位	期望更改为text	实际备端为bigint None位</t>
        </is>
      </c>
    </row>
    <row r="766">
      <c r="B766" t="inlineStr">
        <is>
          <t>NULL</t>
        </is>
      </c>
      <c r="C766" t="inlineStr">
        <is>
          <t>NULL</t>
        </is>
      </c>
      <c r="D766" t="inlineStr">
        <is>
          <t>NULL</t>
        </is>
      </c>
      <c r="E766" t="inlineStr">
        <is>
          <t>NULL</t>
        </is>
      </c>
      <c r="F766" t="inlineStr">
        <is>
          <t>NULL</t>
        </is>
      </c>
      <c r="G766" t="inlineStr">
        <is>
          <t>NULL</t>
        </is>
      </c>
      <c r="H766" t="inlineStr">
        <is>
          <t>NULL</t>
        </is>
      </c>
      <c r="I766" t="inlineStr">
        <is>
          <t>NULL</t>
        </is>
      </c>
      <c r="J766" t="inlineStr">
        <is>
          <t>NULL</t>
        </is>
      </c>
      <c r="K766" t="inlineStr">
        <is>
          <t xml:space="preserve"> NO!  	 c_decimal列源备映射错误，源端为decimal None位	期望更改为text	实际备端为decimal None位</t>
        </is>
      </c>
    </row>
    <row r="767">
      <c r="B767" t="inlineStr">
        <is>
          <t>NULL</t>
        </is>
      </c>
      <c r="C767" t="inlineStr">
        <is>
          <t>NULL</t>
        </is>
      </c>
      <c r="D767" t="inlineStr">
        <is>
          <t>NULL</t>
        </is>
      </c>
      <c r="E767" t="inlineStr">
        <is>
          <t>NULL</t>
        </is>
      </c>
      <c r="F767" t="inlineStr">
        <is>
          <t>NULL</t>
        </is>
      </c>
      <c r="G767" t="inlineStr">
        <is>
          <t>NULL</t>
        </is>
      </c>
      <c r="H767" t="inlineStr">
        <is>
          <t>NULL</t>
        </is>
      </c>
      <c r="I767" t="inlineStr">
        <is>
          <t>NULL</t>
        </is>
      </c>
      <c r="J767" t="inlineStr">
        <is>
          <t>NULL</t>
        </is>
      </c>
      <c r="K767" t="inlineStr">
        <is>
          <t xml:space="preserve"> NO!  	 c_decimal38列源备映射错误，源端为decimal None位	期望更改为text	实际备端为decimal None位</t>
        </is>
      </c>
    </row>
    <row r="768">
      <c r="B768" t="inlineStr">
        <is>
          <t>NULL</t>
        </is>
      </c>
      <c r="C768" t="inlineStr">
        <is>
          <t>NULL</t>
        </is>
      </c>
      <c r="D768" t="inlineStr">
        <is>
          <t>NULL</t>
        </is>
      </c>
      <c r="E768" t="inlineStr">
        <is>
          <t>NULL</t>
        </is>
      </c>
      <c r="F768" t="inlineStr">
        <is>
          <t>NULL</t>
        </is>
      </c>
      <c r="G768" t="inlineStr">
        <is>
          <t>NULL</t>
        </is>
      </c>
      <c r="H768" t="inlineStr">
        <is>
          <t>NULL</t>
        </is>
      </c>
      <c r="I768" t="inlineStr">
        <is>
          <t>NULL</t>
        </is>
      </c>
      <c r="J768" t="inlineStr">
        <is>
          <t>NULL</t>
        </is>
      </c>
      <c r="K768" t="inlineStr">
        <is>
          <t xml:space="preserve"> NO!  	 c_decimal38_38列源备映射错误，源端为decimal None位	期望更改为text	实际备端为decimal None位</t>
        </is>
      </c>
    </row>
    <row r="769">
      <c r="B769" t="inlineStr">
        <is>
          <t>NULL</t>
        </is>
      </c>
      <c r="C769" t="inlineStr">
        <is>
          <t>NULL</t>
        </is>
      </c>
      <c r="D769" t="inlineStr">
        <is>
          <t>NULL</t>
        </is>
      </c>
      <c r="E769" t="inlineStr">
        <is>
          <t>NULL</t>
        </is>
      </c>
      <c r="F769" t="inlineStr">
        <is>
          <t>NULL</t>
        </is>
      </c>
      <c r="G769" t="inlineStr">
        <is>
          <t>NULL</t>
        </is>
      </c>
      <c r="H769" t="inlineStr">
        <is>
          <t>NULL</t>
        </is>
      </c>
      <c r="I769" t="inlineStr">
        <is>
          <t>NULL</t>
        </is>
      </c>
      <c r="J769" t="inlineStr">
        <is>
          <t>NULL</t>
        </is>
      </c>
      <c r="K769" t="inlineStr">
        <is>
          <t xml:space="preserve"> NO!  	 c_decimal38_10列源备映射错误，源端为decimal None位	期望更改为text	实际备端为decimal None位</t>
        </is>
      </c>
    </row>
    <row r="770">
      <c r="B770" t="inlineStr">
        <is>
          <t>NULL</t>
        </is>
      </c>
      <c r="C770" t="inlineStr">
        <is>
          <t>NULL</t>
        </is>
      </c>
      <c r="D770" t="inlineStr">
        <is>
          <t>NULL</t>
        </is>
      </c>
      <c r="E770" t="inlineStr">
        <is>
          <t>NULL</t>
        </is>
      </c>
      <c r="F770" t="inlineStr">
        <is>
          <t>NULL</t>
        </is>
      </c>
      <c r="G770" t="inlineStr">
        <is>
          <t>NULL</t>
        </is>
      </c>
      <c r="H770" t="inlineStr">
        <is>
          <t>NULL</t>
        </is>
      </c>
      <c r="I770" t="inlineStr">
        <is>
          <t>NULL</t>
        </is>
      </c>
      <c r="J770" t="inlineStr">
        <is>
          <t>NULL</t>
        </is>
      </c>
      <c r="K770" t="inlineStr">
        <is>
          <t xml:space="preserve"> NO!  	 c_decimal19_4列源备映射错误，源端为decimal None位	期望更改为text	实际备端为decimal None位</t>
        </is>
      </c>
    </row>
    <row r="771">
      <c r="B771" t="inlineStr">
        <is>
          <t>NULL</t>
        </is>
      </c>
      <c r="C771" t="inlineStr">
        <is>
          <t>NULL</t>
        </is>
      </c>
      <c r="D771" t="inlineStr">
        <is>
          <t>NULL</t>
        </is>
      </c>
      <c r="E771" t="inlineStr">
        <is>
          <t>NULL</t>
        </is>
      </c>
      <c r="F771" t="inlineStr">
        <is>
          <t>NULL</t>
        </is>
      </c>
      <c r="G771" t="inlineStr">
        <is>
          <t>NULL</t>
        </is>
      </c>
      <c r="H771" t="inlineStr">
        <is>
          <t>NULL</t>
        </is>
      </c>
      <c r="I771" t="inlineStr">
        <is>
          <t>NULL</t>
        </is>
      </c>
      <c r="J771" t="inlineStr">
        <is>
          <t>NULL</t>
        </is>
      </c>
      <c r="K771" t="inlineStr">
        <is>
          <t xml:space="preserve"> NO!  	 c_numeric列源备映射错误，源端为numeric None位	期望更改为text	实际备端为numeric None位</t>
        </is>
      </c>
    </row>
    <row r="772">
      <c r="B772" t="inlineStr">
        <is>
          <t>NULL</t>
        </is>
      </c>
      <c r="C772" t="inlineStr">
        <is>
          <t>NULL</t>
        </is>
      </c>
      <c r="D772" t="inlineStr">
        <is>
          <t>NULL</t>
        </is>
      </c>
      <c r="E772" t="inlineStr">
        <is>
          <t>NULL</t>
        </is>
      </c>
      <c r="F772" t="inlineStr">
        <is>
          <t>NULL</t>
        </is>
      </c>
      <c r="G772" t="inlineStr">
        <is>
          <t>NULL</t>
        </is>
      </c>
      <c r="H772" t="inlineStr">
        <is>
          <t>NULL</t>
        </is>
      </c>
      <c r="I772" t="inlineStr">
        <is>
          <t>NULL</t>
        </is>
      </c>
      <c r="J772" t="inlineStr">
        <is>
          <t>NULL</t>
        </is>
      </c>
      <c r="K772" t="inlineStr">
        <is>
          <t xml:space="preserve"> NO!  	 c_numeric38列源备映射错误，源端为numeric None位	期望更改为text	实际备端为numeric None位</t>
        </is>
      </c>
    </row>
    <row r="773">
      <c r="B773" t="inlineStr">
        <is>
          <t>NULL</t>
        </is>
      </c>
      <c r="C773" t="inlineStr">
        <is>
          <t>NULL</t>
        </is>
      </c>
      <c r="D773" t="inlineStr">
        <is>
          <t>NULL</t>
        </is>
      </c>
      <c r="E773" t="inlineStr">
        <is>
          <t>NULL</t>
        </is>
      </c>
      <c r="F773" t="inlineStr">
        <is>
          <t>NULL</t>
        </is>
      </c>
      <c r="G773" t="inlineStr">
        <is>
          <t>NULL</t>
        </is>
      </c>
      <c r="H773" t="inlineStr">
        <is>
          <t>NULL</t>
        </is>
      </c>
      <c r="I773" t="inlineStr">
        <is>
          <t>NULL</t>
        </is>
      </c>
      <c r="J773" t="inlineStr">
        <is>
          <t>NULL</t>
        </is>
      </c>
      <c r="K773" t="inlineStr">
        <is>
          <t xml:space="preserve"> NO!  	 c_numeric38_38列源备映射错误，源端为numeric None位	期望更改为text	实际备端为numeric None位</t>
        </is>
      </c>
    </row>
    <row r="774">
      <c r="B774" t="inlineStr">
        <is>
          <t>NULL</t>
        </is>
      </c>
      <c r="C774" t="inlineStr">
        <is>
          <t>NULL</t>
        </is>
      </c>
      <c r="D774" t="inlineStr">
        <is>
          <t>NULL</t>
        </is>
      </c>
      <c r="E774" t="inlineStr">
        <is>
          <t>NULL</t>
        </is>
      </c>
      <c r="F774" t="inlineStr">
        <is>
          <t>NULL</t>
        </is>
      </c>
      <c r="G774" t="inlineStr">
        <is>
          <t>NULL</t>
        </is>
      </c>
      <c r="H774" t="inlineStr">
        <is>
          <t>NULL</t>
        </is>
      </c>
      <c r="I774" t="inlineStr">
        <is>
          <t>NULL</t>
        </is>
      </c>
      <c r="J774" t="inlineStr">
        <is>
          <t>NULL</t>
        </is>
      </c>
      <c r="K774" t="inlineStr">
        <is>
          <t xml:space="preserve"> NO!  	 c_numeric38_10列源备映射错误，源端为numeric None位	期望更改为text	实际备端为numeric None位</t>
        </is>
      </c>
    </row>
    <row r="775">
      <c r="B775" t="inlineStr">
        <is>
          <t>NULL</t>
        </is>
      </c>
      <c r="C775" t="inlineStr">
        <is>
          <t>NULL</t>
        </is>
      </c>
      <c r="D775" t="inlineStr">
        <is>
          <t>NULL</t>
        </is>
      </c>
      <c r="E775" t="inlineStr">
        <is>
          <t>NULL</t>
        </is>
      </c>
      <c r="F775" t="inlineStr">
        <is>
          <t>NULL</t>
        </is>
      </c>
      <c r="G775" t="inlineStr">
        <is>
          <t>NULL</t>
        </is>
      </c>
      <c r="H775" t="inlineStr">
        <is>
          <t>NULL</t>
        </is>
      </c>
      <c r="I775" t="inlineStr">
        <is>
          <t>NULL</t>
        </is>
      </c>
      <c r="J775" t="inlineStr">
        <is>
          <t>NULL</t>
        </is>
      </c>
      <c r="K775" t="inlineStr">
        <is>
          <t xml:space="preserve"> NO!  	 c_numeric18_2列源备映射错误，源端为numeric None位	期望更改为text	实际备端为numeric None位</t>
        </is>
      </c>
    </row>
    <row r="776">
      <c r="B776" t="inlineStr">
        <is>
          <t>NULL</t>
        </is>
      </c>
      <c r="C776" t="inlineStr">
        <is>
          <t>NULL</t>
        </is>
      </c>
      <c r="D776" t="inlineStr">
        <is>
          <t>NULL</t>
        </is>
      </c>
      <c r="E776" t="inlineStr">
        <is>
          <t>NULL</t>
        </is>
      </c>
      <c r="F776" t="inlineStr">
        <is>
          <t>NULL</t>
        </is>
      </c>
      <c r="G776" t="inlineStr">
        <is>
          <t>NULL</t>
        </is>
      </c>
      <c r="H776" t="inlineStr">
        <is>
          <t>NULL</t>
        </is>
      </c>
      <c r="I776" t="inlineStr">
        <is>
          <t>NULL</t>
        </is>
      </c>
      <c r="J776" t="inlineStr">
        <is>
          <t>NULL</t>
        </is>
      </c>
      <c r="K776" t="inlineStr">
        <is>
          <t xml:space="preserve"> NO!  	 c_float列源备映射错误，源端为float None位	期望更改为text	实际备端为float None位</t>
        </is>
      </c>
    </row>
    <row r="777">
      <c r="B777" t="inlineStr">
        <is>
          <t>NULL</t>
        </is>
      </c>
      <c r="C777" t="inlineStr">
        <is>
          <t>NULL</t>
        </is>
      </c>
      <c r="D777" t="inlineStr">
        <is>
          <t>NULL</t>
        </is>
      </c>
      <c r="E777" t="inlineStr">
        <is>
          <t>NULL</t>
        </is>
      </c>
      <c r="F777" t="inlineStr">
        <is>
          <t>NULL</t>
        </is>
      </c>
      <c r="G777" t="inlineStr">
        <is>
          <t>NULL</t>
        </is>
      </c>
      <c r="H777" t="inlineStr">
        <is>
          <t>NULL</t>
        </is>
      </c>
      <c r="I777" t="inlineStr">
        <is>
          <t>NULL</t>
        </is>
      </c>
      <c r="J777" t="inlineStr">
        <is>
          <t>NULL</t>
        </is>
      </c>
      <c r="K777" t="inlineStr">
        <is>
          <t xml:space="preserve"> NO!  	 c_real列源备映射错误，源端为real None位	期望更改为text	实际备端为real None位</t>
        </is>
      </c>
    </row>
    <row r="778">
      <c r="B778" t="inlineStr">
        <is>
          <t>NULL</t>
        </is>
      </c>
      <c r="C778" t="inlineStr">
        <is>
          <t>NULL</t>
        </is>
      </c>
      <c r="D778" t="inlineStr">
        <is>
          <t>NULL</t>
        </is>
      </c>
      <c r="E778" t="inlineStr">
        <is>
          <t>NULL</t>
        </is>
      </c>
      <c r="F778" t="inlineStr">
        <is>
          <t>NULL</t>
        </is>
      </c>
      <c r="G778" t="inlineStr">
        <is>
          <t>NULL</t>
        </is>
      </c>
      <c r="H778" t="inlineStr">
        <is>
          <t>NULL</t>
        </is>
      </c>
      <c r="I778" t="inlineStr">
        <is>
          <t>NULL</t>
        </is>
      </c>
      <c r="J778" t="inlineStr">
        <is>
          <t>NULL</t>
        </is>
      </c>
      <c r="K778" t="inlineStr">
        <is>
          <t xml:space="preserve"> NO!  	 c_money列源备映射错误，源端为money None位	期望更改为text	实际备端为money None位</t>
        </is>
      </c>
    </row>
    <row r="779">
      <c r="B779" t="inlineStr">
        <is>
          <t>NULL</t>
        </is>
      </c>
      <c r="C779" t="inlineStr">
        <is>
          <t>NULL</t>
        </is>
      </c>
      <c r="D779" t="inlineStr">
        <is>
          <t>NULL</t>
        </is>
      </c>
      <c r="E779" t="inlineStr">
        <is>
          <t>NULL</t>
        </is>
      </c>
      <c r="F779" t="inlineStr">
        <is>
          <t>NULL</t>
        </is>
      </c>
      <c r="G779" t="inlineStr">
        <is>
          <t>NULL</t>
        </is>
      </c>
      <c r="H779" t="inlineStr">
        <is>
          <t>NULL</t>
        </is>
      </c>
      <c r="I779" t="inlineStr">
        <is>
          <t>NULL</t>
        </is>
      </c>
      <c r="J779" t="inlineStr">
        <is>
          <t>NULL</t>
        </is>
      </c>
      <c r="K779" t="inlineStr">
        <is>
          <t xml:space="preserve"> NO!  	 c_smallmoney列源备映射错误，源端为smallmoney None位	期望更改为text	实际备端为smallmoney None位</t>
        </is>
      </c>
    </row>
    <row r="780">
      <c r="B780" t="inlineStr">
        <is>
          <t>NULL</t>
        </is>
      </c>
      <c r="C780" t="inlineStr">
        <is>
          <t>NULL</t>
        </is>
      </c>
      <c r="D780" t="inlineStr">
        <is>
          <t>NULL</t>
        </is>
      </c>
      <c r="E780" t="inlineStr">
        <is>
          <t>NULL</t>
        </is>
      </c>
      <c r="F780" t="inlineStr">
        <is>
          <t>NULL</t>
        </is>
      </c>
      <c r="G780" t="inlineStr">
        <is>
          <t>NULL</t>
        </is>
      </c>
      <c r="H780" t="inlineStr">
        <is>
          <t>NULL</t>
        </is>
      </c>
      <c r="I780" t="inlineStr">
        <is>
          <t>NULL</t>
        </is>
      </c>
      <c r="J780" t="inlineStr">
        <is>
          <t>NULL</t>
        </is>
      </c>
      <c r="K780" t="inlineStr">
        <is>
          <t xml:space="preserve"> NO!  	 c_bit列源备映射错误，源端为bit None位	期望更改为text	实际备端为bit None位</t>
        </is>
      </c>
    </row>
    <row r="781">
      <c r="A781" t="inlineStr">
        <is>
          <t>info_char_dml_batch1_pk</t>
        </is>
      </c>
      <c r="K781" t="inlineStr">
        <is>
          <t>[0;34m info_char_dml_batch1_pk [0m源备字段数相同，源端字段：4 	备端字段4</t>
        </is>
      </c>
      <c r="W781" t="inlineStr">
        <is>
          <t>YES 源备无差异</t>
        </is>
      </c>
      <c r="X781">
        <f>A781</f>
        <v/>
      </c>
    </row>
    <row r="782">
      <c r="B782" t="inlineStr">
        <is>
          <t>YES</t>
        </is>
      </c>
      <c r="C782" t="inlineStr">
        <is>
          <t>NULL</t>
        </is>
      </c>
      <c r="D782" t="inlineStr">
        <is>
          <t>NULL</t>
        </is>
      </c>
      <c r="E782" t="inlineStr">
        <is>
          <t>NULL</t>
        </is>
      </c>
      <c r="F782" t="inlineStr">
        <is>
          <t>NULL</t>
        </is>
      </c>
      <c r="G782" t="inlineStr">
        <is>
          <t>NULL</t>
        </is>
      </c>
      <c r="H782" t="inlineStr">
        <is>
          <t>NULL</t>
        </is>
      </c>
      <c r="I782" t="inlineStr">
        <is>
          <t>YES!PK__info_cha__3213E83FDBB0FAF5</t>
        </is>
      </c>
      <c r="J782" t="inlineStr">
        <is>
          <t>YES! 主键相关索引</t>
        </is>
      </c>
      <c r="K782" t="inlineStr">
        <is>
          <t xml:space="preserve"> NO!  	 id列源备映射错误，源端为int None位	期望更改为text	实际备端为int None位</t>
        </is>
      </c>
    </row>
    <row r="783">
      <c r="B783" t="inlineStr">
        <is>
          <t>NULL</t>
        </is>
      </c>
      <c r="C783" t="inlineStr">
        <is>
          <t>NULL</t>
        </is>
      </c>
      <c r="D783" t="inlineStr">
        <is>
          <t>NULL</t>
        </is>
      </c>
      <c r="E783" t="inlineStr">
        <is>
          <t>NULL</t>
        </is>
      </c>
      <c r="F783" t="inlineStr">
        <is>
          <t>NULL</t>
        </is>
      </c>
      <c r="G783" t="inlineStr">
        <is>
          <t>NULL</t>
        </is>
      </c>
      <c r="H783" t="inlineStr">
        <is>
          <t>NULL</t>
        </is>
      </c>
      <c r="I783" t="inlineStr">
        <is>
          <t>NULL</t>
        </is>
      </c>
      <c r="J783" t="inlineStr">
        <is>
          <t>NULL</t>
        </is>
      </c>
      <c r="K783" t="inlineStr">
        <is>
          <t xml:space="preserve"> NO!  	 c_char列源备映射错误，源端为char 1位	期望更改为text	实际备端为char 1位</t>
        </is>
      </c>
    </row>
    <row r="784">
      <c r="B784" t="inlineStr">
        <is>
          <t>NULL</t>
        </is>
      </c>
      <c r="C784" t="inlineStr">
        <is>
          <t>NULL</t>
        </is>
      </c>
      <c r="D784" t="inlineStr">
        <is>
          <t>NULL</t>
        </is>
      </c>
      <c r="E784" t="inlineStr">
        <is>
          <t>NULL</t>
        </is>
      </c>
      <c r="F784" t="inlineStr">
        <is>
          <t>NULL</t>
        </is>
      </c>
      <c r="G784" t="inlineStr">
        <is>
          <t>NULL</t>
        </is>
      </c>
      <c r="H784" t="inlineStr">
        <is>
          <t>NULL</t>
        </is>
      </c>
      <c r="I784" t="inlineStr">
        <is>
          <t>NULL</t>
        </is>
      </c>
      <c r="J784" t="inlineStr">
        <is>
          <t>NULL</t>
        </is>
      </c>
      <c r="K784" t="inlineStr">
        <is>
          <t xml:space="preserve"> NO!  	 c_char20列源备映射错误，源端为char 20位	期望更改为text	实际备端为char 20位</t>
        </is>
      </c>
    </row>
    <row r="785">
      <c r="B785" t="inlineStr">
        <is>
          <t>NULL</t>
        </is>
      </c>
      <c r="C785" t="inlineStr">
        <is>
          <t>NULL</t>
        </is>
      </c>
      <c r="D785" t="inlineStr">
        <is>
          <t>NULL</t>
        </is>
      </c>
      <c r="E785" t="inlineStr">
        <is>
          <t>NULL</t>
        </is>
      </c>
      <c r="F785" t="inlineStr">
        <is>
          <t>NULL</t>
        </is>
      </c>
      <c r="G785" t="inlineStr">
        <is>
          <t>NULL</t>
        </is>
      </c>
      <c r="H785" t="inlineStr">
        <is>
          <t>NULL</t>
        </is>
      </c>
      <c r="I785" t="inlineStr">
        <is>
          <t>NULL</t>
        </is>
      </c>
      <c r="J785" t="inlineStr">
        <is>
          <t>NULL</t>
        </is>
      </c>
      <c r="K785" t="inlineStr">
        <is>
          <t xml:space="preserve"> NO!  	 c_char7000列源备映射错误，源端为char 7000位	期望更改为text	实际备端为char 7000位</t>
        </is>
      </c>
    </row>
    <row r="786">
      <c r="A786" t="inlineStr">
        <is>
          <t>info_binary_dml_single_pk_irp</t>
        </is>
      </c>
      <c r="K786" t="inlineStr">
        <is>
          <t>[0;34m info_binary_dml_single_pk_irp [0m源备字段数相同，源端字段：4 	备端字段4</t>
        </is>
      </c>
      <c r="W786" t="inlineStr">
        <is>
          <t>YES 源备无差异</t>
        </is>
      </c>
      <c r="X786">
        <f>A786</f>
        <v/>
      </c>
    </row>
    <row r="787">
      <c r="B787" t="inlineStr">
        <is>
          <t>YES</t>
        </is>
      </c>
      <c r="C787" t="inlineStr">
        <is>
          <t>NULL</t>
        </is>
      </c>
      <c r="D787" t="inlineStr">
        <is>
          <t>NULL</t>
        </is>
      </c>
      <c r="E787" t="inlineStr">
        <is>
          <t>NULL</t>
        </is>
      </c>
      <c r="F787" t="inlineStr">
        <is>
          <t>NULL</t>
        </is>
      </c>
      <c r="G787" t="inlineStr">
        <is>
          <t>NULL</t>
        </is>
      </c>
      <c r="H787" t="inlineStr">
        <is>
          <t>NULL</t>
        </is>
      </c>
      <c r="I787" t="inlineStr">
        <is>
          <t>YES!PK__info_bin__3213E83F1D0F7CC7</t>
        </is>
      </c>
      <c r="J787" t="inlineStr">
        <is>
          <t>YES! 主键相关索引</t>
        </is>
      </c>
      <c r="K787" t="inlineStr">
        <is>
          <t xml:space="preserve"> NO!  	 id列源备映射错误，源端为int None位	期望更改为text	实际备端为int None位</t>
        </is>
      </c>
    </row>
    <row r="788">
      <c r="B788" t="inlineStr">
        <is>
          <t>NULL</t>
        </is>
      </c>
      <c r="C788" t="inlineStr">
        <is>
          <t>NULL</t>
        </is>
      </c>
      <c r="D788" t="inlineStr">
        <is>
          <t>NULL</t>
        </is>
      </c>
      <c r="E788" t="inlineStr">
        <is>
          <t>NULL</t>
        </is>
      </c>
      <c r="F788" t="inlineStr">
        <is>
          <t>NULL</t>
        </is>
      </c>
      <c r="G788" t="inlineStr">
        <is>
          <t>NULL</t>
        </is>
      </c>
      <c r="H788" t="inlineStr">
        <is>
          <t>NULL</t>
        </is>
      </c>
      <c r="I788" t="inlineStr">
        <is>
          <t>NULL</t>
        </is>
      </c>
      <c r="J788" t="inlineStr">
        <is>
          <t>NULL</t>
        </is>
      </c>
      <c r="K788" t="inlineStr">
        <is>
          <t xml:space="preserve"> NO!  	 c_binary列源备映射错误，源端为binary 1位	期望更改为text	实际备端为binary 1位</t>
        </is>
      </c>
    </row>
    <row r="789">
      <c r="B789" t="inlineStr">
        <is>
          <t>NULL</t>
        </is>
      </c>
      <c r="C789" t="inlineStr">
        <is>
          <t>NULL</t>
        </is>
      </c>
      <c r="D789" t="inlineStr">
        <is>
          <t>NULL</t>
        </is>
      </c>
      <c r="E789" t="inlineStr">
        <is>
          <t>NULL</t>
        </is>
      </c>
      <c r="F789" t="inlineStr">
        <is>
          <t>NULL</t>
        </is>
      </c>
      <c r="G789" t="inlineStr">
        <is>
          <t>NULL</t>
        </is>
      </c>
      <c r="H789" t="inlineStr">
        <is>
          <t>NULL</t>
        </is>
      </c>
      <c r="I789" t="inlineStr">
        <is>
          <t>NULL</t>
        </is>
      </c>
      <c r="J789" t="inlineStr">
        <is>
          <t>NULL</t>
        </is>
      </c>
      <c r="K789" t="inlineStr">
        <is>
          <t xml:space="preserve"> NO!  	 c_binary_20列源备映射错误，源端为binary 20位	期望更改为text	实际备端为binary 20位</t>
        </is>
      </c>
    </row>
    <row r="790">
      <c r="B790" t="inlineStr">
        <is>
          <t>NULL</t>
        </is>
      </c>
      <c r="C790" t="inlineStr">
        <is>
          <t>NULL</t>
        </is>
      </c>
      <c r="D790" t="inlineStr">
        <is>
          <t>NULL</t>
        </is>
      </c>
      <c r="E790" t="inlineStr">
        <is>
          <t>NULL</t>
        </is>
      </c>
      <c r="F790" t="inlineStr">
        <is>
          <t>NULL</t>
        </is>
      </c>
      <c r="G790" t="inlineStr">
        <is>
          <t>NULL</t>
        </is>
      </c>
      <c r="H790" t="inlineStr">
        <is>
          <t>NULL</t>
        </is>
      </c>
      <c r="I790" t="inlineStr">
        <is>
          <t>NULL</t>
        </is>
      </c>
      <c r="J790" t="inlineStr">
        <is>
          <t>NULL</t>
        </is>
      </c>
      <c r="K790" t="inlineStr">
        <is>
          <t xml:space="preserve"> NO!  	 c_binary_200列源备映射错误，源端为binary 200位	期望更改为text	实际备端为binary 200位</t>
        </is>
      </c>
    </row>
    <row r="791">
      <c r="K791" t="inlineStr">
        <is>
          <t>~ 空表</t>
        </is>
      </c>
    </row>
    <row r="792">
      <c r="A792" t="inlineStr">
        <is>
          <t>info_nchar_dml_batch1_pk_drp2</t>
        </is>
      </c>
      <c r="K792" t="inlineStr">
        <is>
          <t>[0;34m info_nchar_dml_batch1_pk_drp2 [0m源备字段数相同，源端字段：4 	备端字段4</t>
        </is>
      </c>
      <c r="W792" t="inlineStr">
        <is>
          <t>YES 源备无差异</t>
        </is>
      </c>
      <c r="X792">
        <f>A792</f>
        <v/>
      </c>
    </row>
    <row r="793">
      <c r="B793" t="inlineStr">
        <is>
          <t>YES</t>
        </is>
      </c>
      <c r="C793" t="inlineStr">
        <is>
          <t>NULL</t>
        </is>
      </c>
      <c r="D793" t="inlineStr">
        <is>
          <t>NULL</t>
        </is>
      </c>
      <c r="E793" t="inlineStr">
        <is>
          <t>NULL</t>
        </is>
      </c>
      <c r="F793" t="inlineStr">
        <is>
          <t>NULL</t>
        </is>
      </c>
      <c r="G793" t="inlineStr">
        <is>
          <t>NULL</t>
        </is>
      </c>
      <c r="H793" t="inlineStr">
        <is>
          <t>NULL</t>
        </is>
      </c>
      <c r="I793" t="inlineStr">
        <is>
          <t>YES!PK__info_nch__3213E83FEB6BFFCC</t>
        </is>
      </c>
      <c r="J793" t="inlineStr">
        <is>
          <t>YES! 主键相关索引</t>
        </is>
      </c>
      <c r="K793" t="inlineStr">
        <is>
          <t xml:space="preserve"> NO!  	 id列源备映射错误，源端为int None位	期望更改为text	实际备端为int None位</t>
        </is>
      </c>
    </row>
    <row r="794">
      <c r="B794" t="inlineStr">
        <is>
          <t>NULL</t>
        </is>
      </c>
      <c r="C794" t="inlineStr">
        <is>
          <t>NULL</t>
        </is>
      </c>
      <c r="D794" t="inlineStr">
        <is>
          <t>NULL</t>
        </is>
      </c>
      <c r="E794" t="inlineStr">
        <is>
          <t>NULL</t>
        </is>
      </c>
      <c r="F794" t="inlineStr">
        <is>
          <t>NULL</t>
        </is>
      </c>
      <c r="G794" t="inlineStr">
        <is>
          <t>NULL</t>
        </is>
      </c>
      <c r="H794" t="inlineStr">
        <is>
          <t>NULL</t>
        </is>
      </c>
      <c r="I794" t="inlineStr">
        <is>
          <t>NULL</t>
        </is>
      </c>
      <c r="J794" t="inlineStr">
        <is>
          <t>NULL</t>
        </is>
      </c>
      <c r="K794" t="inlineStr">
        <is>
          <t xml:space="preserve"> NO!  	 c_nchar列源备映射错误，源端为nchar 2位	期望更改为text	实际备端为nchar 2位</t>
        </is>
      </c>
    </row>
    <row r="795">
      <c r="B795" t="inlineStr">
        <is>
          <t>NULL</t>
        </is>
      </c>
      <c r="C795" t="inlineStr">
        <is>
          <t>NULL</t>
        </is>
      </c>
      <c r="D795" t="inlineStr">
        <is>
          <t>NULL</t>
        </is>
      </c>
      <c r="E795" t="inlineStr">
        <is>
          <t>NULL</t>
        </is>
      </c>
      <c r="F795" t="inlineStr">
        <is>
          <t>NULL</t>
        </is>
      </c>
      <c r="G795" t="inlineStr">
        <is>
          <t>NULL</t>
        </is>
      </c>
      <c r="H795" t="inlineStr">
        <is>
          <t>NULL</t>
        </is>
      </c>
      <c r="I795" t="inlineStr">
        <is>
          <t>NULL</t>
        </is>
      </c>
      <c r="J795" t="inlineStr">
        <is>
          <t>NULL</t>
        </is>
      </c>
      <c r="K795" t="inlineStr">
        <is>
          <t xml:space="preserve"> NO!  	 c_nchar20列源备映射错误，源端为nchar 40位	期望更改为text	实际备端为nchar 40位</t>
        </is>
      </c>
    </row>
    <row r="796">
      <c r="B796" t="inlineStr">
        <is>
          <t>NULL</t>
        </is>
      </c>
      <c r="C796" t="inlineStr">
        <is>
          <t>NULL</t>
        </is>
      </c>
      <c r="D796" t="inlineStr">
        <is>
          <t>NULL</t>
        </is>
      </c>
      <c r="E796" t="inlineStr">
        <is>
          <t>NULL</t>
        </is>
      </c>
      <c r="F796" t="inlineStr">
        <is>
          <t>NULL</t>
        </is>
      </c>
      <c r="G796" t="inlineStr">
        <is>
          <t>NULL</t>
        </is>
      </c>
      <c r="H796" t="inlineStr">
        <is>
          <t>NULL</t>
        </is>
      </c>
      <c r="I796" t="inlineStr">
        <is>
          <t>NULL</t>
        </is>
      </c>
      <c r="J796" t="inlineStr">
        <is>
          <t>NULL</t>
        </is>
      </c>
      <c r="K796" t="inlineStr">
        <is>
          <t xml:space="preserve"> NO!  	 c_nchar3500列源备映射错误，源端为nchar 7000位	期望更改为text	实际备端为nchar 7000位</t>
        </is>
      </c>
    </row>
    <row r="797">
      <c r="A797" t="inlineStr">
        <is>
          <t>info_binary_dml_batch1_pk_drp1</t>
        </is>
      </c>
      <c r="K797" t="inlineStr">
        <is>
          <t>[0;34m info_binary_dml_batch1_pk_drp1 [0m源备字段数相同，源端字段：4 	备端字段4</t>
        </is>
      </c>
      <c r="W797" t="inlineStr">
        <is>
          <t>YES 源备无差异</t>
        </is>
      </c>
      <c r="X797">
        <f>A797</f>
        <v/>
      </c>
    </row>
    <row r="798">
      <c r="B798" t="inlineStr">
        <is>
          <t>YES</t>
        </is>
      </c>
      <c r="C798" t="inlineStr">
        <is>
          <t>NULL</t>
        </is>
      </c>
      <c r="D798" t="inlineStr">
        <is>
          <t>NULL</t>
        </is>
      </c>
      <c r="E798" t="inlineStr">
        <is>
          <t>NULL</t>
        </is>
      </c>
      <c r="F798" t="inlineStr">
        <is>
          <t>NULL</t>
        </is>
      </c>
      <c r="G798" t="inlineStr">
        <is>
          <t>NULL</t>
        </is>
      </c>
      <c r="H798" t="inlineStr">
        <is>
          <t>NULL</t>
        </is>
      </c>
      <c r="I798" t="inlineStr">
        <is>
          <t>YES!PK__info_bin__3213E83F112F1495</t>
        </is>
      </c>
      <c r="J798" t="inlineStr">
        <is>
          <t>YES! 主键相关索引</t>
        </is>
      </c>
      <c r="K798" t="inlineStr">
        <is>
          <t xml:space="preserve"> NO!  	 id列源备映射错误，源端为int None位	期望更改为text	实际备端为int None位</t>
        </is>
      </c>
    </row>
    <row r="799">
      <c r="B799" t="inlineStr">
        <is>
          <t>NULL</t>
        </is>
      </c>
      <c r="C799" t="inlineStr">
        <is>
          <t>NULL</t>
        </is>
      </c>
      <c r="D799" t="inlineStr">
        <is>
          <t>NULL</t>
        </is>
      </c>
      <c r="E799" t="inlineStr">
        <is>
          <t>NULL</t>
        </is>
      </c>
      <c r="F799" t="inlineStr">
        <is>
          <t>NULL</t>
        </is>
      </c>
      <c r="G799" t="inlineStr">
        <is>
          <t>NULL</t>
        </is>
      </c>
      <c r="H799" t="inlineStr">
        <is>
          <t>NULL</t>
        </is>
      </c>
      <c r="I799" t="inlineStr">
        <is>
          <t>NULL</t>
        </is>
      </c>
      <c r="J799" t="inlineStr">
        <is>
          <t>NULL</t>
        </is>
      </c>
      <c r="K799" t="inlineStr">
        <is>
          <t xml:space="preserve"> NO!  	 c_binary列源备映射错误，源端为binary 1位	期望更改为text	实际备端为binary 1位</t>
        </is>
      </c>
    </row>
    <row r="800">
      <c r="B800" t="inlineStr">
        <is>
          <t>NULL</t>
        </is>
      </c>
      <c r="C800" t="inlineStr">
        <is>
          <t>NULL</t>
        </is>
      </c>
      <c r="D800" t="inlineStr">
        <is>
          <t>NULL</t>
        </is>
      </c>
      <c r="E800" t="inlineStr">
        <is>
          <t>NULL</t>
        </is>
      </c>
      <c r="F800" t="inlineStr">
        <is>
          <t>NULL</t>
        </is>
      </c>
      <c r="G800" t="inlineStr">
        <is>
          <t>NULL</t>
        </is>
      </c>
      <c r="H800" t="inlineStr">
        <is>
          <t>NULL</t>
        </is>
      </c>
      <c r="I800" t="inlineStr">
        <is>
          <t>NULL</t>
        </is>
      </c>
      <c r="J800" t="inlineStr">
        <is>
          <t>NULL</t>
        </is>
      </c>
      <c r="K800" t="inlineStr">
        <is>
          <t xml:space="preserve"> NO!  	 c_binary_20列源备映射错误，源端为binary 20位	期望更改为text	实际备端为binary 20位</t>
        </is>
      </c>
    </row>
    <row r="801">
      <c r="B801" t="inlineStr">
        <is>
          <t>NULL</t>
        </is>
      </c>
      <c r="C801" t="inlineStr">
        <is>
          <t>NULL</t>
        </is>
      </c>
      <c r="D801" t="inlineStr">
        <is>
          <t>NULL</t>
        </is>
      </c>
      <c r="E801" t="inlineStr">
        <is>
          <t>NULL</t>
        </is>
      </c>
      <c r="F801" t="inlineStr">
        <is>
          <t>NULL</t>
        </is>
      </c>
      <c r="G801" t="inlineStr">
        <is>
          <t>NULL</t>
        </is>
      </c>
      <c r="H801" t="inlineStr">
        <is>
          <t>NULL</t>
        </is>
      </c>
      <c r="I801" t="inlineStr">
        <is>
          <t>NULL</t>
        </is>
      </c>
      <c r="J801" t="inlineStr">
        <is>
          <t>NULL</t>
        </is>
      </c>
      <c r="K801" t="inlineStr">
        <is>
          <t xml:space="preserve"> NO!  	 c_binary_200列源备映射错误，源端为binary 200位	期望更改为text	实际备端为binary 200位</t>
        </is>
      </c>
    </row>
    <row r="802">
      <c r="K802" t="inlineStr">
        <is>
          <t>~ 空表</t>
        </is>
      </c>
    </row>
    <row r="803">
      <c r="A803" t="inlineStr">
        <is>
          <t>info_char_dml_single_pk_irp</t>
        </is>
      </c>
      <c r="K803" t="inlineStr">
        <is>
          <t>[0;34m info_char_dml_single_pk_irp [0m源备字段数相同，源端字段：4 	备端字段4</t>
        </is>
      </c>
      <c r="W803" s="17">
        <f>HYPERLINK("#2026041919hbase0!CR2","NO 源备存在差异，共2个")</f>
        <v/>
      </c>
      <c r="X803">
        <f>A803</f>
        <v/>
      </c>
    </row>
    <row r="804">
      <c r="B804" t="inlineStr">
        <is>
          <t>YES</t>
        </is>
      </c>
      <c r="C804" t="inlineStr">
        <is>
          <t>NULL</t>
        </is>
      </c>
      <c r="D804" t="inlineStr">
        <is>
          <t>NULL</t>
        </is>
      </c>
      <c r="E804" t="inlineStr">
        <is>
          <t>NULL</t>
        </is>
      </c>
      <c r="F804" t="inlineStr">
        <is>
          <t>NULL</t>
        </is>
      </c>
      <c r="G804" t="inlineStr">
        <is>
          <t>NULL</t>
        </is>
      </c>
      <c r="H804" t="inlineStr">
        <is>
          <t>NULL</t>
        </is>
      </c>
      <c r="I804" t="inlineStr">
        <is>
          <t>YES!PK__info_cha__3213E83FA21A8FDA</t>
        </is>
      </c>
      <c r="J804" t="inlineStr">
        <is>
          <t>YES! 主键相关索引</t>
        </is>
      </c>
      <c r="K804" t="inlineStr">
        <is>
          <t xml:space="preserve"> NO!  	 id列源备映射错误，源端为int None位	期望更改为text	实际备端为int None位</t>
        </is>
      </c>
    </row>
    <row r="805">
      <c r="B805" t="inlineStr">
        <is>
          <t>NULL</t>
        </is>
      </c>
      <c r="C805" t="inlineStr">
        <is>
          <t>NULL</t>
        </is>
      </c>
      <c r="D805" t="inlineStr">
        <is>
          <t>NULL</t>
        </is>
      </c>
      <c r="E805" t="inlineStr">
        <is>
          <t>NULL</t>
        </is>
      </c>
      <c r="F805" t="inlineStr">
        <is>
          <t>NULL</t>
        </is>
      </c>
      <c r="G805" t="inlineStr">
        <is>
          <t>NULL</t>
        </is>
      </c>
      <c r="H805" t="inlineStr">
        <is>
          <t>NULL</t>
        </is>
      </c>
      <c r="I805" t="inlineStr">
        <is>
          <t>NULL</t>
        </is>
      </c>
      <c r="J805" t="inlineStr">
        <is>
          <t>NULL</t>
        </is>
      </c>
      <c r="K805" t="inlineStr">
        <is>
          <t xml:space="preserve"> NO!  	 c_char列源备映射错误，源端为char 1位	期望更改为text	实际备端为char 1位</t>
        </is>
      </c>
    </row>
    <row r="806">
      <c r="B806" t="inlineStr">
        <is>
          <t>NULL</t>
        </is>
      </c>
      <c r="C806" t="inlineStr">
        <is>
          <t>NULL</t>
        </is>
      </c>
      <c r="D806" t="inlineStr">
        <is>
          <t>NULL</t>
        </is>
      </c>
      <c r="E806" t="inlineStr">
        <is>
          <t>NULL</t>
        </is>
      </c>
      <c r="F806" t="inlineStr">
        <is>
          <t>NULL</t>
        </is>
      </c>
      <c r="G806" t="inlineStr">
        <is>
          <t>NULL</t>
        </is>
      </c>
      <c r="H806" t="inlineStr">
        <is>
          <t>NULL</t>
        </is>
      </c>
      <c r="I806" t="inlineStr">
        <is>
          <t>NULL</t>
        </is>
      </c>
      <c r="J806" t="inlineStr">
        <is>
          <t>NULL</t>
        </is>
      </c>
      <c r="K806" t="inlineStr">
        <is>
          <t xml:space="preserve"> NO!  	 c_char20列源备映射错误，源端为char 20位	期望更改为text	实际备端为char 20位</t>
        </is>
      </c>
    </row>
    <row r="807">
      <c r="B807" t="inlineStr">
        <is>
          <t>NULL</t>
        </is>
      </c>
      <c r="C807" t="inlineStr">
        <is>
          <t>NULL</t>
        </is>
      </c>
      <c r="D807" t="inlineStr">
        <is>
          <t>NULL</t>
        </is>
      </c>
      <c r="E807" t="inlineStr">
        <is>
          <t>NULL</t>
        </is>
      </c>
      <c r="F807" t="inlineStr">
        <is>
          <t>NULL</t>
        </is>
      </c>
      <c r="G807" t="inlineStr">
        <is>
          <t>NULL</t>
        </is>
      </c>
      <c r="H807" t="inlineStr">
        <is>
          <t>NULL</t>
        </is>
      </c>
      <c r="I807" t="inlineStr">
        <is>
          <t>NULL</t>
        </is>
      </c>
      <c r="J807" t="inlineStr">
        <is>
          <t>NULL</t>
        </is>
      </c>
      <c r="K807" t="inlineStr">
        <is>
          <t xml:space="preserve"> NO!  	 c_char200列源备映射错误，源端为char 200位	期望更改为text	实际备端为char 200位</t>
        </is>
      </c>
    </row>
    <row r="808">
      <c r="A808" t="inlineStr">
        <is>
          <t>info_date_dml_batch1_pk_urp1</t>
        </is>
      </c>
      <c r="K808" t="inlineStr">
        <is>
          <t>[0;34m info_date_dml_batch1_pk_urp1 [0m源备字段数相同，源端字段：2 	备端字段2</t>
        </is>
      </c>
      <c r="W808" s="17">
        <f>HYPERLINK("#2026041919hbase0!CS2","NO 源备存在差异，共11个")</f>
        <v/>
      </c>
      <c r="X808">
        <f>A808</f>
        <v/>
      </c>
    </row>
    <row r="809">
      <c r="B809" t="inlineStr">
        <is>
          <t>YES</t>
        </is>
      </c>
      <c r="C809" t="inlineStr">
        <is>
          <t>NULL</t>
        </is>
      </c>
      <c r="D809" t="inlineStr">
        <is>
          <t>NULL</t>
        </is>
      </c>
      <c r="E809" t="inlineStr">
        <is>
          <t>NULL</t>
        </is>
      </c>
      <c r="F809" t="inlineStr">
        <is>
          <t>NULL</t>
        </is>
      </c>
      <c r="G809" t="inlineStr">
        <is>
          <t>NULL</t>
        </is>
      </c>
      <c r="H809" t="inlineStr">
        <is>
          <t>NULL</t>
        </is>
      </c>
      <c r="I809" t="inlineStr">
        <is>
          <t>YES!PK__info_dat__3213E83FB3F1F161</t>
        </is>
      </c>
      <c r="J809" t="inlineStr">
        <is>
          <t>YES! 主键相关索引</t>
        </is>
      </c>
      <c r="K809" t="inlineStr">
        <is>
          <t xml:space="preserve"> NO!  	 id列源备映射错误，源端为int None位	期望更改为text	实际备端为int None位</t>
        </is>
      </c>
    </row>
    <row r="810">
      <c r="B810" t="inlineStr">
        <is>
          <t>NULL</t>
        </is>
      </c>
      <c r="C810" t="inlineStr">
        <is>
          <t>NULL</t>
        </is>
      </c>
      <c r="D810" t="inlineStr">
        <is>
          <t>NULL</t>
        </is>
      </c>
      <c r="E810" t="inlineStr">
        <is>
          <t>NULL</t>
        </is>
      </c>
      <c r="F810" t="inlineStr">
        <is>
          <t>NULL</t>
        </is>
      </c>
      <c r="G810" t="inlineStr">
        <is>
          <t>NULL</t>
        </is>
      </c>
      <c r="H810" t="inlineStr">
        <is>
          <t>NULL</t>
        </is>
      </c>
      <c r="I810" t="inlineStr">
        <is>
          <t>NULL</t>
        </is>
      </c>
      <c r="J810" t="inlineStr">
        <is>
          <t>NULL</t>
        </is>
      </c>
      <c r="K810" t="inlineStr">
        <is>
          <t xml:space="preserve"> NO!  	 c_date列源备映射错误，源端为date None位	期望更改为text	实际备端为date None位</t>
        </is>
      </c>
    </row>
    <row r="811">
      <c r="A811" t="inlineStr">
        <is>
          <t>info_date_dml_batch1_pk_urp2</t>
        </is>
      </c>
      <c r="K811" t="inlineStr">
        <is>
          <t>[0;34m info_date_dml_batch1_pk_urp2 [0m源备字段数相同，源端字段：2 	备端字段2</t>
        </is>
      </c>
      <c r="W811" s="17">
        <f>HYPERLINK("#2026041919hbase0!CT2","NO 源备存在差异，共11个")</f>
        <v/>
      </c>
      <c r="X811">
        <f>A811</f>
        <v/>
      </c>
    </row>
    <row r="812">
      <c r="B812" t="inlineStr">
        <is>
          <t>YES</t>
        </is>
      </c>
      <c r="C812" t="inlineStr">
        <is>
          <t>NULL</t>
        </is>
      </c>
      <c r="D812" t="inlineStr">
        <is>
          <t>NULL</t>
        </is>
      </c>
      <c r="E812" t="inlineStr">
        <is>
          <t>NULL</t>
        </is>
      </c>
      <c r="F812" t="inlineStr">
        <is>
          <t>NULL</t>
        </is>
      </c>
      <c r="G812" t="inlineStr">
        <is>
          <t>NULL</t>
        </is>
      </c>
      <c r="H812" t="inlineStr">
        <is>
          <t>NULL</t>
        </is>
      </c>
      <c r="I812" t="inlineStr">
        <is>
          <t>YES!PK__info_dat__3213E83F670DED64</t>
        </is>
      </c>
      <c r="J812" t="inlineStr">
        <is>
          <t>YES! 主键相关索引</t>
        </is>
      </c>
      <c r="K812" t="inlineStr">
        <is>
          <t xml:space="preserve"> NO!  	 id列源备映射错误，源端为int None位	期望更改为text	实际备端为int None位</t>
        </is>
      </c>
    </row>
    <row r="813">
      <c r="B813" t="inlineStr">
        <is>
          <t>NULL</t>
        </is>
      </c>
      <c r="C813" t="inlineStr">
        <is>
          <t>NULL</t>
        </is>
      </c>
      <c r="D813" t="inlineStr">
        <is>
          <t>NULL</t>
        </is>
      </c>
      <c r="E813" t="inlineStr">
        <is>
          <t>NULL</t>
        </is>
      </c>
      <c r="F813" t="inlineStr">
        <is>
          <t>NULL</t>
        </is>
      </c>
      <c r="G813" t="inlineStr">
        <is>
          <t>NULL</t>
        </is>
      </c>
      <c r="H813" t="inlineStr">
        <is>
          <t>NULL</t>
        </is>
      </c>
      <c r="I813" t="inlineStr">
        <is>
          <t>NULL</t>
        </is>
      </c>
      <c r="J813" t="inlineStr">
        <is>
          <t>NULL</t>
        </is>
      </c>
      <c r="K813" t="inlineStr">
        <is>
          <t xml:space="preserve"> NO!  	 c_date列源备映射错误，源端为date None位	期望更改为text	实际备端为date None位</t>
        </is>
      </c>
    </row>
    <row r="814">
      <c r="A814" t="inlineStr">
        <is>
          <t>info_binary_dml_batch1_pk_drp2</t>
        </is>
      </c>
      <c r="K814" t="inlineStr">
        <is>
          <t>[0;34m info_binary_dml_batch1_pk_drp2 [0m源备字段数相同，源端字段：4 	备端字段4</t>
        </is>
      </c>
      <c r="W814" s="17">
        <f>HYPERLINK("#2026041919hbase0!CU2","NO 源备存在差异，共2个")</f>
        <v/>
      </c>
      <c r="X814">
        <f>A814</f>
        <v/>
      </c>
    </row>
    <row r="815">
      <c r="B815" t="inlineStr">
        <is>
          <t>YES</t>
        </is>
      </c>
      <c r="C815" t="inlineStr">
        <is>
          <t>NULL</t>
        </is>
      </c>
      <c r="D815" t="inlineStr">
        <is>
          <t>NULL</t>
        </is>
      </c>
      <c r="E815" t="inlineStr">
        <is>
          <t>NULL</t>
        </is>
      </c>
      <c r="F815" t="inlineStr">
        <is>
          <t>NULL</t>
        </is>
      </c>
      <c r="G815" t="inlineStr">
        <is>
          <t>NULL</t>
        </is>
      </c>
      <c r="H815" t="inlineStr">
        <is>
          <t>NULL</t>
        </is>
      </c>
      <c r="I815" t="inlineStr">
        <is>
          <t>YES!PK__info_bin__3213E83F649D4F3A</t>
        </is>
      </c>
      <c r="J815" t="inlineStr">
        <is>
          <t>YES! 主键相关索引</t>
        </is>
      </c>
      <c r="K815" t="inlineStr">
        <is>
          <t xml:space="preserve"> NO!  	 id列源备映射错误，源端为int None位	期望更改为text	实际备端为int None位</t>
        </is>
      </c>
    </row>
    <row r="816">
      <c r="B816" t="inlineStr">
        <is>
          <t>NULL</t>
        </is>
      </c>
      <c r="C816" t="inlineStr">
        <is>
          <t>NULL</t>
        </is>
      </c>
      <c r="D816" t="inlineStr">
        <is>
          <t>NULL</t>
        </is>
      </c>
      <c r="E816" t="inlineStr">
        <is>
          <t>NULL</t>
        </is>
      </c>
      <c r="F816" t="inlineStr">
        <is>
          <t>NULL</t>
        </is>
      </c>
      <c r="G816" t="inlineStr">
        <is>
          <t>NULL</t>
        </is>
      </c>
      <c r="H816" t="inlineStr">
        <is>
          <t>NULL</t>
        </is>
      </c>
      <c r="I816" t="inlineStr">
        <is>
          <t>NULL</t>
        </is>
      </c>
      <c r="J816" t="inlineStr">
        <is>
          <t>NULL</t>
        </is>
      </c>
      <c r="K816" t="inlineStr">
        <is>
          <t xml:space="preserve"> NO!  	 c_binary列源备映射错误，源端为binary 1位	期望更改为text	实际备端为binary 1位</t>
        </is>
      </c>
    </row>
    <row r="817">
      <c r="B817" t="inlineStr">
        <is>
          <t>NULL</t>
        </is>
      </c>
      <c r="C817" t="inlineStr">
        <is>
          <t>NULL</t>
        </is>
      </c>
      <c r="D817" t="inlineStr">
        <is>
          <t>NULL</t>
        </is>
      </c>
      <c r="E817" t="inlineStr">
        <is>
          <t>NULL</t>
        </is>
      </c>
      <c r="F817" t="inlineStr">
        <is>
          <t>NULL</t>
        </is>
      </c>
      <c r="G817" t="inlineStr">
        <is>
          <t>NULL</t>
        </is>
      </c>
      <c r="H817" t="inlineStr">
        <is>
          <t>NULL</t>
        </is>
      </c>
      <c r="I817" t="inlineStr">
        <is>
          <t>NULL</t>
        </is>
      </c>
      <c r="J817" t="inlineStr">
        <is>
          <t>NULL</t>
        </is>
      </c>
      <c r="K817" t="inlineStr">
        <is>
          <t xml:space="preserve"> NO!  	 c_binary_20列源备映射错误，源端为binary 20位	期望更改为text	实际备端为binary 20位</t>
        </is>
      </c>
    </row>
    <row r="818">
      <c r="B818" t="inlineStr">
        <is>
          <t>NULL</t>
        </is>
      </c>
      <c r="C818" t="inlineStr">
        <is>
          <t>NULL</t>
        </is>
      </c>
      <c r="D818" t="inlineStr">
        <is>
          <t>NULL</t>
        </is>
      </c>
      <c r="E818" t="inlineStr">
        <is>
          <t>NULL</t>
        </is>
      </c>
      <c r="F818" t="inlineStr">
        <is>
          <t>NULL</t>
        </is>
      </c>
      <c r="G818" t="inlineStr">
        <is>
          <t>NULL</t>
        </is>
      </c>
      <c r="H818" t="inlineStr">
        <is>
          <t>NULL</t>
        </is>
      </c>
      <c r="I818" t="inlineStr">
        <is>
          <t>NULL</t>
        </is>
      </c>
      <c r="J818" t="inlineStr">
        <is>
          <t>NULL</t>
        </is>
      </c>
      <c r="K818" t="inlineStr">
        <is>
          <t xml:space="preserve"> NO!  	 c_binary_200列源备映射错误，源端为binary 200位	期望更改为text	实际备端为binary 200位</t>
        </is>
      </c>
    </row>
    <row r="819">
      <c r="A819" t="inlineStr">
        <is>
          <t>info_datetime_dml_single_pk_irp</t>
        </is>
      </c>
      <c r="K819" t="inlineStr">
        <is>
          <t>[0;34m info_datetime_dml_single_pk_irp [0m源备字段数相同，源端字段：2 	备端字段2</t>
        </is>
      </c>
      <c r="W819" s="17">
        <f>HYPERLINK("#2026041919hbase0!CV2","NO 源备存在差异，共23个")</f>
        <v/>
      </c>
      <c r="X819">
        <f>A819</f>
        <v/>
      </c>
    </row>
    <row r="820">
      <c r="B820" t="inlineStr">
        <is>
          <t>YES</t>
        </is>
      </c>
      <c r="C820" t="inlineStr">
        <is>
          <t>NULL</t>
        </is>
      </c>
      <c r="D820" t="inlineStr">
        <is>
          <t>NULL</t>
        </is>
      </c>
      <c r="E820" t="inlineStr">
        <is>
          <t>NULL</t>
        </is>
      </c>
      <c r="F820" t="inlineStr">
        <is>
          <t>NULL</t>
        </is>
      </c>
      <c r="G820" t="inlineStr">
        <is>
          <t>NULL</t>
        </is>
      </c>
      <c r="H820" t="inlineStr">
        <is>
          <t>NULL</t>
        </is>
      </c>
      <c r="I820" t="inlineStr">
        <is>
          <t>YES!PK__info_dat__3213E83FB6640165</t>
        </is>
      </c>
      <c r="J820" t="inlineStr">
        <is>
          <t>YES! 主键相关索引</t>
        </is>
      </c>
      <c r="K820" t="inlineStr">
        <is>
          <t xml:space="preserve"> NO!  	 id列源备映射错误，源端为int None位	期望更改为text	实际备端为int None位</t>
        </is>
      </c>
    </row>
    <row r="821">
      <c r="B821" t="inlineStr">
        <is>
          <t>NULL</t>
        </is>
      </c>
      <c r="C821" t="inlineStr">
        <is>
          <t>NULL</t>
        </is>
      </c>
      <c r="D821" t="inlineStr">
        <is>
          <t>NULL</t>
        </is>
      </c>
      <c r="E821" t="inlineStr">
        <is>
          <t>NULL</t>
        </is>
      </c>
      <c r="F821" t="inlineStr">
        <is>
          <t>NULL</t>
        </is>
      </c>
      <c r="G821" t="inlineStr">
        <is>
          <t>NULL</t>
        </is>
      </c>
      <c r="H821" t="inlineStr">
        <is>
          <t>NULL</t>
        </is>
      </c>
      <c r="I821" t="inlineStr">
        <is>
          <t>NULL</t>
        </is>
      </c>
      <c r="J821" t="inlineStr">
        <is>
          <t>NULL</t>
        </is>
      </c>
      <c r="K821" t="inlineStr">
        <is>
          <t xml:space="preserve"> NO!  	 c_datetime列源备映射错误，源端为datetime None位	期望更改为text	实际备端为datetime None位</t>
        </is>
      </c>
    </row>
    <row r="822">
      <c r="A822" t="inlineStr">
        <is>
          <t>info_int_dml_single_pk_drp</t>
        </is>
      </c>
      <c r="K822" t="inlineStr">
        <is>
          <t>[0;34m info_int_dml_single_pk_drp [0m源备字段数相同，源端字段：20 	备端字段20</t>
        </is>
      </c>
      <c r="W822" s="17">
        <f>HYPERLINK("#2026041919hbase0!CW2","NO 源备存在差异，共19个")</f>
        <v/>
      </c>
      <c r="X822">
        <f>A822</f>
        <v/>
      </c>
    </row>
    <row r="823">
      <c r="B823" t="inlineStr">
        <is>
          <t>YES</t>
        </is>
      </c>
      <c r="C823" t="inlineStr">
        <is>
          <t>NULL</t>
        </is>
      </c>
      <c r="D823" t="inlineStr">
        <is>
          <t>NULL</t>
        </is>
      </c>
      <c r="E823" t="inlineStr">
        <is>
          <t>NULL</t>
        </is>
      </c>
      <c r="F823" t="inlineStr">
        <is>
          <t>NULL</t>
        </is>
      </c>
      <c r="G823" t="inlineStr">
        <is>
          <t>NULL</t>
        </is>
      </c>
      <c r="H823" t="inlineStr">
        <is>
          <t>NULL</t>
        </is>
      </c>
      <c r="I823" t="inlineStr">
        <is>
          <t>YES!PK__info_int__3213E83F17F3D42D</t>
        </is>
      </c>
      <c r="J823" t="inlineStr">
        <is>
          <t>YES! 主键相关索引</t>
        </is>
      </c>
      <c r="K823" t="inlineStr">
        <is>
          <t xml:space="preserve"> NO!  	 id列源备映射错误，源端为int None位	期望更改为text	实际备端为int None位</t>
        </is>
      </c>
    </row>
    <row r="824">
      <c r="B824" t="inlineStr">
        <is>
          <t>NULL</t>
        </is>
      </c>
      <c r="C824" t="inlineStr">
        <is>
          <t>NULL</t>
        </is>
      </c>
      <c r="D824" t="inlineStr">
        <is>
          <t>NULL</t>
        </is>
      </c>
      <c r="E824" t="inlineStr">
        <is>
          <t>NULL</t>
        </is>
      </c>
      <c r="F824" t="inlineStr">
        <is>
          <t>NULL</t>
        </is>
      </c>
      <c r="G824" t="inlineStr">
        <is>
          <t>NULL</t>
        </is>
      </c>
      <c r="H824" t="inlineStr">
        <is>
          <t>NULL</t>
        </is>
      </c>
      <c r="I824" t="inlineStr">
        <is>
          <t>NULL</t>
        </is>
      </c>
      <c r="J824" t="inlineStr">
        <is>
          <t>NULL</t>
        </is>
      </c>
      <c r="K824" t="inlineStr">
        <is>
          <t xml:space="preserve"> NO!  	 c_tinyint列源备映射错误，源端为tinyint None位	期望更改为text	实际备端为tinyint None位</t>
        </is>
      </c>
    </row>
    <row r="825">
      <c r="B825" t="inlineStr">
        <is>
          <t>NULL</t>
        </is>
      </c>
      <c r="C825" t="inlineStr">
        <is>
          <t>NULL</t>
        </is>
      </c>
      <c r="D825" t="inlineStr">
        <is>
          <t>NULL</t>
        </is>
      </c>
      <c r="E825" t="inlineStr">
        <is>
          <t>NULL</t>
        </is>
      </c>
      <c r="F825" t="inlineStr">
        <is>
          <t>NULL</t>
        </is>
      </c>
      <c r="G825" t="inlineStr">
        <is>
          <t>NULL</t>
        </is>
      </c>
      <c r="H825" t="inlineStr">
        <is>
          <t>NULL</t>
        </is>
      </c>
      <c r="I825" t="inlineStr">
        <is>
          <t>NULL</t>
        </is>
      </c>
      <c r="J825" t="inlineStr">
        <is>
          <t>NULL</t>
        </is>
      </c>
      <c r="K825" t="inlineStr">
        <is>
          <t xml:space="preserve"> NO!  	 c_smallint列源备映射错误，源端为smallint None位	期望更改为text	实际备端为smallint None位</t>
        </is>
      </c>
    </row>
    <row r="826">
      <c r="B826" t="inlineStr">
        <is>
          <t>NULL</t>
        </is>
      </c>
      <c r="C826" t="inlineStr">
        <is>
          <t>NULL</t>
        </is>
      </c>
      <c r="D826" t="inlineStr">
        <is>
          <t>NULL</t>
        </is>
      </c>
      <c r="E826" t="inlineStr">
        <is>
          <t>NULL</t>
        </is>
      </c>
      <c r="F826" t="inlineStr">
        <is>
          <t>NULL</t>
        </is>
      </c>
      <c r="G826" t="inlineStr">
        <is>
          <t>NULL</t>
        </is>
      </c>
      <c r="H826" t="inlineStr">
        <is>
          <t>NULL</t>
        </is>
      </c>
      <c r="I826" t="inlineStr">
        <is>
          <t>NULL</t>
        </is>
      </c>
      <c r="J826" t="inlineStr">
        <is>
          <t>NULL</t>
        </is>
      </c>
      <c r="K826" t="inlineStr">
        <is>
          <t xml:space="preserve"> NO!  	 c_int列源备映射错误，源端为int None位	期望更改为text	实际备端为int None位</t>
        </is>
      </c>
    </row>
    <row r="827">
      <c r="B827" t="inlineStr">
        <is>
          <t>NULL</t>
        </is>
      </c>
      <c r="C827" t="inlineStr">
        <is>
          <t>NULL</t>
        </is>
      </c>
      <c r="D827" t="inlineStr">
        <is>
          <t>NULL</t>
        </is>
      </c>
      <c r="E827" t="inlineStr">
        <is>
          <t>NULL</t>
        </is>
      </c>
      <c r="F827" t="inlineStr">
        <is>
          <t>NULL</t>
        </is>
      </c>
      <c r="G827" t="inlineStr">
        <is>
          <t>NULL</t>
        </is>
      </c>
      <c r="H827" t="inlineStr">
        <is>
          <t>NULL</t>
        </is>
      </c>
      <c r="I827" t="inlineStr">
        <is>
          <t>NULL</t>
        </is>
      </c>
      <c r="J827" t="inlineStr">
        <is>
          <t>NULL</t>
        </is>
      </c>
      <c r="K827" t="inlineStr">
        <is>
          <t xml:space="preserve"> NO!  	 c_bigint列源备映射错误，源端为bigint None位	期望更改为text	实际备端为bigint None位</t>
        </is>
      </c>
    </row>
    <row r="828">
      <c r="B828" t="inlineStr">
        <is>
          <t>NULL</t>
        </is>
      </c>
      <c r="C828" t="inlineStr">
        <is>
          <t>NULL</t>
        </is>
      </c>
      <c r="D828" t="inlineStr">
        <is>
          <t>NULL</t>
        </is>
      </c>
      <c r="E828" t="inlineStr">
        <is>
          <t>NULL</t>
        </is>
      </c>
      <c r="F828" t="inlineStr">
        <is>
          <t>NULL</t>
        </is>
      </c>
      <c r="G828" t="inlineStr">
        <is>
          <t>NULL</t>
        </is>
      </c>
      <c r="H828" t="inlineStr">
        <is>
          <t>NULL</t>
        </is>
      </c>
      <c r="I828" t="inlineStr">
        <is>
          <t>NULL</t>
        </is>
      </c>
      <c r="J828" t="inlineStr">
        <is>
          <t>NULL</t>
        </is>
      </c>
      <c r="K828" t="inlineStr">
        <is>
          <t xml:space="preserve"> NO!  	 c_decimal列源备映射错误，源端为decimal None位	期望更改为text	实际备端为decimal None位</t>
        </is>
      </c>
    </row>
    <row r="829">
      <c r="B829" t="inlineStr">
        <is>
          <t>NULL</t>
        </is>
      </c>
      <c r="C829" t="inlineStr">
        <is>
          <t>NULL</t>
        </is>
      </c>
      <c r="D829" t="inlineStr">
        <is>
          <t>NULL</t>
        </is>
      </c>
      <c r="E829" t="inlineStr">
        <is>
          <t>NULL</t>
        </is>
      </c>
      <c r="F829" t="inlineStr">
        <is>
          <t>NULL</t>
        </is>
      </c>
      <c r="G829" t="inlineStr">
        <is>
          <t>NULL</t>
        </is>
      </c>
      <c r="H829" t="inlineStr">
        <is>
          <t>NULL</t>
        </is>
      </c>
      <c r="I829" t="inlineStr">
        <is>
          <t>NULL</t>
        </is>
      </c>
      <c r="J829" t="inlineStr">
        <is>
          <t>NULL</t>
        </is>
      </c>
      <c r="K829" t="inlineStr">
        <is>
          <t xml:space="preserve"> NO!  	 c_decimal38列源备映射错误，源端为decimal None位	期望更改为text	实际备端为decimal None位</t>
        </is>
      </c>
    </row>
    <row r="830">
      <c r="B830" t="inlineStr">
        <is>
          <t>NULL</t>
        </is>
      </c>
      <c r="C830" t="inlineStr">
        <is>
          <t>NULL</t>
        </is>
      </c>
      <c r="D830" t="inlineStr">
        <is>
          <t>NULL</t>
        </is>
      </c>
      <c r="E830" t="inlineStr">
        <is>
          <t>NULL</t>
        </is>
      </c>
      <c r="F830" t="inlineStr">
        <is>
          <t>NULL</t>
        </is>
      </c>
      <c r="G830" t="inlineStr">
        <is>
          <t>NULL</t>
        </is>
      </c>
      <c r="H830" t="inlineStr">
        <is>
          <t>NULL</t>
        </is>
      </c>
      <c r="I830" t="inlineStr">
        <is>
          <t>NULL</t>
        </is>
      </c>
      <c r="J830" t="inlineStr">
        <is>
          <t>NULL</t>
        </is>
      </c>
      <c r="K830" t="inlineStr">
        <is>
          <t xml:space="preserve"> NO!  	 c_decimal38_38列源备映射错误，源端为decimal None位	期望更改为text	实际备端为decimal None位</t>
        </is>
      </c>
    </row>
    <row r="831">
      <c r="B831" t="inlineStr">
        <is>
          <t>NULL</t>
        </is>
      </c>
      <c r="C831" t="inlineStr">
        <is>
          <t>NULL</t>
        </is>
      </c>
      <c r="D831" t="inlineStr">
        <is>
          <t>NULL</t>
        </is>
      </c>
      <c r="E831" t="inlineStr">
        <is>
          <t>NULL</t>
        </is>
      </c>
      <c r="F831" t="inlineStr">
        <is>
          <t>NULL</t>
        </is>
      </c>
      <c r="G831" t="inlineStr">
        <is>
          <t>NULL</t>
        </is>
      </c>
      <c r="H831" t="inlineStr">
        <is>
          <t>NULL</t>
        </is>
      </c>
      <c r="I831" t="inlineStr">
        <is>
          <t>NULL</t>
        </is>
      </c>
      <c r="J831" t="inlineStr">
        <is>
          <t>NULL</t>
        </is>
      </c>
      <c r="K831" t="inlineStr">
        <is>
          <t xml:space="preserve"> NO!  	 c_decimal38_10列源备映射错误，源端为decimal None位	期望更改为text	实际备端为decimal None位</t>
        </is>
      </c>
    </row>
    <row r="832">
      <c r="B832" t="inlineStr">
        <is>
          <t>NULL</t>
        </is>
      </c>
      <c r="C832" t="inlineStr">
        <is>
          <t>NULL</t>
        </is>
      </c>
      <c r="D832" t="inlineStr">
        <is>
          <t>NULL</t>
        </is>
      </c>
      <c r="E832" t="inlineStr">
        <is>
          <t>NULL</t>
        </is>
      </c>
      <c r="F832" t="inlineStr">
        <is>
          <t>NULL</t>
        </is>
      </c>
      <c r="G832" t="inlineStr">
        <is>
          <t>NULL</t>
        </is>
      </c>
      <c r="H832" t="inlineStr">
        <is>
          <t>NULL</t>
        </is>
      </c>
      <c r="I832" t="inlineStr">
        <is>
          <t>NULL</t>
        </is>
      </c>
      <c r="J832" t="inlineStr">
        <is>
          <t>NULL</t>
        </is>
      </c>
      <c r="K832" t="inlineStr">
        <is>
          <t xml:space="preserve"> NO!  	 c_decimal19_4列源备映射错误，源端为decimal None位	期望更改为text	实际备端为decimal None位</t>
        </is>
      </c>
    </row>
    <row r="833">
      <c r="B833" t="inlineStr">
        <is>
          <t>NULL</t>
        </is>
      </c>
      <c r="C833" t="inlineStr">
        <is>
          <t>NULL</t>
        </is>
      </c>
      <c r="D833" t="inlineStr">
        <is>
          <t>NULL</t>
        </is>
      </c>
      <c r="E833" t="inlineStr">
        <is>
          <t>NULL</t>
        </is>
      </c>
      <c r="F833" t="inlineStr">
        <is>
          <t>NULL</t>
        </is>
      </c>
      <c r="G833" t="inlineStr">
        <is>
          <t>NULL</t>
        </is>
      </c>
      <c r="H833" t="inlineStr">
        <is>
          <t>NULL</t>
        </is>
      </c>
      <c r="I833" t="inlineStr">
        <is>
          <t>NULL</t>
        </is>
      </c>
      <c r="J833" t="inlineStr">
        <is>
          <t>NULL</t>
        </is>
      </c>
      <c r="K833" t="inlineStr">
        <is>
          <t xml:space="preserve"> NO!  	 c_numeric列源备映射错误，源端为numeric None位	期望更改为text	实际备端为numeric None位</t>
        </is>
      </c>
    </row>
    <row r="834">
      <c r="B834" t="inlineStr">
        <is>
          <t>NULL</t>
        </is>
      </c>
      <c r="C834" t="inlineStr">
        <is>
          <t>NULL</t>
        </is>
      </c>
      <c r="D834" t="inlineStr">
        <is>
          <t>NULL</t>
        </is>
      </c>
      <c r="E834" t="inlineStr">
        <is>
          <t>NULL</t>
        </is>
      </c>
      <c r="F834" t="inlineStr">
        <is>
          <t>NULL</t>
        </is>
      </c>
      <c r="G834" t="inlineStr">
        <is>
          <t>NULL</t>
        </is>
      </c>
      <c r="H834" t="inlineStr">
        <is>
          <t>NULL</t>
        </is>
      </c>
      <c r="I834" t="inlineStr">
        <is>
          <t>NULL</t>
        </is>
      </c>
      <c r="J834" t="inlineStr">
        <is>
          <t>NULL</t>
        </is>
      </c>
      <c r="K834" t="inlineStr">
        <is>
          <t xml:space="preserve"> NO!  	 c_numeric38列源备映射错误，源端为numeric None位	期望更改为text	实际备端为numeric None位</t>
        </is>
      </c>
    </row>
    <row r="835">
      <c r="B835" t="inlineStr">
        <is>
          <t>NULL</t>
        </is>
      </c>
      <c r="C835" t="inlineStr">
        <is>
          <t>NULL</t>
        </is>
      </c>
      <c r="D835" t="inlineStr">
        <is>
          <t>NULL</t>
        </is>
      </c>
      <c r="E835" t="inlineStr">
        <is>
          <t>NULL</t>
        </is>
      </c>
      <c r="F835" t="inlineStr">
        <is>
          <t>NULL</t>
        </is>
      </c>
      <c r="G835" t="inlineStr">
        <is>
          <t>NULL</t>
        </is>
      </c>
      <c r="H835" t="inlineStr">
        <is>
          <t>NULL</t>
        </is>
      </c>
      <c r="I835" t="inlineStr">
        <is>
          <t>NULL</t>
        </is>
      </c>
      <c r="J835" t="inlineStr">
        <is>
          <t>NULL</t>
        </is>
      </c>
      <c r="K835" t="inlineStr">
        <is>
          <t xml:space="preserve"> NO!  	 c_numeric38_38列源备映射错误，源端为numeric None位	期望更改为text	实际备端为numeric None位</t>
        </is>
      </c>
    </row>
    <row r="836">
      <c r="B836" t="inlineStr">
        <is>
          <t>NULL</t>
        </is>
      </c>
      <c r="C836" t="inlineStr">
        <is>
          <t>NULL</t>
        </is>
      </c>
      <c r="D836" t="inlineStr">
        <is>
          <t>NULL</t>
        </is>
      </c>
      <c r="E836" t="inlineStr">
        <is>
          <t>NULL</t>
        </is>
      </c>
      <c r="F836" t="inlineStr">
        <is>
          <t>NULL</t>
        </is>
      </c>
      <c r="G836" t="inlineStr">
        <is>
          <t>NULL</t>
        </is>
      </c>
      <c r="H836" t="inlineStr">
        <is>
          <t>NULL</t>
        </is>
      </c>
      <c r="I836" t="inlineStr">
        <is>
          <t>NULL</t>
        </is>
      </c>
      <c r="J836" t="inlineStr">
        <is>
          <t>NULL</t>
        </is>
      </c>
      <c r="K836" t="inlineStr">
        <is>
          <t xml:space="preserve"> NO!  	 c_numeric38_10列源备映射错误，源端为numeric None位	期望更改为text	实际备端为numeric None位</t>
        </is>
      </c>
    </row>
    <row r="837">
      <c r="B837" t="inlineStr">
        <is>
          <t>NULL</t>
        </is>
      </c>
      <c r="C837" t="inlineStr">
        <is>
          <t>NULL</t>
        </is>
      </c>
      <c r="D837" t="inlineStr">
        <is>
          <t>NULL</t>
        </is>
      </c>
      <c r="E837" t="inlineStr">
        <is>
          <t>NULL</t>
        </is>
      </c>
      <c r="F837" t="inlineStr">
        <is>
          <t>NULL</t>
        </is>
      </c>
      <c r="G837" t="inlineStr">
        <is>
          <t>NULL</t>
        </is>
      </c>
      <c r="H837" t="inlineStr">
        <is>
          <t>NULL</t>
        </is>
      </c>
      <c r="I837" t="inlineStr">
        <is>
          <t>NULL</t>
        </is>
      </c>
      <c r="J837" t="inlineStr">
        <is>
          <t>NULL</t>
        </is>
      </c>
      <c r="K837" t="inlineStr">
        <is>
          <t xml:space="preserve"> NO!  	 c_numeric18_2列源备映射错误，源端为numeric None位	期望更改为text	实际备端为numeric None位</t>
        </is>
      </c>
    </row>
    <row r="838">
      <c r="B838" t="inlineStr">
        <is>
          <t>NULL</t>
        </is>
      </c>
      <c r="C838" t="inlineStr">
        <is>
          <t>NULL</t>
        </is>
      </c>
      <c r="D838" t="inlineStr">
        <is>
          <t>NULL</t>
        </is>
      </c>
      <c r="E838" t="inlineStr">
        <is>
          <t>NULL</t>
        </is>
      </c>
      <c r="F838" t="inlineStr">
        <is>
          <t>NULL</t>
        </is>
      </c>
      <c r="G838" t="inlineStr">
        <is>
          <t>NULL</t>
        </is>
      </c>
      <c r="H838" t="inlineStr">
        <is>
          <t>NULL</t>
        </is>
      </c>
      <c r="I838" t="inlineStr">
        <is>
          <t>NULL</t>
        </is>
      </c>
      <c r="J838" t="inlineStr">
        <is>
          <t>NULL</t>
        </is>
      </c>
      <c r="K838" t="inlineStr">
        <is>
          <t xml:space="preserve"> NO!  	 c_float列源备映射错误，源端为float None位	期望更改为text	实际备端为float None位</t>
        </is>
      </c>
    </row>
    <row r="839">
      <c r="B839" t="inlineStr">
        <is>
          <t>NULL</t>
        </is>
      </c>
      <c r="C839" t="inlineStr">
        <is>
          <t>NULL</t>
        </is>
      </c>
      <c r="D839" t="inlineStr">
        <is>
          <t>NULL</t>
        </is>
      </c>
      <c r="E839" t="inlineStr">
        <is>
          <t>NULL</t>
        </is>
      </c>
      <c r="F839" t="inlineStr">
        <is>
          <t>NULL</t>
        </is>
      </c>
      <c r="G839" t="inlineStr">
        <is>
          <t>NULL</t>
        </is>
      </c>
      <c r="H839" t="inlineStr">
        <is>
          <t>NULL</t>
        </is>
      </c>
      <c r="I839" t="inlineStr">
        <is>
          <t>NULL</t>
        </is>
      </c>
      <c r="J839" t="inlineStr">
        <is>
          <t>NULL</t>
        </is>
      </c>
      <c r="K839" t="inlineStr">
        <is>
          <t xml:space="preserve"> NO!  	 c_real列源备映射错误，源端为real None位	期望更改为text	实际备端为real None位</t>
        </is>
      </c>
    </row>
    <row r="840">
      <c r="B840" t="inlineStr">
        <is>
          <t>NULL</t>
        </is>
      </c>
      <c r="C840" t="inlineStr">
        <is>
          <t>NULL</t>
        </is>
      </c>
      <c r="D840" t="inlineStr">
        <is>
          <t>NULL</t>
        </is>
      </c>
      <c r="E840" t="inlineStr">
        <is>
          <t>NULL</t>
        </is>
      </c>
      <c r="F840" t="inlineStr">
        <is>
          <t>NULL</t>
        </is>
      </c>
      <c r="G840" t="inlineStr">
        <is>
          <t>NULL</t>
        </is>
      </c>
      <c r="H840" t="inlineStr">
        <is>
          <t>NULL</t>
        </is>
      </c>
      <c r="I840" t="inlineStr">
        <is>
          <t>NULL</t>
        </is>
      </c>
      <c r="J840" t="inlineStr">
        <is>
          <t>NULL</t>
        </is>
      </c>
      <c r="K840" t="inlineStr">
        <is>
          <t xml:space="preserve"> NO!  	 c_money列源备映射错误，源端为money None位	期望更改为text	实际备端为money None位</t>
        </is>
      </c>
    </row>
    <row r="841">
      <c r="B841" t="inlineStr">
        <is>
          <t>NULL</t>
        </is>
      </c>
      <c r="C841" t="inlineStr">
        <is>
          <t>NULL</t>
        </is>
      </c>
      <c r="D841" t="inlineStr">
        <is>
          <t>NULL</t>
        </is>
      </c>
      <c r="E841" t="inlineStr">
        <is>
          <t>NULL</t>
        </is>
      </c>
      <c r="F841" t="inlineStr">
        <is>
          <t>NULL</t>
        </is>
      </c>
      <c r="G841" t="inlineStr">
        <is>
          <t>NULL</t>
        </is>
      </c>
      <c r="H841" t="inlineStr">
        <is>
          <t>NULL</t>
        </is>
      </c>
      <c r="I841" t="inlineStr">
        <is>
          <t>NULL</t>
        </is>
      </c>
      <c r="J841" t="inlineStr">
        <is>
          <t>NULL</t>
        </is>
      </c>
      <c r="K841" t="inlineStr">
        <is>
          <t xml:space="preserve"> NO!  	 c_smallmoney列源备映射错误，源端为smallmoney None位	期望更改为text	实际备端为smallmoney None位</t>
        </is>
      </c>
    </row>
    <row r="842">
      <c r="B842" t="inlineStr">
        <is>
          <t>NULL</t>
        </is>
      </c>
      <c r="C842" t="inlineStr">
        <is>
          <t>NULL</t>
        </is>
      </c>
      <c r="D842" t="inlineStr">
        <is>
          <t>NULL</t>
        </is>
      </c>
      <c r="E842" t="inlineStr">
        <is>
          <t>NULL</t>
        </is>
      </c>
      <c r="F842" t="inlineStr">
        <is>
          <t>NULL</t>
        </is>
      </c>
      <c r="G842" t="inlineStr">
        <is>
          <t>NULL</t>
        </is>
      </c>
      <c r="H842" t="inlineStr">
        <is>
          <t>NULL</t>
        </is>
      </c>
      <c r="I842" t="inlineStr">
        <is>
          <t>NULL</t>
        </is>
      </c>
      <c r="J842" t="inlineStr">
        <is>
          <t>NULL</t>
        </is>
      </c>
      <c r="K842" t="inlineStr">
        <is>
          <t xml:space="preserve"> NO!  	 c_bit列源备映射错误，源端为bit None位	期望更改为text	实际备端为bit None位</t>
        </is>
      </c>
    </row>
    <row r="843">
      <c r="A843" t="inlineStr">
        <is>
          <t>info_varcharmax_dml_single_pk_drp</t>
        </is>
      </c>
      <c r="K843" t="inlineStr">
        <is>
          <t>[0;34m info_varcharmax_dml_single_pk_drp [0m源备字段数相同，源端字段：3 	备端字段3</t>
        </is>
      </c>
      <c r="W843" t="inlineStr">
        <is>
          <t>YES 源备无差异</t>
        </is>
      </c>
      <c r="X843">
        <f>A843</f>
        <v/>
      </c>
    </row>
    <row r="844">
      <c r="B844" t="inlineStr">
        <is>
          <t>YES</t>
        </is>
      </c>
      <c r="C844" t="inlineStr">
        <is>
          <t>NULL</t>
        </is>
      </c>
      <c r="D844" t="inlineStr">
        <is>
          <t>NULL</t>
        </is>
      </c>
      <c r="E844" t="inlineStr">
        <is>
          <t>NULL</t>
        </is>
      </c>
      <c r="F844" t="inlineStr">
        <is>
          <t>NULL</t>
        </is>
      </c>
      <c r="G844" t="inlineStr">
        <is>
          <t>NULL</t>
        </is>
      </c>
      <c r="H844" t="inlineStr">
        <is>
          <t>NULL</t>
        </is>
      </c>
      <c r="I844" t="inlineStr">
        <is>
          <t>YES!PK__info_var__3213E83F1C181C43</t>
        </is>
      </c>
      <c r="J844" t="inlineStr">
        <is>
          <t>YES! 主键相关索引</t>
        </is>
      </c>
      <c r="K844" t="inlineStr">
        <is>
          <t xml:space="preserve"> NO!  	 id列源备映射错误，源端为int None位	期望更改为text	实际备端为int None位</t>
        </is>
      </c>
    </row>
    <row r="845">
      <c r="B845" t="inlineStr">
        <is>
          <t>NULL</t>
        </is>
      </c>
      <c r="C845" t="inlineStr">
        <is>
          <t>NULL</t>
        </is>
      </c>
      <c r="D845" t="inlineStr">
        <is>
          <t>NULL</t>
        </is>
      </c>
      <c r="E845" t="inlineStr">
        <is>
          <t>NULL</t>
        </is>
      </c>
      <c r="F845" t="inlineStr">
        <is>
          <t>NULL</t>
        </is>
      </c>
      <c r="G845" t="inlineStr">
        <is>
          <t>NULL</t>
        </is>
      </c>
      <c r="H845" t="inlineStr">
        <is>
          <t>NULL</t>
        </is>
      </c>
      <c r="I845" t="inlineStr">
        <is>
          <t>NULL</t>
        </is>
      </c>
      <c r="J845" t="inlineStr">
        <is>
          <t>NULL</t>
        </is>
      </c>
      <c r="K845" t="inlineStr">
        <is>
          <t xml:space="preserve"> NO!  	 c_varchar_max列源备映射错误，源端为varchar -1位	期望更改为text	实际备端为varchar -1位</t>
        </is>
      </c>
    </row>
    <row r="846">
      <c r="B846" t="inlineStr">
        <is>
          <t>NULL</t>
        </is>
      </c>
      <c r="C846" t="inlineStr">
        <is>
          <t>NULL</t>
        </is>
      </c>
      <c r="D846" t="inlineStr">
        <is>
          <t>NULL</t>
        </is>
      </c>
      <c r="E846" t="inlineStr">
        <is>
          <t>NULL</t>
        </is>
      </c>
      <c r="F846" t="inlineStr">
        <is>
          <t>NULL</t>
        </is>
      </c>
      <c r="G846" t="inlineStr">
        <is>
          <t>NULL</t>
        </is>
      </c>
      <c r="H846" t="inlineStr">
        <is>
          <t>NULL</t>
        </is>
      </c>
      <c r="I846" t="inlineStr">
        <is>
          <t>NULL</t>
        </is>
      </c>
      <c r="J846" t="inlineStr">
        <is>
          <t>NULL</t>
        </is>
      </c>
      <c r="K846" t="inlineStr">
        <is>
          <t xml:space="preserve"> NO!  	 c_nvarchar_max列源备映射错误，源端为nvarchar -1位	期望更改为text	实际备端为nvarchar -1位</t>
        </is>
      </c>
    </row>
    <row r="847">
      <c r="A847" t="inlineStr">
        <is>
          <t>info_int_dml_single_pk</t>
        </is>
      </c>
      <c r="K847" t="inlineStr">
        <is>
          <t>[0;34m info_int_dml_single_pk [0m源备字段数相同，源端字段：20 	备端字段20</t>
        </is>
      </c>
      <c r="W847" t="inlineStr">
        <is>
          <t>YES 源备无差异</t>
        </is>
      </c>
      <c r="X847">
        <f>A847</f>
        <v/>
      </c>
    </row>
    <row r="848">
      <c r="B848" t="inlineStr">
        <is>
          <t>YES</t>
        </is>
      </c>
      <c r="C848" t="inlineStr">
        <is>
          <t>NULL</t>
        </is>
      </c>
      <c r="D848" t="inlineStr">
        <is>
          <t>NULL</t>
        </is>
      </c>
      <c r="E848" t="inlineStr">
        <is>
          <t>NULL</t>
        </is>
      </c>
      <c r="F848" t="inlineStr">
        <is>
          <t>NULL</t>
        </is>
      </c>
      <c r="G848" t="inlineStr">
        <is>
          <t>NULL</t>
        </is>
      </c>
      <c r="H848" t="inlineStr">
        <is>
          <t>NULL</t>
        </is>
      </c>
      <c r="I848" t="inlineStr">
        <is>
          <t>YES!PK__info_int__3213E83F941F9E09</t>
        </is>
      </c>
      <c r="J848" t="inlineStr">
        <is>
          <t>YES! 主键相关索引</t>
        </is>
      </c>
      <c r="K848" t="inlineStr">
        <is>
          <t xml:space="preserve"> NO!  	 id列源备映射错误，源端为int None位	期望更改为text	实际备端为int None位</t>
        </is>
      </c>
    </row>
    <row r="849">
      <c r="B849" t="inlineStr">
        <is>
          <t>NULL</t>
        </is>
      </c>
      <c r="C849" t="inlineStr">
        <is>
          <t>NULL</t>
        </is>
      </c>
      <c r="D849" t="inlineStr">
        <is>
          <t>NULL</t>
        </is>
      </c>
      <c r="E849" t="inlineStr">
        <is>
          <t>NULL</t>
        </is>
      </c>
      <c r="F849" t="inlineStr">
        <is>
          <t>NULL</t>
        </is>
      </c>
      <c r="G849" t="inlineStr">
        <is>
          <t>NULL</t>
        </is>
      </c>
      <c r="H849" t="inlineStr">
        <is>
          <t>NULL</t>
        </is>
      </c>
      <c r="I849" t="inlineStr">
        <is>
          <t>NULL</t>
        </is>
      </c>
      <c r="J849" t="inlineStr">
        <is>
          <t>NULL</t>
        </is>
      </c>
      <c r="K849" t="inlineStr">
        <is>
          <t xml:space="preserve"> NO!  	 c_tinyint列源备映射错误，源端为tinyint None位	期望更改为text	实际备端为tinyint None位</t>
        </is>
      </c>
    </row>
    <row r="850">
      <c r="B850" t="inlineStr">
        <is>
          <t>NULL</t>
        </is>
      </c>
      <c r="C850" t="inlineStr">
        <is>
          <t>NULL</t>
        </is>
      </c>
      <c r="D850" t="inlineStr">
        <is>
          <t>NULL</t>
        </is>
      </c>
      <c r="E850" t="inlineStr">
        <is>
          <t>NULL</t>
        </is>
      </c>
      <c r="F850" t="inlineStr">
        <is>
          <t>NULL</t>
        </is>
      </c>
      <c r="G850" t="inlineStr">
        <is>
          <t>NULL</t>
        </is>
      </c>
      <c r="H850" t="inlineStr">
        <is>
          <t>NULL</t>
        </is>
      </c>
      <c r="I850" t="inlineStr">
        <is>
          <t>NULL</t>
        </is>
      </c>
      <c r="J850" t="inlineStr">
        <is>
          <t>NULL</t>
        </is>
      </c>
      <c r="K850" t="inlineStr">
        <is>
          <t xml:space="preserve"> NO!  	 c_smallint列源备映射错误，源端为smallint None位	期望更改为text	实际备端为smallint None位</t>
        </is>
      </c>
    </row>
    <row r="851">
      <c r="B851" t="inlineStr">
        <is>
          <t>NULL</t>
        </is>
      </c>
      <c r="C851" t="inlineStr">
        <is>
          <t>NULL</t>
        </is>
      </c>
      <c r="D851" t="inlineStr">
        <is>
          <t>NULL</t>
        </is>
      </c>
      <c r="E851" t="inlineStr">
        <is>
          <t>NULL</t>
        </is>
      </c>
      <c r="F851" t="inlineStr">
        <is>
          <t>NULL</t>
        </is>
      </c>
      <c r="G851" t="inlineStr">
        <is>
          <t>NULL</t>
        </is>
      </c>
      <c r="H851" t="inlineStr">
        <is>
          <t>NULL</t>
        </is>
      </c>
      <c r="I851" t="inlineStr">
        <is>
          <t>NULL</t>
        </is>
      </c>
      <c r="J851" t="inlineStr">
        <is>
          <t>NULL</t>
        </is>
      </c>
      <c r="K851" t="inlineStr">
        <is>
          <t xml:space="preserve"> NO!  	 c_int列源备映射错误，源端为int None位	期望更改为text	实际备端为int None位</t>
        </is>
      </c>
    </row>
    <row r="852">
      <c r="B852" t="inlineStr">
        <is>
          <t>NULL</t>
        </is>
      </c>
      <c r="C852" t="inlineStr">
        <is>
          <t>NULL</t>
        </is>
      </c>
      <c r="D852" t="inlineStr">
        <is>
          <t>NULL</t>
        </is>
      </c>
      <c r="E852" t="inlineStr">
        <is>
          <t>NULL</t>
        </is>
      </c>
      <c r="F852" t="inlineStr">
        <is>
          <t>NULL</t>
        </is>
      </c>
      <c r="G852" t="inlineStr">
        <is>
          <t>NULL</t>
        </is>
      </c>
      <c r="H852" t="inlineStr">
        <is>
          <t>NULL</t>
        </is>
      </c>
      <c r="I852" t="inlineStr">
        <is>
          <t>NULL</t>
        </is>
      </c>
      <c r="J852" t="inlineStr">
        <is>
          <t>NULL</t>
        </is>
      </c>
      <c r="K852" t="inlineStr">
        <is>
          <t xml:space="preserve"> NO!  	 c_bigint列源备映射错误，源端为bigint None位	期望更改为text	实际备端为bigint None位</t>
        </is>
      </c>
    </row>
    <row r="853">
      <c r="B853" t="inlineStr">
        <is>
          <t>NULL</t>
        </is>
      </c>
      <c r="C853" t="inlineStr">
        <is>
          <t>NULL</t>
        </is>
      </c>
      <c r="D853" t="inlineStr">
        <is>
          <t>NULL</t>
        </is>
      </c>
      <c r="E853" t="inlineStr">
        <is>
          <t>NULL</t>
        </is>
      </c>
      <c r="F853" t="inlineStr">
        <is>
          <t>NULL</t>
        </is>
      </c>
      <c r="G853" t="inlineStr">
        <is>
          <t>NULL</t>
        </is>
      </c>
      <c r="H853" t="inlineStr">
        <is>
          <t>NULL</t>
        </is>
      </c>
      <c r="I853" t="inlineStr">
        <is>
          <t>NULL</t>
        </is>
      </c>
      <c r="J853" t="inlineStr">
        <is>
          <t>NULL</t>
        </is>
      </c>
      <c r="K853" t="inlineStr">
        <is>
          <t xml:space="preserve"> NO!  	 c_decimal列源备映射错误，源端为decimal None位	期望更改为text	实际备端为decimal None位</t>
        </is>
      </c>
    </row>
    <row r="854">
      <c r="B854" t="inlineStr">
        <is>
          <t>NULL</t>
        </is>
      </c>
      <c r="C854" t="inlineStr">
        <is>
          <t>NULL</t>
        </is>
      </c>
      <c r="D854" t="inlineStr">
        <is>
          <t>NULL</t>
        </is>
      </c>
      <c r="E854" t="inlineStr">
        <is>
          <t>NULL</t>
        </is>
      </c>
      <c r="F854" t="inlineStr">
        <is>
          <t>NULL</t>
        </is>
      </c>
      <c r="G854" t="inlineStr">
        <is>
          <t>NULL</t>
        </is>
      </c>
      <c r="H854" t="inlineStr">
        <is>
          <t>NULL</t>
        </is>
      </c>
      <c r="I854" t="inlineStr">
        <is>
          <t>NULL</t>
        </is>
      </c>
      <c r="J854" t="inlineStr">
        <is>
          <t>NULL</t>
        </is>
      </c>
      <c r="K854" t="inlineStr">
        <is>
          <t xml:space="preserve"> NO!  	 c_decimal38列源备映射错误，源端为decimal None位	期望更改为text	实际备端为decimal None位</t>
        </is>
      </c>
    </row>
    <row r="855">
      <c r="B855" t="inlineStr">
        <is>
          <t>NULL</t>
        </is>
      </c>
      <c r="C855" t="inlineStr">
        <is>
          <t>NULL</t>
        </is>
      </c>
      <c r="D855" t="inlineStr">
        <is>
          <t>NULL</t>
        </is>
      </c>
      <c r="E855" t="inlineStr">
        <is>
          <t>NULL</t>
        </is>
      </c>
      <c r="F855" t="inlineStr">
        <is>
          <t>NULL</t>
        </is>
      </c>
      <c r="G855" t="inlineStr">
        <is>
          <t>NULL</t>
        </is>
      </c>
      <c r="H855" t="inlineStr">
        <is>
          <t>NULL</t>
        </is>
      </c>
      <c r="I855" t="inlineStr">
        <is>
          <t>NULL</t>
        </is>
      </c>
      <c r="J855" t="inlineStr">
        <is>
          <t>NULL</t>
        </is>
      </c>
      <c r="K855" t="inlineStr">
        <is>
          <t xml:space="preserve"> NO!  	 c_decimal38_38列源备映射错误，源端为decimal None位	期望更改为text	实际备端为decimal None位</t>
        </is>
      </c>
    </row>
    <row r="856">
      <c r="B856" t="inlineStr">
        <is>
          <t>NULL</t>
        </is>
      </c>
      <c r="C856" t="inlineStr">
        <is>
          <t>NULL</t>
        </is>
      </c>
      <c r="D856" t="inlineStr">
        <is>
          <t>NULL</t>
        </is>
      </c>
      <c r="E856" t="inlineStr">
        <is>
          <t>NULL</t>
        </is>
      </c>
      <c r="F856" t="inlineStr">
        <is>
          <t>NULL</t>
        </is>
      </c>
      <c r="G856" t="inlineStr">
        <is>
          <t>NULL</t>
        </is>
      </c>
      <c r="H856" t="inlineStr">
        <is>
          <t>NULL</t>
        </is>
      </c>
      <c r="I856" t="inlineStr">
        <is>
          <t>NULL</t>
        </is>
      </c>
      <c r="J856" t="inlineStr">
        <is>
          <t>NULL</t>
        </is>
      </c>
      <c r="K856" t="inlineStr">
        <is>
          <t xml:space="preserve"> NO!  	 c_decimal38_10列源备映射错误，源端为decimal None位	期望更改为text	实际备端为decimal None位</t>
        </is>
      </c>
    </row>
    <row r="857">
      <c r="B857" t="inlineStr">
        <is>
          <t>NULL</t>
        </is>
      </c>
      <c r="C857" t="inlineStr">
        <is>
          <t>NULL</t>
        </is>
      </c>
      <c r="D857" t="inlineStr">
        <is>
          <t>NULL</t>
        </is>
      </c>
      <c r="E857" t="inlineStr">
        <is>
          <t>NULL</t>
        </is>
      </c>
      <c r="F857" t="inlineStr">
        <is>
          <t>NULL</t>
        </is>
      </c>
      <c r="G857" t="inlineStr">
        <is>
          <t>NULL</t>
        </is>
      </c>
      <c r="H857" t="inlineStr">
        <is>
          <t>NULL</t>
        </is>
      </c>
      <c r="I857" t="inlineStr">
        <is>
          <t>NULL</t>
        </is>
      </c>
      <c r="J857" t="inlineStr">
        <is>
          <t>NULL</t>
        </is>
      </c>
      <c r="K857" t="inlineStr">
        <is>
          <t xml:space="preserve"> NO!  	 c_decimal19_4列源备映射错误，源端为decimal None位	期望更改为text	实际备端为decimal None位</t>
        </is>
      </c>
    </row>
    <row r="858">
      <c r="B858" t="inlineStr">
        <is>
          <t>NULL</t>
        </is>
      </c>
      <c r="C858" t="inlineStr">
        <is>
          <t>NULL</t>
        </is>
      </c>
      <c r="D858" t="inlineStr">
        <is>
          <t>NULL</t>
        </is>
      </c>
      <c r="E858" t="inlineStr">
        <is>
          <t>NULL</t>
        </is>
      </c>
      <c r="F858" t="inlineStr">
        <is>
          <t>NULL</t>
        </is>
      </c>
      <c r="G858" t="inlineStr">
        <is>
          <t>NULL</t>
        </is>
      </c>
      <c r="H858" t="inlineStr">
        <is>
          <t>NULL</t>
        </is>
      </c>
      <c r="I858" t="inlineStr">
        <is>
          <t>NULL</t>
        </is>
      </c>
      <c r="J858" t="inlineStr">
        <is>
          <t>NULL</t>
        </is>
      </c>
      <c r="K858" t="inlineStr">
        <is>
          <t xml:space="preserve"> NO!  	 c_numeric列源备映射错误，源端为numeric None位	期望更改为text	实际备端为numeric None位</t>
        </is>
      </c>
    </row>
    <row r="859">
      <c r="B859" t="inlineStr">
        <is>
          <t>NULL</t>
        </is>
      </c>
      <c r="C859" t="inlineStr">
        <is>
          <t>NULL</t>
        </is>
      </c>
      <c r="D859" t="inlineStr">
        <is>
          <t>NULL</t>
        </is>
      </c>
      <c r="E859" t="inlineStr">
        <is>
          <t>NULL</t>
        </is>
      </c>
      <c r="F859" t="inlineStr">
        <is>
          <t>NULL</t>
        </is>
      </c>
      <c r="G859" t="inlineStr">
        <is>
          <t>NULL</t>
        </is>
      </c>
      <c r="H859" t="inlineStr">
        <is>
          <t>NULL</t>
        </is>
      </c>
      <c r="I859" t="inlineStr">
        <is>
          <t>NULL</t>
        </is>
      </c>
      <c r="J859" t="inlineStr">
        <is>
          <t>NULL</t>
        </is>
      </c>
      <c r="K859" t="inlineStr">
        <is>
          <t xml:space="preserve"> NO!  	 c_numeric38列源备映射错误，源端为numeric None位	期望更改为text	实际备端为numeric None位</t>
        </is>
      </c>
    </row>
    <row r="860">
      <c r="B860" t="inlineStr">
        <is>
          <t>NULL</t>
        </is>
      </c>
      <c r="C860" t="inlineStr">
        <is>
          <t>NULL</t>
        </is>
      </c>
      <c r="D860" t="inlineStr">
        <is>
          <t>NULL</t>
        </is>
      </c>
      <c r="E860" t="inlineStr">
        <is>
          <t>NULL</t>
        </is>
      </c>
      <c r="F860" t="inlineStr">
        <is>
          <t>NULL</t>
        </is>
      </c>
      <c r="G860" t="inlineStr">
        <is>
          <t>NULL</t>
        </is>
      </c>
      <c r="H860" t="inlineStr">
        <is>
          <t>NULL</t>
        </is>
      </c>
      <c r="I860" t="inlineStr">
        <is>
          <t>NULL</t>
        </is>
      </c>
      <c r="J860" t="inlineStr">
        <is>
          <t>NULL</t>
        </is>
      </c>
      <c r="K860" t="inlineStr">
        <is>
          <t xml:space="preserve"> NO!  	 c_numeric38_38列源备映射错误，源端为numeric None位	期望更改为text	实际备端为numeric None位</t>
        </is>
      </c>
    </row>
    <row r="861">
      <c r="B861" t="inlineStr">
        <is>
          <t>NULL</t>
        </is>
      </c>
      <c r="C861" t="inlineStr">
        <is>
          <t>NULL</t>
        </is>
      </c>
      <c r="D861" t="inlineStr">
        <is>
          <t>NULL</t>
        </is>
      </c>
      <c r="E861" t="inlineStr">
        <is>
          <t>NULL</t>
        </is>
      </c>
      <c r="F861" t="inlineStr">
        <is>
          <t>NULL</t>
        </is>
      </c>
      <c r="G861" t="inlineStr">
        <is>
          <t>NULL</t>
        </is>
      </c>
      <c r="H861" t="inlineStr">
        <is>
          <t>NULL</t>
        </is>
      </c>
      <c r="I861" t="inlineStr">
        <is>
          <t>NULL</t>
        </is>
      </c>
      <c r="J861" t="inlineStr">
        <is>
          <t>NULL</t>
        </is>
      </c>
      <c r="K861" t="inlineStr">
        <is>
          <t xml:space="preserve"> NO!  	 c_numeric38_10列源备映射错误，源端为numeric None位	期望更改为text	实际备端为numeric None位</t>
        </is>
      </c>
    </row>
    <row r="862">
      <c r="B862" t="inlineStr">
        <is>
          <t>NULL</t>
        </is>
      </c>
      <c r="C862" t="inlineStr">
        <is>
          <t>NULL</t>
        </is>
      </c>
      <c r="D862" t="inlineStr">
        <is>
          <t>NULL</t>
        </is>
      </c>
      <c r="E862" t="inlineStr">
        <is>
          <t>NULL</t>
        </is>
      </c>
      <c r="F862" t="inlineStr">
        <is>
          <t>NULL</t>
        </is>
      </c>
      <c r="G862" t="inlineStr">
        <is>
          <t>NULL</t>
        </is>
      </c>
      <c r="H862" t="inlineStr">
        <is>
          <t>NULL</t>
        </is>
      </c>
      <c r="I862" t="inlineStr">
        <is>
          <t>NULL</t>
        </is>
      </c>
      <c r="J862" t="inlineStr">
        <is>
          <t>NULL</t>
        </is>
      </c>
      <c r="K862" t="inlineStr">
        <is>
          <t xml:space="preserve"> NO!  	 c_numeric18_2列源备映射错误，源端为numeric None位	期望更改为text	实际备端为numeric None位</t>
        </is>
      </c>
    </row>
    <row r="863">
      <c r="B863" t="inlineStr">
        <is>
          <t>NULL</t>
        </is>
      </c>
      <c r="C863" t="inlineStr">
        <is>
          <t>NULL</t>
        </is>
      </c>
      <c r="D863" t="inlineStr">
        <is>
          <t>NULL</t>
        </is>
      </c>
      <c r="E863" t="inlineStr">
        <is>
          <t>NULL</t>
        </is>
      </c>
      <c r="F863" t="inlineStr">
        <is>
          <t>NULL</t>
        </is>
      </c>
      <c r="G863" t="inlineStr">
        <is>
          <t>NULL</t>
        </is>
      </c>
      <c r="H863" t="inlineStr">
        <is>
          <t>NULL</t>
        </is>
      </c>
      <c r="I863" t="inlineStr">
        <is>
          <t>NULL</t>
        </is>
      </c>
      <c r="J863" t="inlineStr">
        <is>
          <t>NULL</t>
        </is>
      </c>
      <c r="K863" t="inlineStr">
        <is>
          <t xml:space="preserve"> NO!  	 c_float列源备映射错误，源端为float None位	期望更改为text	实际备端为float None位</t>
        </is>
      </c>
    </row>
    <row r="864">
      <c r="B864" t="inlineStr">
        <is>
          <t>NULL</t>
        </is>
      </c>
      <c r="C864" t="inlineStr">
        <is>
          <t>NULL</t>
        </is>
      </c>
      <c r="D864" t="inlineStr">
        <is>
          <t>NULL</t>
        </is>
      </c>
      <c r="E864" t="inlineStr">
        <is>
          <t>NULL</t>
        </is>
      </c>
      <c r="F864" t="inlineStr">
        <is>
          <t>NULL</t>
        </is>
      </c>
      <c r="G864" t="inlineStr">
        <is>
          <t>NULL</t>
        </is>
      </c>
      <c r="H864" t="inlineStr">
        <is>
          <t>NULL</t>
        </is>
      </c>
      <c r="I864" t="inlineStr">
        <is>
          <t>NULL</t>
        </is>
      </c>
      <c r="J864" t="inlineStr">
        <is>
          <t>NULL</t>
        </is>
      </c>
      <c r="K864" t="inlineStr">
        <is>
          <t xml:space="preserve"> NO!  	 c_real列源备映射错误，源端为real None位	期望更改为text	实际备端为real None位</t>
        </is>
      </c>
    </row>
    <row r="865">
      <c r="B865" t="inlineStr">
        <is>
          <t>NULL</t>
        </is>
      </c>
      <c r="C865" t="inlineStr">
        <is>
          <t>NULL</t>
        </is>
      </c>
      <c r="D865" t="inlineStr">
        <is>
          <t>NULL</t>
        </is>
      </c>
      <c r="E865" t="inlineStr">
        <is>
          <t>NULL</t>
        </is>
      </c>
      <c r="F865" t="inlineStr">
        <is>
          <t>NULL</t>
        </is>
      </c>
      <c r="G865" t="inlineStr">
        <is>
          <t>NULL</t>
        </is>
      </c>
      <c r="H865" t="inlineStr">
        <is>
          <t>NULL</t>
        </is>
      </c>
      <c r="I865" t="inlineStr">
        <is>
          <t>NULL</t>
        </is>
      </c>
      <c r="J865" t="inlineStr">
        <is>
          <t>NULL</t>
        </is>
      </c>
      <c r="K865" t="inlineStr">
        <is>
          <t xml:space="preserve"> NO!  	 c_money列源备映射错误，源端为money None位	期望更改为text	实际备端为money None位</t>
        </is>
      </c>
    </row>
    <row r="866">
      <c r="B866" t="inlineStr">
        <is>
          <t>NULL</t>
        </is>
      </c>
      <c r="C866" t="inlineStr">
        <is>
          <t>NULL</t>
        </is>
      </c>
      <c r="D866" t="inlineStr">
        <is>
          <t>NULL</t>
        </is>
      </c>
      <c r="E866" t="inlineStr">
        <is>
          <t>NULL</t>
        </is>
      </c>
      <c r="F866" t="inlineStr">
        <is>
          <t>NULL</t>
        </is>
      </c>
      <c r="G866" t="inlineStr">
        <is>
          <t>NULL</t>
        </is>
      </c>
      <c r="H866" t="inlineStr">
        <is>
          <t>NULL</t>
        </is>
      </c>
      <c r="I866" t="inlineStr">
        <is>
          <t>NULL</t>
        </is>
      </c>
      <c r="J866" t="inlineStr">
        <is>
          <t>NULL</t>
        </is>
      </c>
      <c r="K866" t="inlineStr">
        <is>
          <t xml:space="preserve"> NO!  	 c_smallmoney列源备映射错误，源端为smallmoney None位	期望更改为text	实际备端为smallmoney None位</t>
        </is>
      </c>
    </row>
    <row r="867">
      <c r="B867" t="inlineStr">
        <is>
          <t>NULL</t>
        </is>
      </c>
      <c r="C867" t="inlineStr">
        <is>
          <t>NULL</t>
        </is>
      </c>
      <c r="D867" t="inlineStr">
        <is>
          <t>NULL</t>
        </is>
      </c>
      <c r="E867" t="inlineStr">
        <is>
          <t>NULL</t>
        </is>
      </c>
      <c r="F867" t="inlineStr">
        <is>
          <t>NULL</t>
        </is>
      </c>
      <c r="G867" t="inlineStr">
        <is>
          <t>NULL</t>
        </is>
      </c>
      <c r="H867" t="inlineStr">
        <is>
          <t>NULL</t>
        </is>
      </c>
      <c r="I867" t="inlineStr">
        <is>
          <t>NULL</t>
        </is>
      </c>
      <c r="J867" t="inlineStr">
        <is>
          <t>NULL</t>
        </is>
      </c>
      <c r="K867" t="inlineStr">
        <is>
          <t xml:space="preserve"> NO!  	 c_bit列源备映射错误，源端为bit None位	期望更改为text	实际备端为bit None位</t>
        </is>
      </c>
    </row>
    <row r="868">
      <c r="A868" t="inlineStr">
        <is>
          <t>info_varcharmax_dml_batch1_pk_drp1</t>
        </is>
      </c>
      <c r="K868" t="inlineStr">
        <is>
          <t>[0;34m info_varcharmax_dml_batch1_pk_drp1 [0m源备字段数相同，源端字段：3 	备端字段3</t>
        </is>
      </c>
      <c r="W868" t="inlineStr">
        <is>
          <t>YES 源备无差异</t>
        </is>
      </c>
      <c r="X868">
        <f>A868</f>
        <v/>
      </c>
    </row>
    <row r="869">
      <c r="B869" t="inlineStr">
        <is>
          <t>YES</t>
        </is>
      </c>
      <c r="C869" t="inlineStr">
        <is>
          <t>NULL</t>
        </is>
      </c>
      <c r="D869" t="inlineStr">
        <is>
          <t>NULL</t>
        </is>
      </c>
      <c r="E869" t="inlineStr">
        <is>
          <t>NULL</t>
        </is>
      </c>
      <c r="F869" t="inlineStr">
        <is>
          <t>NULL</t>
        </is>
      </c>
      <c r="G869" t="inlineStr">
        <is>
          <t>NULL</t>
        </is>
      </c>
      <c r="H869" t="inlineStr">
        <is>
          <t>NULL</t>
        </is>
      </c>
      <c r="I869" t="inlineStr">
        <is>
          <t>YES!PK__info_var__3213E83F55AE15E6</t>
        </is>
      </c>
      <c r="J869" t="inlineStr">
        <is>
          <t>YES! 主键相关索引</t>
        </is>
      </c>
      <c r="K869" t="inlineStr">
        <is>
          <t xml:space="preserve"> NO!  	 id列源备映射错误，源端为int None位	期望更改为text	实际备端为int None位</t>
        </is>
      </c>
    </row>
    <row r="870">
      <c r="B870" t="inlineStr">
        <is>
          <t>NULL</t>
        </is>
      </c>
      <c r="C870" t="inlineStr">
        <is>
          <t>NULL</t>
        </is>
      </c>
      <c r="D870" t="inlineStr">
        <is>
          <t>NULL</t>
        </is>
      </c>
      <c r="E870" t="inlineStr">
        <is>
          <t>NULL</t>
        </is>
      </c>
      <c r="F870" t="inlineStr">
        <is>
          <t>NULL</t>
        </is>
      </c>
      <c r="G870" t="inlineStr">
        <is>
          <t>NULL</t>
        </is>
      </c>
      <c r="H870" t="inlineStr">
        <is>
          <t>NULL</t>
        </is>
      </c>
      <c r="I870" t="inlineStr">
        <is>
          <t>NULL</t>
        </is>
      </c>
      <c r="J870" t="inlineStr">
        <is>
          <t>NULL</t>
        </is>
      </c>
      <c r="K870" t="inlineStr">
        <is>
          <t xml:space="preserve"> NO!  	 c_varchar_max列源备映射错误，源端为varchar -1位	期望更改为text	实际备端为varchar -1位</t>
        </is>
      </c>
    </row>
    <row r="871">
      <c r="B871" t="inlineStr">
        <is>
          <t>NULL</t>
        </is>
      </c>
      <c r="C871" t="inlineStr">
        <is>
          <t>NULL</t>
        </is>
      </c>
      <c r="D871" t="inlineStr">
        <is>
          <t>NULL</t>
        </is>
      </c>
      <c r="E871" t="inlineStr">
        <is>
          <t>NULL</t>
        </is>
      </c>
      <c r="F871" t="inlineStr">
        <is>
          <t>NULL</t>
        </is>
      </c>
      <c r="G871" t="inlineStr">
        <is>
          <t>NULL</t>
        </is>
      </c>
      <c r="H871" t="inlineStr">
        <is>
          <t>NULL</t>
        </is>
      </c>
      <c r="I871" t="inlineStr">
        <is>
          <t>NULL</t>
        </is>
      </c>
      <c r="J871" t="inlineStr">
        <is>
          <t>NULL</t>
        </is>
      </c>
      <c r="K871" t="inlineStr">
        <is>
          <t xml:space="preserve"> NO!  	 c_nvarchar_max列源备映射错误，源端为nvarchar -1位	期望更改为text	实际备端为nvarchar -1位</t>
        </is>
      </c>
    </row>
    <row r="872">
      <c r="K872" t="inlineStr">
        <is>
          <t>~ 空表</t>
        </is>
      </c>
    </row>
    <row r="873">
      <c r="A873" t="inlineStr">
        <is>
          <t>info_timestamp_dml_single_pk_irp</t>
        </is>
      </c>
      <c r="K873" t="inlineStr">
        <is>
          <t>[0;34m info_timestamp_dml_single_pk_irp [0m源备字段数相同，源端字段：2 	备端字段2</t>
        </is>
      </c>
      <c r="W873" s="17">
        <f>HYPERLINK("#2026041919hbase0!CX2","NO 源备存在差异，共2个")</f>
        <v/>
      </c>
      <c r="X873">
        <f>A873</f>
        <v/>
      </c>
    </row>
    <row r="874">
      <c r="B874" t="inlineStr">
        <is>
          <t>YES</t>
        </is>
      </c>
      <c r="C874" t="inlineStr">
        <is>
          <t>NULL</t>
        </is>
      </c>
      <c r="D874" t="inlineStr">
        <is>
          <t>NULL</t>
        </is>
      </c>
      <c r="E874" t="inlineStr">
        <is>
          <t>NULL</t>
        </is>
      </c>
      <c r="F874" t="inlineStr">
        <is>
          <t>NULL</t>
        </is>
      </c>
      <c r="G874" t="inlineStr">
        <is>
          <t>NULL</t>
        </is>
      </c>
      <c r="H874" t="inlineStr">
        <is>
          <t>NULL</t>
        </is>
      </c>
      <c r="I874" t="inlineStr">
        <is>
          <t>YES!PK__info_tim__3213E83F74F53693</t>
        </is>
      </c>
      <c r="J874" t="inlineStr">
        <is>
          <t>YES! 主键相关索引</t>
        </is>
      </c>
      <c r="K874" t="inlineStr">
        <is>
          <t xml:space="preserve"> NO!  	 id列源备映射错误，源端为int None位	期望更改为text	实际备端为int None位</t>
        </is>
      </c>
    </row>
    <row r="875">
      <c r="B875" t="inlineStr">
        <is>
          <t>NULL</t>
        </is>
      </c>
      <c r="C875" t="inlineStr">
        <is>
          <t>NULL</t>
        </is>
      </c>
      <c r="D875" t="inlineStr">
        <is>
          <t>NULL</t>
        </is>
      </c>
      <c r="E875" t="inlineStr">
        <is>
          <t>NULL</t>
        </is>
      </c>
      <c r="F875" t="inlineStr">
        <is>
          <t>NULL</t>
        </is>
      </c>
      <c r="G875" t="inlineStr">
        <is>
          <t>NULL</t>
        </is>
      </c>
      <c r="H875" t="inlineStr">
        <is>
          <t>NULL</t>
        </is>
      </c>
      <c r="I875" t="inlineStr">
        <is>
          <t>NULL</t>
        </is>
      </c>
      <c r="J875" t="inlineStr">
        <is>
          <t>NULL</t>
        </is>
      </c>
      <c r="K875" t="inlineStr">
        <is>
          <t xml:space="preserve"> NO!  	 c_tiemstamp列源备映射错误，源端为timestamp None位	期望更改为text	实际备端为timestamp None位</t>
        </is>
      </c>
    </row>
    <row r="876">
      <c r="A876" t="inlineStr">
        <is>
          <t>info_varcharmax_dml_batch1_pk_drp2</t>
        </is>
      </c>
      <c r="K876" t="inlineStr">
        <is>
          <t>[0;34m info_varcharmax_dml_batch1_pk_drp2 [0m源备字段数相同，源端字段：3 	备端字段3</t>
        </is>
      </c>
      <c r="W876" t="inlineStr">
        <is>
          <t>YES 源备无差异</t>
        </is>
      </c>
      <c r="X876">
        <f>A876</f>
        <v/>
      </c>
    </row>
    <row r="877">
      <c r="B877" t="inlineStr">
        <is>
          <t>YES</t>
        </is>
      </c>
      <c r="C877" t="inlineStr">
        <is>
          <t>NULL</t>
        </is>
      </c>
      <c r="D877" t="inlineStr">
        <is>
          <t>NULL</t>
        </is>
      </c>
      <c r="E877" t="inlineStr">
        <is>
          <t>NULL</t>
        </is>
      </c>
      <c r="F877" t="inlineStr">
        <is>
          <t>NULL</t>
        </is>
      </c>
      <c r="G877" t="inlineStr">
        <is>
          <t>NULL</t>
        </is>
      </c>
      <c r="H877" t="inlineStr">
        <is>
          <t>NULL</t>
        </is>
      </c>
      <c r="I877" t="inlineStr">
        <is>
          <t>YES!PK__info_var__3213E83FE60B3A59</t>
        </is>
      </c>
      <c r="J877" t="inlineStr">
        <is>
          <t>YES! 主键相关索引</t>
        </is>
      </c>
      <c r="K877" t="inlineStr">
        <is>
          <t xml:space="preserve"> NO!  	 id列源备映射错误，源端为int None位	期望更改为text	实际备端为int None位</t>
        </is>
      </c>
    </row>
    <row r="878">
      <c r="B878" t="inlineStr">
        <is>
          <t>NULL</t>
        </is>
      </c>
      <c r="C878" t="inlineStr">
        <is>
          <t>NULL</t>
        </is>
      </c>
      <c r="D878" t="inlineStr">
        <is>
          <t>NULL</t>
        </is>
      </c>
      <c r="E878" t="inlineStr">
        <is>
          <t>NULL</t>
        </is>
      </c>
      <c r="F878" t="inlineStr">
        <is>
          <t>NULL</t>
        </is>
      </c>
      <c r="G878" t="inlineStr">
        <is>
          <t>NULL</t>
        </is>
      </c>
      <c r="H878" t="inlineStr">
        <is>
          <t>NULL</t>
        </is>
      </c>
      <c r="I878" t="inlineStr">
        <is>
          <t>NULL</t>
        </is>
      </c>
      <c r="J878" t="inlineStr">
        <is>
          <t>NULL</t>
        </is>
      </c>
      <c r="K878" t="inlineStr">
        <is>
          <t xml:space="preserve"> NO!  	 c_varchar_max列源备映射错误，源端为varchar -1位	期望更改为text	实际备端为varchar -1位</t>
        </is>
      </c>
    </row>
    <row r="879">
      <c r="B879" t="inlineStr">
        <is>
          <t>NULL</t>
        </is>
      </c>
      <c r="C879" t="inlineStr">
        <is>
          <t>NULL</t>
        </is>
      </c>
      <c r="D879" t="inlineStr">
        <is>
          <t>NULL</t>
        </is>
      </c>
      <c r="E879" t="inlineStr">
        <is>
          <t>NULL</t>
        </is>
      </c>
      <c r="F879" t="inlineStr">
        <is>
          <t>NULL</t>
        </is>
      </c>
      <c r="G879" t="inlineStr">
        <is>
          <t>NULL</t>
        </is>
      </c>
      <c r="H879" t="inlineStr">
        <is>
          <t>NULL</t>
        </is>
      </c>
      <c r="I879" t="inlineStr">
        <is>
          <t>NULL</t>
        </is>
      </c>
      <c r="J879" t="inlineStr">
        <is>
          <t>NULL</t>
        </is>
      </c>
      <c r="K879" t="inlineStr">
        <is>
          <t xml:space="preserve"> NO!  	 c_nvarchar_max列源备映射错误，源端为nvarchar -1位	期望更改为text	实际备端为nvarchar -1位</t>
        </is>
      </c>
    </row>
    <row r="880">
      <c r="K880" t="inlineStr">
        <is>
          <t>~ 空表</t>
        </is>
      </c>
    </row>
    <row r="881">
      <c r="A881" t="inlineStr">
        <is>
          <t>info_char_dml_single_pk_urp</t>
        </is>
      </c>
      <c r="K881" t="inlineStr">
        <is>
          <t>[0;34m info_char_dml_single_pk_urp [0m源备字段数相同，源端字段：4 	备端字段4</t>
        </is>
      </c>
      <c r="W881" s="17">
        <f>HYPERLINK("#2026041919hbase0!CY2","NO 源备存在差异，共4个")</f>
        <v/>
      </c>
      <c r="X881">
        <f>A881</f>
        <v/>
      </c>
    </row>
    <row r="882">
      <c r="B882" t="inlineStr">
        <is>
          <t>YES</t>
        </is>
      </c>
      <c r="C882" t="inlineStr">
        <is>
          <t>NULL</t>
        </is>
      </c>
      <c r="D882" t="inlineStr">
        <is>
          <t>NULL</t>
        </is>
      </c>
      <c r="E882" t="inlineStr">
        <is>
          <t>NULL</t>
        </is>
      </c>
      <c r="F882" t="inlineStr">
        <is>
          <t>NULL</t>
        </is>
      </c>
      <c r="G882" t="inlineStr">
        <is>
          <t>NULL</t>
        </is>
      </c>
      <c r="H882" t="inlineStr">
        <is>
          <t>NULL</t>
        </is>
      </c>
      <c r="I882" t="inlineStr">
        <is>
          <t>YES!PK__info_cha__3213E83FE8B4749D</t>
        </is>
      </c>
      <c r="J882" t="inlineStr">
        <is>
          <t>YES! 主键相关索引</t>
        </is>
      </c>
      <c r="K882" t="inlineStr">
        <is>
          <t xml:space="preserve"> NO!  	 id列源备映射错误，源端为int None位	期望更改为text	实际备端为int None位</t>
        </is>
      </c>
    </row>
    <row r="883">
      <c r="B883" t="inlineStr">
        <is>
          <t>NULL</t>
        </is>
      </c>
      <c r="C883" t="inlineStr">
        <is>
          <t>NULL</t>
        </is>
      </c>
      <c r="D883" t="inlineStr">
        <is>
          <t>NULL</t>
        </is>
      </c>
      <c r="E883" t="inlineStr">
        <is>
          <t>NULL</t>
        </is>
      </c>
      <c r="F883" t="inlineStr">
        <is>
          <t>NULL</t>
        </is>
      </c>
      <c r="G883" t="inlineStr">
        <is>
          <t>NULL</t>
        </is>
      </c>
      <c r="H883" t="inlineStr">
        <is>
          <t>NULL</t>
        </is>
      </c>
      <c r="I883" t="inlineStr">
        <is>
          <t>NULL</t>
        </is>
      </c>
      <c r="J883" t="inlineStr">
        <is>
          <t>NULL</t>
        </is>
      </c>
      <c r="K883" t="inlineStr">
        <is>
          <t xml:space="preserve"> NO!  	 c_char列源备映射错误，源端为char 1位	期望更改为text	实际备端为char 1位</t>
        </is>
      </c>
    </row>
    <row r="884">
      <c r="B884" t="inlineStr">
        <is>
          <t>NULL</t>
        </is>
      </c>
      <c r="C884" t="inlineStr">
        <is>
          <t>NULL</t>
        </is>
      </c>
      <c r="D884" t="inlineStr">
        <is>
          <t>NULL</t>
        </is>
      </c>
      <c r="E884" t="inlineStr">
        <is>
          <t>NULL</t>
        </is>
      </c>
      <c r="F884" t="inlineStr">
        <is>
          <t>NULL</t>
        </is>
      </c>
      <c r="G884" t="inlineStr">
        <is>
          <t>NULL</t>
        </is>
      </c>
      <c r="H884" t="inlineStr">
        <is>
          <t>NULL</t>
        </is>
      </c>
      <c r="I884" t="inlineStr">
        <is>
          <t>NULL</t>
        </is>
      </c>
      <c r="J884" t="inlineStr">
        <is>
          <t>NULL</t>
        </is>
      </c>
      <c r="K884" t="inlineStr">
        <is>
          <t xml:space="preserve"> NO!  	 c_char20列源备映射错误，源端为char 20位	期望更改为text	实际备端为char 20位</t>
        </is>
      </c>
    </row>
    <row r="885">
      <c r="B885" t="inlineStr">
        <is>
          <t>NULL</t>
        </is>
      </c>
      <c r="C885" t="inlineStr">
        <is>
          <t>NULL</t>
        </is>
      </c>
      <c r="D885" t="inlineStr">
        <is>
          <t>NULL</t>
        </is>
      </c>
      <c r="E885" t="inlineStr">
        <is>
          <t>NULL</t>
        </is>
      </c>
      <c r="F885" t="inlineStr">
        <is>
          <t>NULL</t>
        </is>
      </c>
      <c r="G885" t="inlineStr">
        <is>
          <t>NULL</t>
        </is>
      </c>
      <c r="H885" t="inlineStr">
        <is>
          <t>NULL</t>
        </is>
      </c>
      <c r="I885" t="inlineStr">
        <is>
          <t>NULL</t>
        </is>
      </c>
      <c r="J885" t="inlineStr">
        <is>
          <t>NULL</t>
        </is>
      </c>
      <c r="K885" t="inlineStr">
        <is>
          <t xml:space="preserve"> NO!  	 c_char7000列源备映射错误，源端为char 7000位	期望更改为text	实际备端为char 7000位</t>
        </is>
      </c>
    </row>
    <row r="886">
      <c r="A886" t="inlineStr">
        <is>
          <t>info_char_dml_single_pk_drp</t>
        </is>
      </c>
      <c r="K886" t="inlineStr">
        <is>
          <t>[0;34m info_char_dml_single_pk_drp [0m源备字段数相同，源端字段：4 	备端字段4</t>
        </is>
      </c>
      <c r="W886" t="inlineStr">
        <is>
          <t>YES 源备无差异</t>
        </is>
      </c>
      <c r="X886">
        <f>A886</f>
        <v/>
      </c>
    </row>
    <row r="887">
      <c r="B887" t="inlineStr">
        <is>
          <t>YES</t>
        </is>
      </c>
      <c r="C887" t="inlineStr">
        <is>
          <t>NULL</t>
        </is>
      </c>
      <c r="D887" t="inlineStr">
        <is>
          <t>NULL</t>
        </is>
      </c>
      <c r="E887" t="inlineStr">
        <is>
          <t>NULL</t>
        </is>
      </c>
      <c r="F887" t="inlineStr">
        <is>
          <t>NULL</t>
        </is>
      </c>
      <c r="G887" t="inlineStr">
        <is>
          <t>NULL</t>
        </is>
      </c>
      <c r="H887" t="inlineStr">
        <is>
          <t>NULL</t>
        </is>
      </c>
      <c r="I887" t="inlineStr">
        <is>
          <t>YES!PK__info_cha__3213E83FE8A47775</t>
        </is>
      </c>
      <c r="J887" t="inlineStr">
        <is>
          <t>YES! 主键相关索引</t>
        </is>
      </c>
      <c r="K887" t="inlineStr">
        <is>
          <t xml:space="preserve"> NO!  	 id列源备映射错误，源端为int None位	期望更改为text	实际备端为int None位</t>
        </is>
      </c>
    </row>
    <row r="888">
      <c r="B888" t="inlineStr">
        <is>
          <t>NULL</t>
        </is>
      </c>
      <c r="C888" t="inlineStr">
        <is>
          <t>NULL</t>
        </is>
      </c>
      <c r="D888" t="inlineStr">
        <is>
          <t>NULL</t>
        </is>
      </c>
      <c r="E888" t="inlineStr">
        <is>
          <t>NULL</t>
        </is>
      </c>
      <c r="F888" t="inlineStr">
        <is>
          <t>NULL</t>
        </is>
      </c>
      <c r="G888" t="inlineStr">
        <is>
          <t>NULL</t>
        </is>
      </c>
      <c r="H888" t="inlineStr">
        <is>
          <t>NULL</t>
        </is>
      </c>
      <c r="I888" t="inlineStr">
        <is>
          <t>NULL</t>
        </is>
      </c>
      <c r="J888" t="inlineStr">
        <is>
          <t>NULL</t>
        </is>
      </c>
      <c r="K888" t="inlineStr">
        <is>
          <t xml:space="preserve"> NO!  	 c_char列源备映射错误，源端为char 1位	期望更改为text	实际备端为char 1位</t>
        </is>
      </c>
    </row>
    <row r="889">
      <c r="B889" t="inlineStr">
        <is>
          <t>NULL</t>
        </is>
      </c>
      <c r="C889" t="inlineStr">
        <is>
          <t>NULL</t>
        </is>
      </c>
      <c r="D889" t="inlineStr">
        <is>
          <t>NULL</t>
        </is>
      </c>
      <c r="E889" t="inlineStr">
        <is>
          <t>NULL</t>
        </is>
      </c>
      <c r="F889" t="inlineStr">
        <is>
          <t>NULL</t>
        </is>
      </c>
      <c r="G889" t="inlineStr">
        <is>
          <t>NULL</t>
        </is>
      </c>
      <c r="H889" t="inlineStr">
        <is>
          <t>NULL</t>
        </is>
      </c>
      <c r="I889" t="inlineStr">
        <is>
          <t>NULL</t>
        </is>
      </c>
      <c r="J889" t="inlineStr">
        <is>
          <t>NULL</t>
        </is>
      </c>
      <c r="K889" t="inlineStr">
        <is>
          <t xml:space="preserve"> NO!  	 c_char20列源备映射错误，源端为char 20位	期望更改为text	实际备端为char 20位</t>
        </is>
      </c>
    </row>
    <row r="890">
      <c r="B890" t="inlineStr">
        <is>
          <t>NULL</t>
        </is>
      </c>
      <c r="C890" t="inlineStr">
        <is>
          <t>NULL</t>
        </is>
      </c>
      <c r="D890" t="inlineStr">
        <is>
          <t>NULL</t>
        </is>
      </c>
      <c r="E890" t="inlineStr">
        <is>
          <t>NULL</t>
        </is>
      </c>
      <c r="F890" t="inlineStr">
        <is>
          <t>NULL</t>
        </is>
      </c>
      <c r="G890" t="inlineStr">
        <is>
          <t>NULL</t>
        </is>
      </c>
      <c r="H890" t="inlineStr">
        <is>
          <t>NULL</t>
        </is>
      </c>
      <c r="I890" t="inlineStr">
        <is>
          <t>NULL</t>
        </is>
      </c>
      <c r="J890" t="inlineStr">
        <is>
          <t>NULL</t>
        </is>
      </c>
      <c r="K890" t="inlineStr">
        <is>
          <t xml:space="preserve"> NO!  	 c_char7000列源备映射错误，源端为char 7000位	期望更改为text	实际备端为char 7000位</t>
        </is>
      </c>
    </row>
    <row r="891">
      <c r="A891" t="inlineStr">
        <is>
          <t>info_date_dml_batch1_pk_drp1</t>
        </is>
      </c>
      <c r="K891" t="inlineStr">
        <is>
          <t>[0;34m info_date_dml_batch1_pk_drp1 [0m源备字段数相同，源端字段：2 	备端字段2</t>
        </is>
      </c>
      <c r="W891" t="inlineStr">
        <is>
          <t>YES 源备无差异</t>
        </is>
      </c>
      <c r="X891">
        <f>A891</f>
        <v/>
      </c>
    </row>
    <row r="892">
      <c r="B892" t="inlineStr">
        <is>
          <t>YES</t>
        </is>
      </c>
      <c r="C892" t="inlineStr">
        <is>
          <t>NULL</t>
        </is>
      </c>
      <c r="D892" t="inlineStr">
        <is>
          <t>NULL</t>
        </is>
      </c>
      <c r="E892" t="inlineStr">
        <is>
          <t>NULL</t>
        </is>
      </c>
      <c r="F892" t="inlineStr">
        <is>
          <t>NULL</t>
        </is>
      </c>
      <c r="G892" t="inlineStr">
        <is>
          <t>NULL</t>
        </is>
      </c>
      <c r="H892" t="inlineStr">
        <is>
          <t>NULL</t>
        </is>
      </c>
      <c r="I892" t="inlineStr">
        <is>
          <t>YES!PK__info_dat__3213E83F4FA618A2</t>
        </is>
      </c>
      <c r="J892" t="inlineStr">
        <is>
          <t>YES! 主键相关索引</t>
        </is>
      </c>
      <c r="K892" t="inlineStr">
        <is>
          <t xml:space="preserve"> NO!  	 id列源备映射错误，源端为int None位	期望更改为text	实际备端为int None位</t>
        </is>
      </c>
    </row>
    <row r="893">
      <c r="B893" t="inlineStr">
        <is>
          <t>NULL</t>
        </is>
      </c>
      <c r="C893" t="inlineStr">
        <is>
          <t>NULL</t>
        </is>
      </c>
      <c r="D893" t="inlineStr">
        <is>
          <t>NULL</t>
        </is>
      </c>
      <c r="E893" t="inlineStr">
        <is>
          <t>NULL</t>
        </is>
      </c>
      <c r="F893" t="inlineStr">
        <is>
          <t>NULL</t>
        </is>
      </c>
      <c r="G893" t="inlineStr">
        <is>
          <t>NULL</t>
        </is>
      </c>
      <c r="H893" t="inlineStr">
        <is>
          <t>NULL</t>
        </is>
      </c>
      <c r="I893" t="inlineStr">
        <is>
          <t>NULL</t>
        </is>
      </c>
      <c r="J893" t="inlineStr">
        <is>
          <t>NULL</t>
        </is>
      </c>
      <c r="K893" t="inlineStr">
        <is>
          <t xml:space="preserve"> NO!  	 c_date列源备映射错误，源端为date None位	期望更改为text	实际备端为date None位</t>
        </is>
      </c>
    </row>
    <row r="894">
      <c r="K894" t="inlineStr">
        <is>
          <t>~ 空表</t>
        </is>
      </c>
    </row>
    <row r="895">
      <c r="A895" t="inlineStr">
        <is>
          <t>info_varchar_dml_batch1_pk_irp1</t>
        </is>
      </c>
      <c r="K895" t="inlineStr">
        <is>
          <t>[0;34m info_varchar_dml_batch1_pk_irp1 [0m源备字段数相同，源端字段：4 	备端字段4</t>
        </is>
      </c>
      <c r="W895" t="inlineStr">
        <is>
          <t>YES 源备无差异</t>
        </is>
      </c>
      <c r="X895">
        <f>A895</f>
        <v/>
      </c>
    </row>
    <row r="896">
      <c r="B896" t="inlineStr">
        <is>
          <t>YES</t>
        </is>
      </c>
      <c r="C896" t="inlineStr">
        <is>
          <t>NULL</t>
        </is>
      </c>
      <c r="D896" t="inlineStr">
        <is>
          <t>NULL</t>
        </is>
      </c>
      <c r="E896" t="inlineStr">
        <is>
          <t>NULL</t>
        </is>
      </c>
      <c r="F896" t="inlineStr">
        <is>
          <t>NULL</t>
        </is>
      </c>
      <c r="G896" t="inlineStr">
        <is>
          <t>NULL</t>
        </is>
      </c>
      <c r="H896" t="inlineStr">
        <is>
          <t>NULL</t>
        </is>
      </c>
      <c r="I896" t="inlineStr">
        <is>
          <t>YES!PK__info_var__3213E83F6394AEC0</t>
        </is>
      </c>
      <c r="J896" t="inlineStr">
        <is>
          <t>YES! 主键相关索引</t>
        </is>
      </c>
      <c r="K896" t="inlineStr">
        <is>
          <t xml:space="preserve"> NO!  	 id列源备映射错误，源端为int None位	期望更改为text	实际备端为int None位</t>
        </is>
      </c>
    </row>
    <row r="897">
      <c r="B897" t="inlineStr">
        <is>
          <t>NULL</t>
        </is>
      </c>
      <c r="C897" t="inlineStr">
        <is>
          <t>NULL</t>
        </is>
      </c>
      <c r="D897" t="inlineStr">
        <is>
          <t>NULL</t>
        </is>
      </c>
      <c r="E897" t="inlineStr">
        <is>
          <t>NULL</t>
        </is>
      </c>
      <c r="F897" t="inlineStr">
        <is>
          <t>NULL</t>
        </is>
      </c>
      <c r="G897" t="inlineStr">
        <is>
          <t>NULL</t>
        </is>
      </c>
      <c r="H897" t="inlineStr">
        <is>
          <t>NULL</t>
        </is>
      </c>
      <c r="I897" t="inlineStr">
        <is>
          <t>NULL</t>
        </is>
      </c>
      <c r="J897" t="inlineStr">
        <is>
          <t>NULL</t>
        </is>
      </c>
      <c r="K897" t="inlineStr">
        <is>
          <t xml:space="preserve"> NO!  	 c_varchar列源备映射错误，源端为varchar 1位	期望更改为text	实际备端为varchar 1位</t>
        </is>
      </c>
    </row>
    <row r="898">
      <c r="B898" t="inlineStr">
        <is>
          <t>NULL</t>
        </is>
      </c>
      <c r="C898" t="inlineStr">
        <is>
          <t>NULL</t>
        </is>
      </c>
      <c r="D898" t="inlineStr">
        <is>
          <t>NULL</t>
        </is>
      </c>
      <c r="E898" t="inlineStr">
        <is>
          <t>NULL</t>
        </is>
      </c>
      <c r="F898" t="inlineStr">
        <is>
          <t>NULL</t>
        </is>
      </c>
      <c r="G898" t="inlineStr">
        <is>
          <t>NULL</t>
        </is>
      </c>
      <c r="H898" t="inlineStr">
        <is>
          <t>NULL</t>
        </is>
      </c>
      <c r="I898" t="inlineStr">
        <is>
          <t>NULL</t>
        </is>
      </c>
      <c r="J898" t="inlineStr">
        <is>
          <t>NULL</t>
        </is>
      </c>
      <c r="K898" t="inlineStr">
        <is>
          <t xml:space="preserve"> NO!  	 c_varchar20列源备映射错误，源端为varchar 20位	期望更改为text	实际备端为varchar 20位</t>
        </is>
      </c>
    </row>
    <row r="899">
      <c r="B899" t="inlineStr">
        <is>
          <t>NULL</t>
        </is>
      </c>
      <c r="C899" t="inlineStr">
        <is>
          <t>NULL</t>
        </is>
      </c>
      <c r="D899" t="inlineStr">
        <is>
          <t>NULL</t>
        </is>
      </c>
      <c r="E899" t="inlineStr">
        <is>
          <t>NULL</t>
        </is>
      </c>
      <c r="F899" t="inlineStr">
        <is>
          <t>NULL</t>
        </is>
      </c>
      <c r="G899" t="inlineStr">
        <is>
          <t>NULL</t>
        </is>
      </c>
      <c r="H899" t="inlineStr">
        <is>
          <t>NULL</t>
        </is>
      </c>
      <c r="I899" t="inlineStr">
        <is>
          <t>NULL</t>
        </is>
      </c>
      <c r="J899" t="inlineStr">
        <is>
          <t>NULL</t>
        </is>
      </c>
      <c r="K899" t="inlineStr">
        <is>
          <t xml:space="preserve"> NO!  	 c_varchar200列源备映射错误，源端为varchar 200位	期望更改为text	实际备端为varchar 200位</t>
        </is>
      </c>
    </row>
    <row r="900">
      <c r="K900" t="inlineStr">
        <is>
          <t>~ 空表</t>
        </is>
      </c>
    </row>
    <row r="901">
      <c r="A901" t="inlineStr">
        <is>
          <t>info_datetime_dml_single_pk_urp</t>
        </is>
      </c>
      <c r="K901" t="inlineStr">
        <is>
          <t>[0;34m info_datetime_dml_single_pk_urp [0m源备字段数相同，源端字段：2 	备端字段2</t>
        </is>
      </c>
      <c r="W901" s="17">
        <f>HYPERLINK("#2026041919hbase0!CZ2","NO 源备存在差异，共6个")</f>
        <v/>
      </c>
      <c r="X901">
        <f>A901</f>
        <v/>
      </c>
    </row>
    <row r="902">
      <c r="B902" t="inlineStr">
        <is>
          <t>YES</t>
        </is>
      </c>
      <c r="C902" t="inlineStr">
        <is>
          <t>NULL</t>
        </is>
      </c>
      <c r="D902" t="inlineStr">
        <is>
          <t>NULL</t>
        </is>
      </c>
      <c r="E902" t="inlineStr">
        <is>
          <t>NULL</t>
        </is>
      </c>
      <c r="F902" t="inlineStr">
        <is>
          <t>NULL</t>
        </is>
      </c>
      <c r="G902" t="inlineStr">
        <is>
          <t>NULL</t>
        </is>
      </c>
      <c r="H902" t="inlineStr">
        <is>
          <t>NULL</t>
        </is>
      </c>
      <c r="I902" t="inlineStr">
        <is>
          <t>YES!PK__info_dat__3213E83F86AA400F</t>
        </is>
      </c>
      <c r="J902" t="inlineStr">
        <is>
          <t>YES! 主键相关索引</t>
        </is>
      </c>
      <c r="K902" t="inlineStr">
        <is>
          <t xml:space="preserve"> NO!  	 id列源备映射错误，源端为int None位	期望更改为text	实际备端为int None位</t>
        </is>
      </c>
    </row>
    <row r="903">
      <c r="B903" t="inlineStr">
        <is>
          <t>NULL</t>
        </is>
      </c>
      <c r="C903" t="inlineStr">
        <is>
          <t>NULL</t>
        </is>
      </c>
      <c r="D903" t="inlineStr">
        <is>
          <t>NULL</t>
        </is>
      </c>
      <c r="E903" t="inlineStr">
        <is>
          <t>NULL</t>
        </is>
      </c>
      <c r="F903" t="inlineStr">
        <is>
          <t>NULL</t>
        </is>
      </c>
      <c r="G903" t="inlineStr">
        <is>
          <t>NULL</t>
        </is>
      </c>
      <c r="H903" t="inlineStr">
        <is>
          <t>NULL</t>
        </is>
      </c>
      <c r="I903" t="inlineStr">
        <is>
          <t>NULL</t>
        </is>
      </c>
      <c r="J903" t="inlineStr">
        <is>
          <t>NULL</t>
        </is>
      </c>
      <c r="K903" t="inlineStr">
        <is>
          <t xml:space="preserve"> NO!  	 c_datetime列源备映射错误，源端为datetime None位	期望更改为text	实际备端为datetime None位</t>
        </is>
      </c>
    </row>
    <row r="904">
      <c r="A904" t="inlineStr">
        <is>
          <t>info_nchar_dml_batch1_pk</t>
        </is>
      </c>
      <c r="K904" t="inlineStr">
        <is>
          <t>[0;34m info_nchar_dml_batch1_pk [0m源备字段数相同，源端字段：4 	备端字段4</t>
        </is>
      </c>
      <c r="W904" t="inlineStr">
        <is>
          <t>YES 源备无差异</t>
        </is>
      </c>
      <c r="X904">
        <f>A904</f>
        <v/>
      </c>
    </row>
    <row r="905">
      <c r="B905" t="inlineStr">
        <is>
          <t>YES</t>
        </is>
      </c>
      <c r="C905" t="inlineStr">
        <is>
          <t>NULL</t>
        </is>
      </c>
      <c r="D905" t="inlineStr">
        <is>
          <t>NULL</t>
        </is>
      </c>
      <c r="E905" t="inlineStr">
        <is>
          <t>NULL</t>
        </is>
      </c>
      <c r="F905" t="inlineStr">
        <is>
          <t>NULL</t>
        </is>
      </c>
      <c r="G905" t="inlineStr">
        <is>
          <t>NULL</t>
        </is>
      </c>
      <c r="H905" t="inlineStr">
        <is>
          <t>NULL</t>
        </is>
      </c>
      <c r="I905" t="inlineStr">
        <is>
          <t>YES!PK__info_nch__3213E83F08E12E83</t>
        </is>
      </c>
      <c r="J905" t="inlineStr">
        <is>
          <t>YES! 主键相关索引</t>
        </is>
      </c>
      <c r="K905" t="inlineStr">
        <is>
          <t xml:space="preserve"> NO!  	 id列源备映射错误，源端为int None位	期望更改为text	实际备端为int None位</t>
        </is>
      </c>
    </row>
    <row r="906">
      <c r="B906" t="inlineStr">
        <is>
          <t>NULL</t>
        </is>
      </c>
      <c r="C906" t="inlineStr">
        <is>
          <t>NULL</t>
        </is>
      </c>
      <c r="D906" t="inlineStr">
        <is>
          <t>NULL</t>
        </is>
      </c>
      <c r="E906" t="inlineStr">
        <is>
          <t>NULL</t>
        </is>
      </c>
      <c r="F906" t="inlineStr">
        <is>
          <t>NULL</t>
        </is>
      </c>
      <c r="G906" t="inlineStr">
        <is>
          <t>NULL</t>
        </is>
      </c>
      <c r="H906" t="inlineStr">
        <is>
          <t>NULL</t>
        </is>
      </c>
      <c r="I906" t="inlineStr">
        <is>
          <t>NULL</t>
        </is>
      </c>
      <c r="J906" t="inlineStr">
        <is>
          <t>NULL</t>
        </is>
      </c>
      <c r="K906" t="inlineStr">
        <is>
          <t xml:space="preserve"> NO!  	 c_nchar列源备映射错误，源端为nchar 2位	期望更改为text	实际备端为nchar 2位</t>
        </is>
      </c>
    </row>
    <row r="907">
      <c r="B907" t="inlineStr">
        <is>
          <t>NULL</t>
        </is>
      </c>
      <c r="C907" t="inlineStr">
        <is>
          <t>NULL</t>
        </is>
      </c>
      <c r="D907" t="inlineStr">
        <is>
          <t>NULL</t>
        </is>
      </c>
      <c r="E907" t="inlineStr">
        <is>
          <t>NULL</t>
        </is>
      </c>
      <c r="F907" t="inlineStr">
        <is>
          <t>NULL</t>
        </is>
      </c>
      <c r="G907" t="inlineStr">
        <is>
          <t>NULL</t>
        </is>
      </c>
      <c r="H907" t="inlineStr">
        <is>
          <t>NULL</t>
        </is>
      </c>
      <c r="I907" t="inlineStr">
        <is>
          <t>NULL</t>
        </is>
      </c>
      <c r="J907" t="inlineStr">
        <is>
          <t>NULL</t>
        </is>
      </c>
      <c r="K907" t="inlineStr">
        <is>
          <t xml:space="preserve"> NO!  	 c_nchar20列源备映射错误，源端为nchar 40位	期望更改为text	实际备端为nchar 40位</t>
        </is>
      </c>
    </row>
    <row r="908">
      <c r="B908" t="inlineStr">
        <is>
          <t>NULL</t>
        </is>
      </c>
      <c r="C908" t="inlineStr">
        <is>
          <t>NULL</t>
        </is>
      </c>
      <c r="D908" t="inlineStr">
        <is>
          <t>NULL</t>
        </is>
      </c>
      <c r="E908" t="inlineStr">
        <is>
          <t>NULL</t>
        </is>
      </c>
      <c r="F908" t="inlineStr">
        <is>
          <t>NULL</t>
        </is>
      </c>
      <c r="G908" t="inlineStr">
        <is>
          <t>NULL</t>
        </is>
      </c>
      <c r="H908" t="inlineStr">
        <is>
          <t>NULL</t>
        </is>
      </c>
      <c r="I908" t="inlineStr">
        <is>
          <t>NULL</t>
        </is>
      </c>
      <c r="J908" t="inlineStr">
        <is>
          <t>NULL</t>
        </is>
      </c>
      <c r="K908" t="inlineStr">
        <is>
          <t xml:space="preserve"> NO!  	 c_nchar3500列源备映射错误，源端为nchar 7000位	期望更改为text	实际备端为nchar 7000位</t>
        </is>
      </c>
    </row>
    <row r="909">
      <c r="A909" t="inlineStr">
        <is>
          <t>info_varcharmax_dml_single_pk</t>
        </is>
      </c>
      <c r="K909" t="inlineStr">
        <is>
          <t>[0;34m info_varcharmax_dml_single_pk [0m源备字段数相同，源端字段：3 	备端字段3</t>
        </is>
      </c>
      <c r="W909" t="inlineStr">
        <is>
          <t>YES 源备无差异</t>
        </is>
      </c>
      <c r="X909">
        <f>A909</f>
        <v/>
      </c>
    </row>
    <row r="910">
      <c r="B910" t="inlineStr">
        <is>
          <t>YES</t>
        </is>
      </c>
      <c r="C910" t="inlineStr">
        <is>
          <t>NULL</t>
        </is>
      </c>
      <c r="D910" t="inlineStr">
        <is>
          <t>NULL</t>
        </is>
      </c>
      <c r="E910" t="inlineStr">
        <is>
          <t>NULL</t>
        </is>
      </c>
      <c r="F910" t="inlineStr">
        <is>
          <t>NULL</t>
        </is>
      </c>
      <c r="G910" t="inlineStr">
        <is>
          <t>NULL</t>
        </is>
      </c>
      <c r="H910" t="inlineStr">
        <is>
          <t>NULL</t>
        </is>
      </c>
      <c r="I910" t="inlineStr">
        <is>
          <t>YES!PK__info_var__3213E83F09BA74A2</t>
        </is>
      </c>
      <c r="J910" t="inlineStr">
        <is>
          <t>YES! 主键相关索引</t>
        </is>
      </c>
      <c r="K910" t="inlineStr">
        <is>
          <t xml:space="preserve"> NO!  	 id列源备映射错误，源端为int None位	期望更改为text	实际备端为int None位</t>
        </is>
      </c>
    </row>
    <row r="911">
      <c r="B911" t="inlineStr">
        <is>
          <t>NULL</t>
        </is>
      </c>
      <c r="C911" t="inlineStr">
        <is>
          <t>NULL</t>
        </is>
      </c>
      <c r="D911" t="inlineStr">
        <is>
          <t>NULL</t>
        </is>
      </c>
      <c r="E911" t="inlineStr">
        <is>
          <t>NULL</t>
        </is>
      </c>
      <c r="F911" t="inlineStr">
        <is>
          <t>NULL</t>
        </is>
      </c>
      <c r="G911" t="inlineStr">
        <is>
          <t>NULL</t>
        </is>
      </c>
      <c r="H911" t="inlineStr">
        <is>
          <t>NULL</t>
        </is>
      </c>
      <c r="I911" t="inlineStr">
        <is>
          <t>NULL</t>
        </is>
      </c>
      <c r="J911" t="inlineStr">
        <is>
          <t>NULL</t>
        </is>
      </c>
      <c r="K911" t="inlineStr">
        <is>
          <t xml:space="preserve"> NO!  	 c_varchar_max列源备映射错误，源端为varchar -1位	期望更改为text	实际备端为varchar -1位</t>
        </is>
      </c>
    </row>
    <row r="912">
      <c r="B912" t="inlineStr">
        <is>
          <t>NULL</t>
        </is>
      </c>
      <c r="C912" t="inlineStr">
        <is>
          <t>NULL</t>
        </is>
      </c>
      <c r="D912" t="inlineStr">
        <is>
          <t>NULL</t>
        </is>
      </c>
      <c r="E912" t="inlineStr">
        <is>
          <t>NULL</t>
        </is>
      </c>
      <c r="F912" t="inlineStr">
        <is>
          <t>NULL</t>
        </is>
      </c>
      <c r="G912" t="inlineStr">
        <is>
          <t>NULL</t>
        </is>
      </c>
      <c r="H912" t="inlineStr">
        <is>
          <t>NULL</t>
        </is>
      </c>
      <c r="I912" t="inlineStr">
        <is>
          <t>NULL</t>
        </is>
      </c>
      <c r="J912" t="inlineStr">
        <is>
          <t>NULL</t>
        </is>
      </c>
      <c r="K912" t="inlineStr">
        <is>
          <t xml:space="preserve"> NO!  	 c_nvarchar_max列源备映射错误，源端为nvarchar -1位	期望更改为text	实际备端为nvarchar -1位</t>
        </is>
      </c>
    </row>
    <row r="913">
      <c r="A913" t="inlineStr">
        <is>
          <t>info_date_dml_batch1_pk_drp2</t>
        </is>
      </c>
      <c r="K913" t="inlineStr">
        <is>
          <t>[0;34m info_date_dml_batch1_pk_drp2 [0m源备字段数相同，源端字段：2 	备端字段2</t>
        </is>
      </c>
      <c r="W913" s="17">
        <f>HYPERLINK("#2026041919hbase0!DA2","NO 源备存在差异，共3个")</f>
        <v/>
      </c>
      <c r="X913">
        <f>A913</f>
        <v/>
      </c>
    </row>
    <row r="914">
      <c r="B914" t="inlineStr">
        <is>
          <t>YES</t>
        </is>
      </c>
      <c r="C914" t="inlineStr">
        <is>
          <t>NULL</t>
        </is>
      </c>
      <c r="D914" t="inlineStr">
        <is>
          <t>NULL</t>
        </is>
      </c>
      <c r="E914" t="inlineStr">
        <is>
          <t>NULL</t>
        </is>
      </c>
      <c r="F914" t="inlineStr">
        <is>
          <t>NULL</t>
        </is>
      </c>
      <c r="G914" t="inlineStr">
        <is>
          <t>NULL</t>
        </is>
      </c>
      <c r="H914" t="inlineStr">
        <is>
          <t>NULL</t>
        </is>
      </c>
      <c r="I914" t="inlineStr">
        <is>
          <t>YES!PK__info_dat__3213E83F10E42500</t>
        </is>
      </c>
      <c r="J914" t="inlineStr">
        <is>
          <t>YES! 主键相关索引</t>
        </is>
      </c>
      <c r="K914" t="inlineStr">
        <is>
          <t xml:space="preserve"> NO!  	 id列源备映射错误，源端为int None位	期望更改为text	实际备端为int None位</t>
        </is>
      </c>
    </row>
    <row r="915">
      <c r="B915" t="inlineStr">
        <is>
          <t>NULL</t>
        </is>
      </c>
      <c r="C915" t="inlineStr">
        <is>
          <t>NULL</t>
        </is>
      </c>
      <c r="D915" t="inlineStr">
        <is>
          <t>NULL</t>
        </is>
      </c>
      <c r="E915" t="inlineStr">
        <is>
          <t>NULL</t>
        </is>
      </c>
      <c r="F915" t="inlineStr">
        <is>
          <t>NULL</t>
        </is>
      </c>
      <c r="G915" t="inlineStr">
        <is>
          <t>NULL</t>
        </is>
      </c>
      <c r="H915" t="inlineStr">
        <is>
          <t>NULL</t>
        </is>
      </c>
      <c r="I915" t="inlineStr">
        <is>
          <t>NULL</t>
        </is>
      </c>
      <c r="J915" t="inlineStr">
        <is>
          <t>NULL</t>
        </is>
      </c>
      <c r="K915" t="inlineStr">
        <is>
          <t xml:space="preserve"> NO!  	 c_date列源备映射错误，源端为date None位	期望更改为text	实际备端为date None位</t>
        </is>
      </c>
    </row>
    <row r="916">
      <c r="A916" t="inlineStr">
        <is>
          <t>info_datetime_dml_single_pk_drp</t>
        </is>
      </c>
      <c r="K916" t="inlineStr">
        <is>
          <t>[0;34m info_datetime_dml_single_pk_drp [0m源备字段数相同，源端字段：2 	备端字段2</t>
        </is>
      </c>
      <c r="W916" s="17">
        <f>HYPERLINK("#2026041919hbase0!DB2","NO 源备存在差异，共15个")</f>
        <v/>
      </c>
      <c r="X916">
        <f>A916</f>
        <v/>
      </c>
    </row>
    <row r="917">
      <c r="B917" t="inlineStr">
        <is>
          <t>YES</t>
        </is>
      </c>
      <c r="C917" t="inlineStr">
        <is>
          <t>NULL</t>
        </is>
      </c>
      <c r="D917" t="inlineStr">
        <is>
          <t>NULL</t>
        </is>
      </c>
      <c r="E917" t="inlineStr">
        <is>
          <t>NULL</t>
        </is>
      </c>
      <c r="F917" t="inlineStr">
        <is>
          <t>NULL</t>
        </is>
      </c>
      <c r="G917" t="inlineStr">
        <is>
          <t>NULL</t>
        </is>
      </c>
      <c r="H917" t="inlineStr">
        <is>
          <t>NULL</t>
        </is>
      </c>
      <c r="I917" t="inlineStr">
        <is>
          <t>YES!PK__info_dat__3213E83FAB5833EE</t>
        </is>
      </c>
      <c r="J917" t="inlineStr">
        <is>
          <t>YES! 主键相关索引</t>
        </is>
      </c>
      <c r="K917" t="inlineStr">
        <is>
          <t xml:space="preserve"> NO!  	 id列源备映射错误，源端为int None位	期望更改为text	实际备端为int None位</t>
        </is>
      </c>
    </row>
    <row r="918">
      <c r="B918" t="inlineStr">
        <is>
          <t>NULL</t>
        </is>
      </c>
      <c r="C918" t="inlineStr">
        <is>
          <t>NULL</t>
        </is>
      </c>
      <c r="D918" t="inlineStr">
        <is>
          <t>NULL</t>
        </is>
      </c>
      <c r="E918" t="inlineStr">
        <is>
          <t>NULL</t>
        </is>
      </c>
      <c r="F918" t="inlineStr">
        <is>
          <t>NULL</t>
        </is>
      </c>
      <c r="G918" t="inlineStr">
        <is>
          <t>NULL</t>
        </is>
      </c>
      <c r="H918" t="inlineStr">
        <is>
          <t>NULL</t>
        </is>
      </c>
      <c r="I918" t="inlineStr">
        <is>
          <t>NULL</t>
        </is>
      </c>
      <c r="J918" t="inlineStr">
        <is>
          <t>NULL</t>
        </is>
      </c>
      <c r="K918" t="inlineStr">
        <is>
          <t xml:space="preserve"> NO!  	 c_datetime列源备映射错误，源端为datetime None位	期望更改为text	实际备端为datetime None位</t>
        </is>
      </c>
    </row>
    <row r="919">
      <c r="A919" t="inlineStr">
        <is>
          <t>info_date_dml_batch1_pk</t>
        </is>
      </c>
      <c r="K919" t="inlineStr">
        <is>
          <t>[0;34m info_date_dml_batch1_pk [0m源备字段数相同，源端字段：2 	备端字段2</t>
        </is>
      </c>
      <c r="W919" s="17">
        <f>HYPERLINK("#2026041919hbase0!DC2","NO 源备存在差异，共6个")</f>
        <v/>
      </c>
      <c r="X919">
        <f>A919</f>
        <v/>
      </c>
    </row>
    <row r="920">
      <c r="B920" t="inlineStr">
        <is>
          <t>YES</t>
        </is>
      </c>
      <c r="C920" t="inlineStr">
        <is>
          <t>NULL</t>
        </is>
      </c>
      <c r="D920" t="inlineStr">
        <is>
          <t>NULL</t>
        </is>
      </c>
      <c r="E920" t="inlineStr">
        <is>
          <t>NULL</t>
        </is>
      </c>
      <c r="F920" t="inlineStr">
        <is>
          <t>NULL</t>
        </is>
      </c>
      <c r="G920" t="inlineStr">
        <is>
          <t>NULL</t>
        </is>
      </c>
      <c r="H920" t="inlineStr">
        <is>
          <t>NULL</t>
        </is>
      </c>
      <c r="I920" t="inlineStr">
        <is>
          <t>YES!PK__info_dat__3213E83FCBFF6AA9</t>
        </is>
      </c>
      <c r="J920" t="inlineStr">
        <is>
          <t>YES! 主键相关索引</t>
        </is>
      </c>
      <c r="K920" t="inlineStr">
        <is>
          <t xml:space="preserve"> NO!  	 id列源备映射错误，源端为int None位	期望更改为text	实际备端为int None位</t>
        </is>
      </c>
    </row>
    <row r="921">
      <c r="B921" t="inlineStr">
        <is>
          <t>NULL</t>
        </is>
      </c>
      <c r="C921" t="inlineStr">
        <is>
          <t>NULL</t>
        </is>
      </c>
      <c r="D921" t="inlineStr">
        <is>
          <t>NULL</t>
        </is>
      </c>
      <c r="E921" t="inlineStr">
        <is>
          <t>NULL</t>
        </is>
      </c>
      <c r="F921" t="inlineStr">
        <is>
          <t>NULL</t>
        </is>
      </c>
      <c r="G921" t="inlineStr">
        <is>
          <t>NULL</t>
        </is>
      </c>
      <c r="H921" t="inlineStr">
        <is>
          <t>NULL</t>
        </is>
      </c>
      <c r="I921" t="inlineStr">
        <is>
          <t>NULL</t>
        </is>
      </c>
      <c r="J921" t="inlineStr">
        <is>
          <t>NULL</t>
        </is>
      </c>
      <c r="K921" t="inlineStr">
        <is>
          <t xml:space="preserve"> NO!  	 c_date列源备映射错误，源端为date None位	期望更改为text	实际备端为date None位</t>
        </is>
      </c>
    </row>
    <row r="922">
      <c r="A922" t="inlineStr">
        <is>
          <t>info_timestamp_dml_single_pk_drp</t>
        </is>
      </c>
      <c r="K922" t="inlineStr">
        <is>
          <t>[0;34m info_timestamp_dml_single_pk_drp [0m源备字段数相同，源端字段：2 	备端字段2</t>
        </is>
      </c>
      <c r="W922" s="17">
        <f>HYPERLINK("#2026041919hbase0!DD2","NO 源备存在差异，共1个")</f>
        <v/>
      </c>
      <c r="X922">
        <f>A922</f>
        <v/>
      </c>
    </row>
    <row r="923">
      <c r="B923" t="inlineStr">
        <is>
          <t>YES</t>
        </is>
      </c>
      <c r="C923" t="inlineStr">
        <is>
          <t>NULL</t>
        </is>
      </c>
      <c r="D923" t="inlineStr">
        <is>
          <t>NULL</t>
        </is>
      </c>
      <c r="E923" t="inlineStr">
        <is>
          <t>NULL</t>
        </is>
      </c>
      <c r="F923" t="inlineStr">
        <is>
          <t>NULL</t>
        </is>
      </c>
      <c r="G923" t="inlineStr">
        <is>
          <t>NULL</t>
        </is>
      </c>
      <c r="H923" t="inlineStr">
        <is>
          <t>NULL</t>
        </is>
      </c>
      <c r="I923" t="inlineStr">
        <is>
          <t>YES!PK__info_tim__3213E83FEA4DC13B</t>
        </is>
      </c>
      <c r="J923" t="inlineStr">
        <is>
          <t>YES! 主键相关索引</t>
        </is>
      </c>
      <c r="K923" t="inlineStr">
        <is>
          <t xml:space="preserve"> NO!  	 id列源备映射错误，源端为int None位	期望更改为text	实际备端为int None位</t>
        </is>
      </c>
    </row>
    <row r="924">
      <c r="B924" t="inlineStr">
        <is>
          <t>NULL</t>
        </is>
      </c>
      <c r="C924" t="inlineStr">
        <is>
          <t>NULL</t>
        </is>
      </c>
      <c r="D924" t="inlineStr">
        <is>
          <t>NULL</t>
        </is>
      </c>
      <c r="E924" t="inlineStr">
        <is>
          <t>NULL</t>
        </is>
      </c>
      <c r="F924" t="inlineStr">
        <is>
          <t>NULL</t>
        </is>
      </c>
      <c r="G924" t="inlineStr">
        <is>
          <t>NULL</t>
        </is>
      </c>
      <c r="H924" t="inlineStr">
        <is>
          <t>NULL</t>
        </is>
      </c>
      <c r="I924" t="inlineStr">
        <is>
          <t>NULL</t>
        </is>
      </c>
      <c r="J924" t="inlineStr">
        <is>
          <t>NULL</t>
        </is>
      </c>
      <c r="K924" t="inlineStr">
        <is>
          <t xml:space="preserve"> NO!  	 c_tiemstamp列源备映射错误，源端为timestamp None位	期望更改为text	实际备端为timestamp None位</t>
        </is>
      </c>
    </row>
    <row r="925">
      <c r="A925" t="inlineStr">
        <is>
          <t>info_nvarchar_dml_batch1_pk_irp1</t>
        </is>
      </c>
      <c r="K925" t="inlineStr">
        <is>
          <t>[0;34m info_nvarchar_dml_batch1_pk_irp1 [0m源备字段数相同，源端字段：4 	备端字段4</t>
        </is>
      </c>
      <c r="W925" s="17">
        <f>HYPERLINK("#2026041919hbase0!DE2","NO 源备存在差异，共15个")</f>
        <v/>
      </c>
      <c r="X925">
        <f>A925</f>
        <v/>
      </c>
    </row>
    <row r="926">
      <c r="B926" t="inlineStr">
        <is>
          <t>YES</t>
        </is>
      </c>
      <c r="C926" t="inlineStr">
        <is>
          <t>NULL</t>
        </is>
      </c>
      <c r="D926" t="inlineStr">
        <is>
          <t>NULL</t>
        </is>
      </c>
      <c r="E926" t="inlineStr">
        <is>
          <t>NULL</t>
        </is>
      </c>
      <c r="F926" t="inlineStr">
        <is>
          <t>NULL</t>
        </is>
      </c>
      <c r="G926" t="inlineStr">
        <is>
          <t>NULL</t>
        </is>
      </c>
      <c r="H926" t="inlineStr">
        <is>
          <t>NULL</t>
        </is>
      </c>
      <c r="I926" t="inlineStr">
        <is>
          <t>YES!PK__info_nva__3213E83F6DFE74F4</t>
        </is>
      </c>
      <c r="J926" t="inlineStr">
        <is>
          <t>YES! 主键相关索引</t>
        </is>
      </c>
      <c r="K926" t="inlineStr">
        <is>
          <t xml:space="preserve"> NO!  	 id列源备映射错误，源端为int None位	期望更改为text	实际备端为int None位</t>
        </is>
      </c>
    </row>
    <row r="927">
      <c r="B927" t="inlineStr">
        <is>
          <t>NULL</t>
        </is>
      </c>
      <c r="C927" t="inlineStr">
        <is>
          <t>NULL</t>
        </is>
      </c>
      <c r="D927" t="inlineStr">
        <is>
          <t>NULL</t>
        </is>
      </c>
      <c r="E927" t="inlineStr">
        <is>
          <t>NULL</t>
        </is>
      </c>
      <c r="F927" t="inlineStr">
        <is>
          <t>NULL</t>
        </is>
      </c>
      <c r="G927" t="inlineStr">
        <is>
          <t>NULL</t>
        </is>
      </c>
      <c r="H927" t="inlineStr">
        <is>
          <t>NULL</t>
        </is>
      </c>
      <c r="I927" t="inlineStr">
        <is>
          <t>NULL</t>
        </is>
      </c>
      <c r="J927" t="inlineStr">
        <is>
          <t>NULL</t>
        </is>
      </c>
      <c r="K927" t="inlineStr">
        <is>
          <t xml:space="preserve"> NO!  	 c_nvarchar列源备映射错误，源端为nvarchar 2位	期望更改为text	实际备端为nvarchar 2位</t>
        </is>
      </c>
    </row>
    <row r="928">
      <c r="B928" t="inlineStr">
        <is>
          <t>NULL</t>
        </is>
      </c>
      <c r="C928" t="inlineStr">
        <is>
          <t>NULL</t>
        </is>
      </c>
      <c r="D928" t="inlineStr">
        <is>
          <t>NULL</t>
        </is>
      </c>
      <c r="E928" t="inlineStr">
        <is>
          <t>NULL</t>
        </is>
      </c>
      <c r="F928" t="inlineStr">
        <is>
          <t>NULL</t>
        </is>
      </c>
      <c r="G928" t="inlineStr">
        <is>
          <t>NULL</t>
        </is>
      </c>
      <c r="H928" t="inlineStr">
        <is>
          <t>NULL</t>
        </is>
      </c>
      <c r="I928" t="inlineStr">
        <is>
          <t>NULL</t>
        </is>
      </c>
      <c r="J928" t="inlineStr">
        <is>
          <t>NULL</t>
        </is>
      </c>
      <c r="K928" t="inlineStr">
        <is>
          <t xml:space="preserve"> NO!  	 c_nvarchar20列源备映射错误，源端为nvarchar 40位	期望更改为text	实际备端为nvarchar 40位</t>
        </is>
      </c>
    </row>
    <row r="929">
      <c r="B929" t="inlineStr">
        <is>
          <t>NULL</t>
        </is>
      </c>
      <c r="C929" t="inlineStr">
        <is>
          <t>NULL</t>
        </is>
      </c>
      <c r="D929" t="inlineStr">
        <is>
          <t>NULL</t>
        </is>
      </c>
      <c r="E929" t="inlineStr">
        <is>
          <t>NULL</t>
        </is>
      </c>
      <c r="F929" t="inlineStr">
        <is>
          <t>NULL</t>
        </is>
      </c>
      <c r="G929" t="inlineStr">
        <is>
          <t>NULL</t>
        </is>
      </c>
      <c r="H929" t="inlineStr">
        <is>
          <t>NULL</t>
        </is>
      </c>
      <c r="I929" t="inlineStr">
        <is>
          <t>NULL</t>
        </is>
      </c>
      <c r="J929" t="inlineStr">
        <is>
          <t>NULL</t>
        </is>
      </c>
      <c r="K929" t="inlineStr">
        <is>
          <t xml:space="preserve"> NO!  	 c_nvarchar4000列源备映射错误，源端为nvarchar 8000位	期望更改为text	实际备端为nvarchar 8000位</t>
        </is>
      </c>
    </row>
    <row r="930">
      <c r="A930" t="inlineStr">
        <is>
          <t>info_time_dml_batch1_pk_irp1</t>
        </is>
      </c>
      <c r="K930" t="inlineStr">
        <is>
          <t>[0;34m info_time_dml_batch1_pk_irp1 [0m源备字段数相同，源端字段：9 	备端字段9</t>
        </is>
      </c>
      <c r="W930" s="17">
        <f>HYPERLINK("#2026041919hbase0!DF2","NO 源备存在差异，共15个")</f>
        <v/>
      </c>
      <c r="X930">
        <f>A930</f>
        <v/>
      </c>
    </row>
    <row r="931">
      <c r="B931" t="inlineStr">
        <is>
          <t>YES</t>
        </is>
      </c>
      <c r="C931" t="inlineStr">
        <is>
          <t>NULL</t>
        </is>
      </c>
      <c r="D931" t="inlineStr">
        <is>
          <t>NULL</t>
        </is>
      </c>
      <c r="E931" t="inlineStr">
        <is>
          <t>NULL</t>
        </is>
      </c>
      <c r="F931" t="inlineStr">
        <is>
          <t>NULL</t>
        </is>
      </c>
      <c r="G931" t="inlineStr">
        <is>
          <t>NULL</t>
        </is>
      </c>
      <c r="H931" t="inlineStr">
        <is>
          <t>NULL</t>
        </is>
      </c>
      <c r="I931" t="inlineStr">
        <is>
          <t>YES!PK__info_tim__3213E83F74D9B523</t>
        </is>
      </c>
      <c r="J931" t="inlineStr">
        <is>
          <t>YES! 主键相关索引</t>
        </is>
      </c>
      <c r="K931" t="inlineStr">
        <is>
          <t xml:space="preserve"> NO!  	 id列源备映射错误，源端为int None位	期望更改为text	实际备端为int None位</t>
        </is>
      </c>
    </row>
    <row r="932">
      <c r="B932" t="inlineStr">
        <is>
          <t>NULL</t>
        </is>
      </c>
      <c r="C932" t="inlineStr">
        <is>
          <t>NULL</t>
        </is>
      </c>
      <c r="D932" t="inlineStr">
        <is>
          <t>NULL</t>
        </is>
      </c>
      <c r="E932" t="inlineStr">
        <is>
          <t>NULL</t>
        </is>
      </c>
      <c r="F932" t="inlineStr">
        <is>
          <t>NULL</t>
        </is>
      </c>
      <c r="G932" t="inlineStr">
        <is>
          <t>NULL</t>
        </is>
      </c>
      <c r="H932" t="inlineStr">
        <is>
          <t>NULL</t>
        </is>
      </c>
      <c r="I932" t="inlineStr">
        <is>
          <t>NULL</t>
        </is>
      </c>
      <c r="J932" t="inlineStr">
        <is>
          <t>NULL</t>
        </is>
      </c>
      <c r="K932" t="inlineStr">
        <is>
          <t xml:space="preserve"> NO!  	 c_time0列源备映射错误，源端为time None位	期望更改为text	实际备端为time None位</t>
        </is>
      </c>
    </row>
    <row r="933">
      <c r="B933" t="inlineStr">
        <is>
          <t>NULL</t>
        </is>
      </c>
      <c r="C933" t="inlineStr">
        <is>
          <t>NULL</t>
        </is>
      </c>
      <c r="D933" t="inlineStr">
        <is>
          <t>NULL</t>
        </is>
      </c>
      <c r="E933" t="inlineStr">
        <is>
          <t>NULL</t>
        </is>
      </c>
      <c r="F933" t="inlineStr">
        <is>
          <t>NULL</t>
        </is>
      </c>
      <c r="G933" t="inlineStr">
        <is>
          <t>NULL</t>
        </is>
      </c>
      <c r="H933" t="inlineStr">
        <is>
          <t>NULL</t>
        </is>
      </c>
      <c r="I933" t="inlineStr">
        <is>
          <t>NULL</t>
        </is>
      </c>
      <c r="J933" t="inlineStr">
        <is>
          <t>NULL</t>
        </is>
      </c>
      <c r="K933" t="inlineStr">
        <is>
          <t xml:space="preserve"> NO!  	 c_time1列源备映射错误，源端为time None位	期望更改为text	实际备端为time None位</t>
        </is>
      </c>
    </row>
    <row r="934">
      <c r="B934" t="inlineStr">
        <is>
          <t>NULL</t>
        </is>
      </c>
      <c r="C934" t="inlineStr">
        <is>
          <t>NULL</t>
        </is>
      </c>
      <c r="D934" t="inlineStr">
        <is>
          <t>NULL</t>
        </is>
      </c>
      <c r="E934" t="inlineStr">
        <is>
          <t>NULL</t>
        </is>
      </c>
      <c r="F934" t="inlineStr">
        <is>
          <t>NULL</t>
        </is>
      </c>
      <c r="G934" t="inlineStr">
        <is>
          <t>NULL</t>
        </is>
      </c>
      <c r="H934" t="inlineStr">
        <is>
          <t>NULL</t>
        </is>
      </c>
      <c r="I934" t="inlineStr">
        <is>
          <t>NULL</t>
        </is>
      </c>
      <c r="J934" t="inlineStr">
        <is>
          <t>NULL</t>
        </is>
      </c>
      <c r="K934" t="inlineStr">
        <is>
          <t xml:space="preserve"> NO!  	 c_time2列源备映射错误，源端为time None位	期望更改为text	实际备端为time None位</t>
        </is>
      </c>
    </row>
    <row r="935">
      <c r="B935" t="inlineStr">
        <is>
          <t>NULL</t>
        </is>
      </c>
      <c r="C935" t="inlineStr">
        <is>
          <t>NULL</t>
        </is>
      </c>
      <c r="D935" t="inlineStr">
        <is>
          <t>NULL</t>
        </is>
      </c>
      <c r="E935" t="inlineStr">
        <is>
          <t>NULL</t>
        </is>
      </c>
      <c r="F935" t="inlineStr">
        <is>
          <t>NULL</t>
        </is>
      </c>
      <c r="G935" t="inlineStr">
        <is>
          <t>NULL</t>
        </is>
      </c>
      <c r="H935" t="inlineStr">
        <is>
          <t>NULL</t>
        </is>
      </c>
      <c r="I935" t="inlineStr">
        <is>
          <t>NULL</t>
        </is>
      </c>
      <c r="J935" t="inlineStr">
        <is>
          <t>NULL</t>
        </is>
      </c>
      <c r="K935" t="inlineStr">
        <is>
          <t xml:space="preserve"> NO!  	 c_time3列源备映射错误，源端为time None位	期望更改为text	实际备端为time None位</t>
        </is>
      </c>
    </row>
    <row r="936">
      <c r="B936" t="inlineStr">
        <is>
          <t>NULL</t>
        </is>
      </c>
      <c r="C936" t="inlineStr">
        <is>
          <t>NULL</t>
        </is>
      </c>
      <c r="D936" t="inlineStr">
        <is>
          <t>NULL</t>
        </is>
      </c>
      <c r="E936" t="inlineStr">
        <is>
          <t>NULL</t>
        </is>
      </c>
      <c r="F936" t="inlineStr">
        <is>
          <t>NULL</t>
        </is>
      </c>
      <c r="G936" t="inlineStr">
        <is>
          <t>NULL</t>
        </is>
      </c>
      <c r="H936" t="inlineStr">
        <is>
          <t>NULL</t>
        </is>
      </c>
      <c r="I936" t="inlineStr">
        <is>
          <t>NULL</t>
        </is>
      </c>
      <c r="J936" t="inlineStr">
        <is>
          <t>NULL</t>
        </is>
      </c>
      <c r="K936" t="inlineStr">
        <is>
          <t xml:space="preserve"> NO!  	 c_time4列源备映射错误，源端为time None位	期望更改为text	实际备端为time None位</t>
        </is>
      </c>
    </row>
    <row r="937">
      <c r="B937" t="inlineStr">
        <is>
          <t>NULL</t>
        </is>
      </c>
      <c r="C937" t="inlineStr">
        <is>
          <t>NULL</t>
        </is>
      </c>
      <c r="D937" t="inlineStr">
        <is>
          <t>NULL</t>
        </is>
      </c>
      <c r="E937" t="inlineStr">
        <is>
          <t>NULL</t>
        </is>
      </c>
      <c r="F937" t="inlineStr">
        <is>
          <t>NULL</t>
        </is>
      </c>
      <c r="G937" t="inlineStr">
        <is>
          <t>NULL</t>
        </is>
      </c>
      <c r="H937" t="inlineStr">
        <is>
          <t>NULL</t>
        </is>
      </c>
      <c r="I937" t="inlineStr">
        <is>
          <t>NULL</t>
        </is>
      </c>
      <c r="J937" t="inlineStr">
        <is>
          <t>NULL</t>
        </is>
      </c>
      <c r="K937" t="inlineStr">
        <is>
          <t xml:space="preserve"> NO!  	 c_time5列源备映射错误，源端为time None位	期望更改为text	实际备端为time None位</t>
        </is>
      </c>
    </row>
    <row r="938">
      <c r="B938" t="inlineStr">
        <is>
          <t>NULL</t>
        </is>
      </c>
      <c r="C938" t="inlineStr">
        <is>
          <t>NULL</t>
        </is>
      </c>
      <c r="D938" t="inlineStr">
        <is>
          <t>NULL</t>
        </is>
      </c>
      <c r="E938" t="inlineStr">
        <is>
          <t>NULL</t>
        </is>
      </c>
      <c r="F938" t="inlineStr">
        <is>
          <t>NULL</t>
        </is>
      </c>
      <c r="G938" t="inlineStr">
        <is>
          <t>NULL</t>
        </is>
      </c>
      <c r="H938" t="inlineStr">
        <is>
          <t>NULL</t>
        </is>
      </c>
      <c r="I938" t="inlineStr">
        <is>
          <t>NULL</t>
        </is>
      </c>
      <c r="J938" t="inlineStr">
        <is>
          <t>NULL</t>
        </is>
      </c>
      <c r="K938" t="inlineStr">
        <is>
          <t xml:space="preserve"> NO!  	 c_time6列源备映射错误，源端为time None位	期望更改为text	实际备端为time None位</t>
        </is>
      </c>
    </row>
    <row r="939">
      <c r="B939" t="inlineStr">
        <is>
          <t>NULL</t>
        </is>
      </c>
      <c r="C939" t="inlineStr">
        <is>
          <t>NULL</t>
        </is>
      </c>
      <c r="D939" t="inlineStr">
        <is>
          <t>NULL</t>
        </is>
      </c>
      <c r="E939" t="inlineStr">
        <is>
          <t>NULL</t>
        </is>
      </c>
      <c r="F939" t="inlineStr">
        <is>
          <t>NULL</t>
        </is>
      </c>
      <c r="G939" t="inlineStr">
        <is>
          <t>NULL</t>
        </is>
      </c>
      <c r="H939" t="inlineStr">
        <is>
          <t>NULL</t>
        </is>
      </c>
      <c r="I939" t="inlineStr">
        <is>
          <t>NULL</t>
        </is>
      </c>
      <c r="J939" t="inlineStr">
        <is>
          <t>NULL</t>
        </is>
      </c>
      <c r="K939" t="inlineStr">
        <is>
          <t xml:space="preserve"> NO!  	 c_time列源备映射错误，源端为time None位	期望更改为text	实际备端为time None位</t>
        </is>
      </c>
    </row>
    <row r="940">
      <c r="A940" t="inlineStr">
        <is>
          <t>info_binary_dml_batch1_pk</t>
        </is>
      </c>
      <c r="K940" t="inlineStr">
        <is>
          <t>[0;34m info_binary_dml_batch1_pk [0m源备字段数相同，源端字段：4 	备端字段4</t>
        </is>
      </c>
      <c r="W940" s="17">
        <f>HYPERLINK("#2026041919hbase0!DG2","NO 源备存在差异，共2个")</f>
        <v/>
      </c>
      <c r="X940">
        <f>A940</f>
        <v/>
      </c>
    </row>
    <row r="941">
      <c r="B941" t="inlineStr">
        <is>
          <t>YES</t>
        </is>
      </c>
      <c r="C941" t="inlineStr">
        <is>
          <t>NULL</t>
        </is>
      </c>
      <c r="D941" t="inlineStr">
        <is>
          <t>NULL</t>
        </is>
      </c>
      <c r="E941" t="inlineStr">
        <is>
          <t>NULL</t>
        </is>
      </c>
      <c r="F941" t="inlineStr">
        <is>
          <t>NULL</t>
        </is>
      </c>
      <c r="G941" t="inlineStr">
        <is>
          <t>NULL</t>
        </is>
      </c>
      <c r="H941" t="inlineStr">
        <is>
          <t>NULL</t>
        </is>
      </c>
      <c r="I941" t="inlineStr">
        <is>
          <t>YES!PK__info_bin__3213E83F6B76E9E8</t>
        </is>
      </c>
      <c r="J941" t="inlineStr">
        <is>
          <t>YES! 主键相关索引</t>
        </is>
      </c>
      <c r="K941" t="inlineStr">
        <is>
          <t xml:space="preserve"> NO!  	 id列源备映射错误，源端为int None位	期望更改为text	实际备端为int None位</t>
        </is>
      </c>
    </row>
    <row r="942">
      <c r="B942" t="inlineStr">
        <is>
          <t>NULL</t>
        </is>
      </c>
      <c r="C942" t="inlineStr">
        <is>
          <t>NULL</t>
        </is>
      </c>
      <c r="D942" t="inlineStr">
        <is>
          <t>NULL</t>
        </is>
      </c>
      <c r="E942" t="inlineStr">
        <is>
          <t>NULL</t>
        </is>
      </c>
      <c r="F942" t="inlineStr">
        <is>
          <t>NULL</t>
        </is>
      </c>
      <c r="G942" t="inlineStr">
        <is>
          <t>NULL</t>
        </is>
      </c>
      <c r="H942" t="inlineStr">
        <is>
          <t>NULL</t>
        </is>
      </c>
      <c r="I942" t="inlineStr">
        <is>
          <t>NULL</t>
        </is>
      </c>
      <c r="J942" t="inlineStr">
        <is>
          <t>NULL</t>
        </is>
      </c>
      <c r="K942" t="inlineStr">
        <is>
          <t xml:space="preserve"> NO!  	 c_binary列源备映射错误，源端为binary 1位	期望更改为text	实际备端为binary 1位</t>
        </is>
      </c>
    </row>
    <row r="943">
      <c r="B943" t="inlineStr">
        <is>
          <t>NULL</t>
        </is>
      </c>
      <c r="C943" t="inlineStr">
        <is>
          <t>NULL</t>
        </is>
      </c>
      <c r="D943" t="inlineStr">
        <is>
          <t>NULL</t>
        </is>
      </c>
      <c r="E943" t="inlineStr">
        <is>
          <t>NULL</t>
        </is>
      </c>
      <c r="F943" t="inlineStr">
        <is>
          <t>NULL</t>
        </is>
      </c>
      <c r="G943" t="inlineStr">
        <is>
          <t>NULL</t>
        </is>
      </c>
      <c r="H943" t="inlineStr">
        <is>
          <t>NULL</t>
        </is>
      </c>
      <c r="I943" t="inlineStr">
        <is>
          <t>NULL</t>
        </is>
      </c>
      <c r="J943" t="inlineStr">
        <is>
          <t>NULL</t>
        </is>
      </c>
      <c r="K943" t="inlineStr">
        <is>
          <t xml:space="preserve"> NO!  	 c_binary_20列源备映射错误，源端为binary 20位	期望更改为text	实际备端为binary 20位</t>
        </is>
      </c>
    </row>
    <row r="944">
      <c r="B944" t="inlineStr">
        <is>
          <t>NULL</t>
        </is>
      </c>
      <c r="C944" t="inlineStr">
        <is>
          <t>NULL</t>
        </is>
      </c>
      <c r="D944" t="inlineStr">
        <is>
          <t>NULL</t>
        </is>
      </c>
      <c r="E944" t="inlineStr">
        <is>
          <t>NULL</t>
        </is>
      </c>
      <c r="F944" t="inlineStr">
        <is>
          <t>NULL</t>
        </is>
      </c>
      <c r="G944" t="inlineStr">
        <is>
          <t>NULL</t>
        </is>
      </c>
      <c r="H944" t="inlineStr">
        <is>
          <t>NULL</t>
        </is>
      </c>
      <c r="I944" t="inlineStr">
        <is>
          <t>NULL</t>
        </is>
      </c>
      <c r="J944" t="inlineStr">
        <is>
          <t>NULL</t>
        </is>
      </c>
      <c r="K944" t="inlineStr">
        <is>
          <t xml:space="preserve"> NO!  	 c_binary_200列源备映射错误，源端为binary 200位	期望更改为text	实际备端为binary 200位</t>
        </is>
      </c>
    </row>
    <row r="945">
      <c r="A945" t="inlineStr">
        <is>
          <t>info_varchar_dml_batch1_pk_irp2</t>
        </is>
      </c>
      <c r="K945" t="inlineStr">
        <is>
          <t>[0;34m info_varchar_dml_batch1_pk_irp2 [0m源备字段数相同，源端字段：4 	备端字段4</t>
        </is>
      </c>
      <c r="W945" t="inlineStr">
        <is>
          <t>YES 源备无差异</t>
        </is>
      </c>
      <c r="X945">
        <f>A945</f>
        <v/>
      </c>
    </row>
    <row r="946">
      <c r="B946" t="inlineStr">
        <is>
          <t>YES</t>
        </is>
      </c>
      <c r="C946" t="inlineStr">
        <is>
          <t>NULL</t>
        </is>
      </c>
      <c r="D946" t="inlineStr">
        <is>
          <t>NULL</t>
        </is>
      </c>
      <c r="E946" t="inlineStr">
        <is>
          <t>NULL</t>
        </is>
      </c>
      <c r="F946" t="inlineStr">
        <is>
          <t>NULL</t>
        </is>
      </c>
      <c r="G946" t="inlineStr">
        <is>
          <t>NULL</t>
        </is>
      </c>
      <c r="H946" t="inlineStr">
        <is>
          <t>NULL</t>
        </is>
      </c>
      <c r="I946" t="inlineStr">
        <is>
          <t>YES!PK__info_var__3213E83F8DEAE457</t>
        </is>
      </c>
      <c r="J946" t="inlineStr">
        <is>
          <t>YES! 主键相关索引</t>
        </is>
      </c>
      <c r="K946" t="inlineStr">
        <is>
          <t xml:space="preserve"> NO!  	 id列源备映射错误，源端为int None位	期望更改为text	实际备端为int None位</t>
        </is>
      </c>
    </row>
    <row r="947">
      <c r="B947" t="inlineStr">
        <is>
          <t>NULL</t>
        </is>
      </c>
      <c r="C947" t="inlineStr">
        <is>
          <t>NULL</t>
        </is>
      </c>
      <c r="D947" t="inlineStr">
        <is>
          <t>NULL</t>
        </is>
      </c>
      <c r="E947" t="inlineStr">
        <is>
          <t>NULL</t>
        </is>
      </c>
      <c r="F947" t="inlineStr">
        <is>
          <t>NULL</t>
        </is>
      </c>
      <c r="G947" t="inlineStr">
        <is>
          <t>NULL</t>
        </is>
      </c>
      <c r="H947" t="inlineStr">
        <is>
          <t>NULL</t>
        </is>
      </c>
      <c r="I947" t="inlineStr">
        <is>
          <t>NULL</t>
        </is>
      </c>
      <c r="J947" t="inlineStr">
        <is>
          <t>NULL</t>
        </is>
      </c>
      <c r="K947" t="inlineStr">
        <is>
          <t xml:space="preserve"> NO!  	 c_varchar列源备映射错误，源端为varchar 1位	期望更改为text	实际备端为varchar 1位</t>
        </is>
      </c>
    </row>
    <row r="948">
      <c r="B948" t="inlineStr">
        <is>
          <t>NULL</t>
        </is>
      </c>
      <c r="C948" t="inlineStr">
        <is>
          <t>NULL</t>
        </is>
      </c>
      <c r="D948" t="inlineStr">
        <is>
          <t>NULL</t>
        </is>
      </c>
      <c r="E948" t="inlineStr">
        <is>
          <t>NULL</t>
        </is>
      </c>
      <c r="F948" t="inlineStr">
        <is>
          <t>NULL</t>
        </is>
      </c>
      <c r="G948" t="inlineStr">
        <is>
          <t>NULL</t>
        </is>
      </c>
      <c r="H948" t="inlineStr">
        <is>
          <t>NULL</t>
        </is>
      </c>
      <c r="I948" t="inlineStr">
        <is>
          <t>NULL</t>
        </is>
      </c>
      <c r="J948" t="inlineStr">
        <is>
          <t>NULL</t>
        </is>
      </c>
      <c r="K948" t="inlineStr">
        <is>
          <t xml:space="preserve"> NO!  	 c_varchar20列源备映射错误，源端为varchar 20位	期望更改为text	实际备端为varchar 20位</t>
        </is>
      </c>
    </row>
    <row r="949">
      <c r="B949" t="inlineStr">
        <is>
          <t>NULL</t>
        </is>
      </c>
      <c r="C949" t="inlineStr">
        <is>
          <t>NULL</t>
        </is>
      </c>
      <c r="D949" t="inlineStr">
        <is>
          <t>NULL</t>
        </is>
      </c>
      <c r="E949" t="inlineStr">
        <is>
          <t>NULL</t>
        </is>
      </c>
      <c r="F949" t="inlineStr">
        <is>
          <t>NULL</t>
        </is>
      </c>
      <c r="G949" t="inlineStr">
        <is>
          <t>NULL</t>
        </is>
      </c>
      <c r="H949" t="inlineStr">
        <is>
          <t>NULL</t>
        </is>
      </c>
      <c r="I949" t="inlineStr">
        <is>
          <t>NULL</t>
        </is>
      </c>
      <c r="J949" t="inlineStr">
        <is>
          <t>NULL</t>
        </is>
      </c>
      <c r="K949" t="inlineStr">
        <is>
          <t xml:space="preserve"> NO!  	 c_varchar200列源备映射错误，源端为varchar 200位	期望更改为text	实际备端为varchar 200位</t>
        </is>
      </c>
    </row>
    <row r="950">
      <c r="K950" t="inlineStr">
        <is>
          <t>~ 空表</t>
        </is>
      </c>
    </row>
    <row r="951">
      <c r="A951" t="inlineStr">
        <is>
          <t>info_time_dml_batch1_pk_irp2</t>
        </is>
      </c>
      <c r="K951" t="inlineStr">
        <is>
          <t>[0;34m info_time_dml_batch1_pk_irp2 [0m源备字段数相同，源端字段：9 	备端字段9</t>
        </is>
      </c>
      <c r="W951" s="17">
        <f>HYPERLINK("#2026041919hbase0!DH2","NO 源备存在差异，共43个")</f>
        <v/>
      </c>
      <c r="X951">
        <f>A951</f>
        <v/>
      </c>
    </row>
    <row r="952">
      <c r="B952" t="inlineStr">
        <is>
          <t>YES</t>
        </is>
      </c>
      <c r="C952" t="inlineStr">
        <is>
          <t>NULL</t>
        </is>
      </c>
      <c r="D952" t="inlineStr">
        <is>
          <t>NULL</t>
        </is>
      </c>
      <c r="E952" t="inlineStr">
        <is>
          <t>NULL</t>
        </is>
      </c>
      <c r="F952" t="inlineStr">
        <is>
          <t>NULL</t>
        </is>
      </c>
      <c r="G952" t="inlineStr">
        <is>
          <t>NULL</t>
        </is>
      </c>
      <c r="H952" t="inlineStr">
        <is>
          <t>NULL</t>
        </is>
      </c>
      <c r="I952" t="inlineStr">
        <is>
          <t>YES!PK__info_tim__3213E83F775F4E06</t>
        </is>
      </c>
      <c r="J952" t="inlineStr">
        <is>
          <t>YES! 主键相关索引</t>
        </is>
      </c>
      <c r="K952" t="inlineStr">
        <is>
          <t xml:space="preserve"> NO!  	 id列源备映射错误，源端为int None位	期望更改为text	实际备端为int None位</t>
        </is>
      </c>
    </row>
    <row r="953">
      <c r="B953" t="inlineStr">
        <is>
          <t>NULL</t>
        </is>
      </c>
      <c r="C953" t="inlineStr">
        <is>
          <t>NULL</t>
        </is>
      </c>
      <c r="D953" t="inlineStr">
        <is>
          <t>NULL</t>
        </is>
      </c>
      <c r="E953" t="inlineStr">
        <is>
          <t>NULL</t>
        </is>
      </c>
      <c r="F953" t="inlineStr">
        <is>
          <t>NULL</t>
        </is>
      </c>
      <c r="G953" t="inlineStr">
        <is>
          <t>NULL</t>
        </is>
      </c>
      <c r="H953" t="inlineStr">
        <is>
          <t>NULL</t>
        </is>
      </c>
      <c r="I953" t="inlineStr">
        <is>
          <t>NULL</t>
        </is>
      </c>
      <c r="J953" t="inlineStr">
        <is>
          <t>NULL</t>
        </is>
      </c>
      <c r="K953" t="inlineStr">
        <is>
          <t xml:space="preserve"> NO!  	 c_time0列源备映射错误，源端为time None位	期望更改为text	实际备端为time None位</t>
        </is>
      </c>
    </row>
    <row r="954">
      <c r="B954" t="inlineStr">
        <is>
          <t>NULL</t>
        </is>
      </c>
      <c r="C954" t="inlineStr">
        <is>
          <t>NULL</t>
        </is>
      </c>
      <c r="D954" t="inlineStr">
        <is>
          <t>NULL</t>
        </is>
      </c>
      <c r="E954" t="inlineStr">
        <is>
          <t>NULL</t>
        </is>
      </c>
      <c r="F954" t="inlineStr">
        <is>
          <t>NULL</t>
        </is>
      </c>
      <c r="G954" t="inlineStr">
        <is>
          <t>NULL</t>
        </is>
      </c>
      <c r="H954" t="inlineStr">
        <is>
          <t>NULL</t>
        </is>
      </c>
      <c r="I954" t="inlineStr">
        <is>
          <t>NULL</t>
        </is>
      </c>
      <c r="J954" t="inlineStr">
        <is>
          <t>NULL</t>
        </is>
      </c>
      <c r="K954" t="inlineStr">
        <is>
          <t xml:space="preserve"> NO!  	 c_time1列源备映射错误，源端为time None位	期望更改为text	实际备端为time None位</t>
        </is>
      </c>
    </row>
    <row r="955">
      <c r="B955" t="inlineStr">
        <is>
          <t>NULL</t>
        </is>
      </c>
      <c r="C955" t="inlineStr">
        <is>
          <t>NULL</t>
        </is>
      </c>
      <c r="D955" t="inlineStr">
        <is>
          <t>NULL</t>
        </is>
      </c>
      <c r="E955" t="inlineStr">
        <is>
          <t>NULL</t>
        </is>
      </c>
      <c r="F955" t="inlineStr">
        <is>
          <t>NULL</t>
        </is>
      </c>
      <c r="G955" t="inlineStr">
        <is>
          <t>NULL</t>
        </is>
      </c>
      <c r="H955" t="inlineStr">
        <is>
          <t>NULL</t>
        </is>
      </c>
      <c r="I955" t="inlineStr">
        <is>
          <t>NULL</t>
        </is>
      </c>
      <c r="J955" t="inlineStr">
        <is>
          <t>NULL</t>
        </is>
      </c>
      <c r="K955" t="inlineStr">
        <is>
          <t xml:space="preserve"> NO!  	 c_time2列源备映射错误，源端为time None位	期望更改为text	实际备端为time None位</t>
        </is>
      </c>
    </row>
    <row r="956">
      <c r="B956" t="inlineStr">
        <is>
          <t>NULL</t>
        </is>
      </c>
      <c r="C956" t="inlineStr">
        <is>
          <t>NULL</t>
        </is>
      </c>
      <c r="D956" t="inlineStr">
        <is>
          <t>NULL</t>
        </is>
      </c>
      <c r="E956" t="inlineStr">
        <is>
          <t>NULL</t>
        </is>
      </c>
      <c r="F956" t="inlineStr">
        <is>
          <t>NULL</t>
        </is>
      </c>
      <c r="G956" t="inlineStr">
        <is>
          <t>NULL</t>
        </is>
      </c>
      <c r="H956" t="inlineStr">
        <is>
          <t>NULL</t>
        </is>
      </c>
      <c r="I956" t="inlineStr">
        <is>
          <t>NULL</t>
        </is>
      </c>
      <c r="J956" t="inlineStr">
        <is>
          <t>NULL</t>
        </is>
      </c>
      <c r="K956" t="inlineStr">
        <is>
          <t xml:space="preserve"> NO!  	 c_time3列源备映射错误，源端为time None位	期望更改为text	实际备端为time None位</t>
        </is>
      </c>
    </row>
    <row r="957">
      <c r="B957" t="inlineStr">
        <is>
          <t>NULL</t>
        </is>
      </c>
      <c r="C957" t="inlineStr">
        <is>
          <t>NULL</t>
        </is>
      </c>
      <c r="D957" t="inlineStr">
        <is>
          <t>NULL</t>
        </is>
      </c>
      <c r="E957" t="inlineStr">
        <is>
          <t>NULL</t>
        </is>
      </c>
      <c r="F957" t="inlineStr">
        <is>
          <t>NULL</t>
        </is>
      </c>
      <c r="G957" t="inlineStr">
        <is>
          <t>NULL</t>
        </is>
      </c>
      <c r="H957" t="inlineStr">
        <is>
          <t>NULL</t>
        </is>
      </c>
      <c r="I957" t="inlineStr">
        <is>
          <t>NULL</t>
        </is>
      </c>
      <c r="J957" t="inlineStr">
        <is>
          <t>NULL</t>
        </is>
      </c>
      <c r="K957" t="inlineStr">
        <is>
          <t xml:space="preserve"> NO!  	 c_time4列源备映射错误，源端为time None位	期望更改为text	实际备端为time None位</t>
        </is>
      </c>
    </row>
    <row r="958">
      <c r="B958" t="inlineStr">
        <is>
          <t>NULL</t>
        </is>
      </c>
      <c r="C958" t="inlineStr">
        <is>
          <t>NULL</t>
        </is>
      </c>
      <c r="D958" t="inlineStr">
        <is>
          <t>NULL</t>
        </is>
      </c>
      <c r="E958" t="inlineStr">
        <is>
          <t>NULL</t>
        </is>
      </c>
      <c r="F958" t="inlineStr">
        <is>
          <t>NULL</t>
        </is>
      </c>
      <c r="G958" t="inlineStr">
        <is>
          <t>NULL</t>
        </is>
      </c>
      <c r="H958" t="inlineStr">
        <is>
          <t>NULL</t>
        </is>
      </c>
      <c r="I958" t="inlineStr">
        <is>
          <t>NULL</t>
        </is>
      </c>
      <c r="J958" t="inlineStr">
        <is>
          <t>NULL</t>
        </is>
      </c>
      <c r="K958" t="inlineStr">
        <is>
          <t xml:space="preserve"> NO!  	 c_time5列源备映射错误，源端为time None位	期望更改为text	实际备端为time None位</t>
        </is>
      </c>
    </row>
    <row r="959">
      <c r="B959" t="inlineStr">
        <is>
          <t>NULL</t>
        </is>
      </c>
      <c r="C959" t="inlineStr">
        <is>
          <t>NULL</t>
        </is>
      </c>
      <c r="D959" t="inlineStr">
        <is>
          <t>NULL</t>
        </is>
      </c>
      <c r="E959" t="inlineStr">
        <is>
          <t>NULL</t>
        </is>
      </c>
      <c r="F959" t="inlineStr">
        <is>
          <t>NULL</t>
        </is>
      </c>
      <c r="G959" t="inlineStr">
        <is>
          <t>NULL</t>
        </is>
      </c>
      <c r="H959" t="inlineStr">
        <is>
          <t>NULL</t>
        </is>
      </c>
      <c r="I959" t="inlineStr">
        <is>
          <t>NULL</t>
        </is>
      </c>
      <c r="J959" t="inlineStr">
        <is>
          <t>NULL</t>
        </is>
      </c>
      <c r="K959" t="inlineStr">
        <is>
          <t xml:space="preserve"> NO!  	 c_time6列源备映射错误，源端为time None位	期望更改为text	实际备端为time None位</t>
        </is>
      </c>
    </row>
    <row r="960">
      <c r="B960" t="inlineStr">
        <is>
          <t>NULL</t>
        </is>
      </c>
      <c r="C960" t="inlineStr">
        <is>
          <t>NULL</t>
        </is>
      </c>
      <c r="D960" t="inlineStr">
        <is>
          <t>NULL</t>
        </is>
      </c>
      <c r="E960" t="inlineStr">
        <is>
          <t>NULL</t>
        </is>
      </c>
      <c r="F960" t="inlineStr">
        <is>
          <t>NULL</t>
        </is>
      </c>
      <c r="G960" t="inlineStr">
        <is>
          <t>NULL</t>
        </is>
      </c>
      <c r="H960" t="inlineStr">
        <is>
          <t>NULL</t>
        </is>
      </c>
      <c r="I960" t="inlineStr">
        <is>
          <t>NULL</t>
        </is>
      </c>
      <c r="J960" t="inlineStr">
        <is>
          <t>NULL</t>
        </is>
      </c>
      <c r="K960" t="inlineStr">
        <is>
          <t xml:space="preserve"> NO!  	 c_time列源备映射错误，源端为time None位	期望更改为text	实际备端为time None位</t>
        </is>
      </c>
    </row>
    <row r="961">
      <c r="A961" t="inlineStr">
        <is>
          <t>info_datetime_dml_single_pk</t>
        </is>
      </c>
      <c r="K961" t="inlineStr">
        <is>
          <t>[0;34m info_datetime_dml_single_pk [0m源备字段数相同，源端字段：2 	备端字段2</t>
        </is>
      </c>
      <c r="W961" s="17">
        <f>HYPERLINK("#2026041919hbase0!DI2","NO 源备存在差异，共1个")</f>
        <v/>
      </c>
      <c r="X961">
        <f>A961</f>
        <v/>
      </c>
    </row>
    <row r="962">
      <c r="B962" t="inlineStr">
        <is>
          <t>YES</t>
        </is>
      </c>
      <c r="C962" t="inlineStr">
        <is>
          <t>NULL</t>
        </is>
      </c>
      <c r="D962" t="inlineStr">
        <is>
          <t>NULL</t>
        </is>
      </c>
      <c r="E962" t="inlineStr">
        <is>
          <t>NULL</t>
        </is>
      </c>
      <c r="F962" t="inlineStr">
        <is>
          <t>NULL</t>
        </is>
      </c>
      <c r="G962" t="inlineStr">
        <is>
          <t>NULL</t>
        </is>
      </c>
      <c r="H962" t="inlineStr">
        <is>
          <t>NULL</t>
        </is>
      </c>
      <c r="I962" t="inlineStr">
        <is>
          <t>YES!PK__info_dat__3213E83FBAC7D352</t>
        </is>
      </c>
      <c r="J962" t="inlineStr">
        <is>
          <t>YES! 主键相关索引</t>
        </is>
      </c>
      <c r="K962" t="inlineStr">
        <is>
          <t xml:space="preserve"> NO!  	 id列源备映射错误，源端为int None位	期望更改为text	实际备端为int None位</t>
        </is>
      </c>
    </row>
    <row r="963">
      <c r="B963" t="inlineStr">
        <is>
          <t>NULL</t>
        </is>
      </c>
      <c r="C963" t="inlineStr">
        <is>
          <t>NULL</t>
        </is>
      </c>
      <c r="D963" t="inlineStr">
        <is>
          <t>NULL</t>
        </is>
      </c>
      <c r="E963" t="inlineStr">
        <is>
          <t>NULL</t>
        </is>
      </c>
      <c r="F963" t="inlineStr">
        <is>
          <t>NULL</t>
        </is>
      </c>
      <c r="G963" t="inlineStr">
        <is>
          <t>NULL</t>
        </is>
      </c>
      <c r="H963" t="inlineStr">
        <is>
          <t>NULL</t>
        </is>
      </c>
      <c r="I963" t="inlineStr">
        <is>
          <t>NULL</t>
        </is>
      </c>
      <c r="J963" t="inlineStr">
        <is>
          <t>NULL</t>
        </is>
      </c>
      <c r="K963" t="inlineStr">
        <is>
          <t xml:space="preserve"> NO!  	 c_datetime列源备映射错误，源端为datetime None位	期望更改为text	实际备端为datetime None位</t>
        </is>
      </c>
    </row>
    <row r="964">
      <c r="A964" t="inlineStr">
        <is>
          <t>info_sql_variant_dml_single_pk_irp</t>
        </is>
      </c>
      <c r="K964" t="inlineStr">
        <is>
          <t>[0;34m info_sql_variant_dml_single_pk_irp [0m源备字段数相同，源端字段：25 	备端字段25</t>
        </is>
      </c>
      <c r="W964" s="17">
        <f>HYPERLINK("#2026041919hbase0!DJ2","NO 源备存在差异，共2个")</f>
        <v/>
      </c>
      <c r="X964">
        <f>A964</f>
        <v/>
      </c>
    </row>
    <row r="965">
      <c r="B965" t="inlineStr">
        <is>
          <t>YES</t>
        </is>
      </c>
      <c r="C965" t="inlineStr">
        <is>
          <t>NULL</t>
        </is>
      </c>
      <c r="D965" t="inlineStr">
        <is>
          <t>NULL</t>
        </is>
      </c>
      <c r="E965" t="inlineStr">
        <is>
          <t>NULL</t>
        </is>
      </c>
      <c r="F965" t="inlineStr">
        <is>
          <t>NULL</t>
        </is>
      </c>
      <c r="G965" t="inlineStr">
        <is>
          <t>NULL</t>
        </is>
      </c>
      <c r="H965" t="inlineStr">
        <is>
          <t>NULL</t>
        </is>
      </c>
      <c r="I965" t="inlineStr">
        <is>
          <t>YES!PK__info_sql__3213E83F3E87AF60</t>
        </is>
      </c>
      <c r="J965" t="inlineStr">
        <is>
          <t>YES! 主键相关索引</t>
        </is>
      </c>
      <c r="K965" t="inlineStr">
        <is>
          <t xml:space="preserve"> NO!  	 id列源备映射错误，源端为int None位	期望更改为text	实际备端为int None位</t>
        </is>
      </c>
    </row>
    <row r="966">
      <c r="B966" t="inlineStr">
        <is>
          <t>NULL</t>
        </is>
      </c>
      <c r="C966" t="inlineStr">
        <is>
          <t>NULL</t>
        </is>
      </c>
      <c r="D966" t="inlineStr">
        <is>
          <t>NULL</t>
        </is>
      </c>
      <c r="E966" t="inlineStr">
        <is>
          <t>NULL</t>
        </is>
      </c>
      <c r="F966" t="inlineStr">
        <is>
          <t>NULL</t>
        </is>
      </c>
      <c r="G966" t="inlineStr">
        <is>
          <t>NULL</t>
        </is>
      </c>
      <c r="H966" t="inlineStr">
        <is>
          <t>NULL</t>
        </is>
      </c>
      <c r="I966" t="inlineStr">
        <is>
          <t>NULL</t>
        </is>
      </c>
      <c r="J966" t="inlineStr">
        <is>
          <t>NULL</t>
        </is>
      </c>
      <c r="K966" t="inlineStr">
        <is>
          <t xml:space="preserve"> NO!  	 c_date列源备映射错误，源端为sql_variant 0位	期望更改为text	实际备端为sql_variant 0位</t>
        </is>
      </c>
    </row>
    <row r="967">
      <c r="B967" t="inlineStr">
        <is>
          <t>NULL</t>
        </is>
      </c>
      <c r="C967" t="inlineStr">
        <is>
          <t>NULL</t>
        </is>
      </c>
      <c r="D967" t="inlineStr">
        <is>
          <t>NULL</t>
        </is>
      </c>
      <c r="E967" t="inlineStr">
        <is>
          <t>NULL</t>
        </is>
      </c>
      <c r="F967" t="inlineStr">
        <is>
          <t>NULL</t>
        </is>
      </c>
      <c r="G967" t="inlineStr">
        <is>
          <t>NULL</t>
        </is>
      </c>
      <c r="H967" t="inlineStr">
        <is>
          <t>NULL</t>
        </is>
      </c>
      <c r="I967" t="inlineStr">
        <is>
          <t>NULL</t>
        </is>
      </c>
      <c r="J967" t="inlineStr">
        <is>
          <t>NULL</t>
        </is>
      </c>
      <c r="K967" t="inlineStr">
        <is>
          <t xml:space="preserve"> NO!  	 c_time列源备映射错误，源端为sql_variant 0位	期望更改为text	实际备端为sql_variant 0位</t>
        </is>
      </c>
    </row>
    <row r="968">
      <c r="B968" t="inlineStr">
        <is>
          <t>NULL</t>
        </is>
      </c>
      <c r="C968" t="inlineStr">
        <is>
          <t>NULL</t>
        </is>
      </c>
      <c r="D968" t="inlineStr">
        <is>
          <t>NULL</t>
        </is>
      </c>
      <c r="E968" t="inlineStr">
        <is>
          <t>NULL</t>
        </is>
      </c>
      <c r="F968" t="inlineStr">
        <is>
          <t>NULL</t>
        </is>
      </c>
      <c r="G968" t="inlineStr">
        <is>
          <t>NULL</t>
        </is>
      </c>
      <c r="H968" t="inlineStr">
        <is>
          <t>NULL</t>
        </is>
      </c>
      <c r="I968" t="inlineStr">
        <is>
          <t>NULL</t>
        </is>
      </c>
      <c r="J968" t="inlineStr">
        <is>
          <t>NULL</t>
        </is>
      </c>
      <c r="K968" t="inlineStr">
        <is>
          <t xml:space="preserve"> NO!  	 c_datetime2列源备映射错误，源端为sql_variant 0位	期望更改为text	实际备端为sql_variant 0位</t>
        </is>
      </c>
    </row>
    <row r="969">
      <c r="B969" t="inlineStr">
        <is>
          <t>NULL</t>
        </is>
      </c>
      <c r="C969" t="inlineStr">
        <is>
          <t>NULL</t>
        </is>
      </c>
      <c r="D969" t="inlineStr">
        <is>
          <t>NULL</t>
        </is>
      </c>
      <c r="E969" t="inlineStr">
        <is>
          <t>NULL</t>
        </is>
      </c>
      <c r="F969" t="inlineStr">
        <is>
          <t>NULL</t>
        </is>
      </c>
      <c r="G969" t="inlineStr">
        <is>
          <t>NULL</t>
        </is>
      </c>
      <c r="H969" t="inlineStr">
        <is>
          <t>NULL</t>
        </is>
      </c>
      <c r="I969" t="inlineStr">
        <is>
          <t>NULL</t>
        </is>
      </c>
      <c r="J969" t="inlineStr">
        <is>
          <t>NULL</t>
        </is>
      </c>
      <c r="K969" t="inlineStr">
        <is>
          <t xml:space="preserve"> NO!  	 c_datetimeoffset列源备映射错误，源端为sql_variant 0位	期望更改为text	实际备端为sql_variant 0位</t>
        </is>
      </c>
    </row>
    <row r="970">
      <c r="B970" t="inlineStr">
        <is>
          <t>NULL</t>
        </is>
      </c>
      <c r="C970" t="inlineStr">
        <is>
          <t>NULL</t>
        </is>
      </c>
      <c r="D970" t="inlineStr">
        <is>
          <t>NULL</t>
        </is>
      </c>
      <c r="E970" t="inlineStr">
        <is>
          <t>NULL</t>
        </is>
      </c>
      <c r="F970" t="inlineStr">
        <is>
          <t>NULL</t>
        </is>
      </c>
      <c r="G970" t="inlineStr">
        <is>
          <t>NULL</t>
        </is>
      </c>
      <c r="H970" t="inlineStr">
        <is>
          <t>NULL</t>
        </is>
      </c>
      <c r="I970" t="inlineStr">
        <is>
          <t>NULL</t>
        </is>
      </c>
      <c r="J970" t="inlineStr">
        <is>
          <t>NULL</t>
        </is>
      </c>
      <c r="K970" t="inlineStr">
        <is>
          <t xml:space="preserve"> NO!  	 c_tinyint列源备映射错误，源端为sql_variant 0位	期望更改为text	实际备端为sql_variant 0位</t>
        </is>
      </c>
    </row>
    <row r="971">
      <c r="B971" t="inlineStr">
        <is>
          <t>NULL</t>
        </is>
      </c>
      <c r="C971" t="inlineStr">
        <is>
          <t>NULL</t>
        </is>
      </c>
      <c r="D971" t="inlineStr">
        <is>
          <t>NULL</t>
        </is>
      </c>
      <c r="E971" t="inlineStr">
        <is>
          <t>NULL</t>
        </is>
      </c>
      <c r="F971" t="inlineStr">
        <is>
          <t>NULL</t>
        </is>
      </c>
      <c r="G971" t="inlineStr">
        <is>
          <t>NULL</t>
        </is>
      </c>
      <c r="H971" t="inlineStr">
        <is>
          <t>NULL</t>
        </is>
      </c>
      <c r="I971" t="inlineStr">
        <is>
          <t>NULL</t>
        </is>
      </c>
      <c r="J971" t="inlineStr">
        <is>
          <t>NULL</t>
        </is>
      </c>
      <c r="K971" t="inlineStr">
        <is>
          <t xml:space="preserve"> NO!  	 c_smallint列源备映射错误，源端为sql_variant 0位	期望更改为text	实际备端为sql_variant 0位</t>
        </is>
      </c>
    </row>
    <row r="972">
      <c r="B972" t="inlineStr">
        <is>
          <t>NULL</t>
        </is>
      </c>
      <c r="C972" t="inlineStr">
        <is>
          <t>NULL</t>
        </is>
      </c>
      <c r="D972" t="inlineStr">
        <is>
          <t>NULL</t>
        </is>
      </c>
      <c r="E972" t="inlineStr">
        <is>
          <t>NULL</t>
        </is>
      </c>
      <c r="F972" t="inlineStr">
        <is>
          <t>NULL</t>
        </is>
      </c>
      <c r="G972" t="inlineStr">
        <is>
          <t>NULL</t>
        </is>
      </c>
      <c r="H972" t="inlineStr">
        <is>
          <t>NULL</t>
        </is>
      </c>
      <c r="I972" t="inlineStr">
        <is>
          <t>NULL</t>
        </is>
      </c>
      <c r="J972" t="inlineStr">
        <is>
          <t>NULL</t>
        </is>
      </c>
      <c r="K972" t="inlineStr">
        <is>
          <t xml:space="preserve"> NO!  	 c_int列源备映射错误，源端为sql_variant 0位	期望更改为text	实际备端为sql_variant 0位</t>
        </is>
      </c>
    </row>
    <row r="973">
      <c r="B973" t="inlineStr">
        <is>
          <t>NULL</t>
        </is>
      </c>
      <c r="C973" t="inlineStr">
        <is>
          <t>NULL</t>
        </is>
      </c>
      <c r="D973" t="inlineStr">
        <is>
          <t>NULL</t>
        </is>
      </c>
      <c r="E973" t="inlineStr">
        <is>
          <t>NULL</t>
        </is>
      </c>
      <c r="F973" t="inlineStr">
        <is>
          <t>NULL</t>
        </is>
      </c>
      <c r="G973" t="inlineStr">
        <is>
          <t>NULL</t>
        </is>
      </c>
      <c r="H973" t="inlineStr">
        <is>
          <t>NULL</t>
        </is>
      </c>
      <c r="I973" t="inlineStr">
        <is>
          <t>NULL</t>
        </is>
      </c>
      <c r="J973" t="inlineStr">
        <is>
          <t>NULL</t>
        </is>
      </c>
      <c r="K973" t="inlineStr">
        <is>
          <t xml:space="preserve"> NO!  	 c_sdt列源备映射错误，源端为sql_variant 0位	期望更改为text	实际备端为sql_variant 0位</t>
        </is>
      </c>
    </row>
    <row r="974">
      <c r="B974" t="inlineStr">
        <is>
          <t>NULL</t>
        </is>
      </c>
      <c r="C974" t="inlineStr">
        <is>
          <t>NULL</t>
        </is>
      </c>
      <c r="D974" t="inlineStr">
        <is>
          <t>NULL</t>
        </is>
      </c>
      <c r="E974" t="inlineStr">
        <is>
          <t>NULL</t>
        </is>
      </c>
      <c r="F974" t="inlineStr">
        <is>
          <t>NULL</t>
        </is>
      </c>
      <c r="G974" t="inlineStr">
        <is>
          <t>NULL</t>
        </is>
      </c>
      <c r="H974" t="inlineStr">
        <is>
          <t>NULL</t>
        </is>
      </c>
      <c r="I974" t="inlineStr">
        <is>
          <t>NULL</t>
        </is>
      </c>
      <c r="J974" t="inlineStr">
        <is>
          <t>NULL</t>
        </is>
      </c>
      <c r="K974" t="inlineStr">
        <is>
          <t xml:space="preserve"> NO!  	 c_real列源备映射错误，源端为sql_variant 0位	期望更改为text	实际备端为sql_variant 0位</t>
        </is>
      </c>
    </row>
    <row r="975">
      <c r="B975" t="inlineStr">
        <is>
          <t>NULL</t>
        </is>
      </c>
      <c r="C975" t="inlineStr">
        <is>
          <t>NULL</t>
        </is>
      </c>
      <c r="D975" t="inlineStr">
        <is>
          <t>NULL</t>
        </is>
      </c>
      <c r="E975" t="inlineStr">
        <is>
          <t>NULL</t>
        </is>
      </c>
      <c r="F975" t="inlineStr">
        <is>
          <t>NULL</t>
        </is>
      </c>
      <c r="G975" t="inlineStr">
        <is>
          <t>NULL</t>
        </is>
      </c>
      <c r="H975" t="inlineStr">
        <is>
          <t>NULL</t>
        </is>
      </c>
      <c r="I975" t="inlineStr">
        <is>
          <t>NULL</t>
        </is>
      </c>
      <c r="J975" t="inlineStr">
        <is>
          <t>NULL</t>
        </is>
      </c>
      <c r="K975" t="inlineStr">
        <is>
          <t xml:space="preserve"> NO!  	 c_money列源备映射错误，源端为sql_variant 0位	期望更改为text	实际备端为sql_variant 0位</t>
        </is>
      </c>
    </row>
    <row r="976">
      <c r="B976" t="inlineStr">
        <is>
          <t>NULL</t>
        </is>
      </c>
      <c r="C976" t="inlineStr">
        <is>
          <t>NULL</t>
        </is>
      </c>
      <c r="D976" t="inlineStr">
        <is>
          <t>NULL</t>
        </is>
      </c>
      <c r="E976" t="inlineStr">
        <is>
          <t>NULL</t>
        </is>
      </c>
      <c r="F976" t="inlineStr">
        <is>
          <t>NULL</t>
        </is>
      </c>
      <c r="G976" t="inlineStr">
        <is>
          <t>NULL</t>
        </is>
      </c>
      <c r="H976" t="inlineStr">
        <is>
          <t>NULL</t>
        </is>
      </c>
      <c r="I976" t="inlineStr">
        <is>
          <t>NULL</t>
        </is>
      </c>
      <c r="J976" t="inlineStr">
        <is>
          <t>NULL</t>
        </is>
      </c>
      <c r="K976" t="inlineStr">
        <is>
          <t xml:space="preserve"> NO!  	 c_datetime列源备映射错误，源端为sql_variant 0位	期望更改为text	实际备端为sql_variant 0位</t>
        </is>
      </c>
    </row>
    <row r="977">
      <c r="B977" t="inlineStr">
        <is>
          <t>NULL</t>
        </is>
      </c>
      <c r="C977" t="inlineStr">
        <is>
          <t>NULL</t>
        </is>
      </c>
      <c r="D977" t="inlineStr">
        <is>
          <t>NULL</t>
        </is>
      </c>
      <c r="E977" t="inlineStr">
        <is>
          <t>NULL</t>
        </is>
      </c>
      <c r="F977" t="inlineStr">
        <is>
          <t>NULL</t>
        </is>
      </c>
      <c r="G977" t="inlineStr">
        <is>
          <t>NULL</t>
        </is>
      </c>
      <c r="H977" t="inlineStr">
        <is>
          <t>NULL</t>
        </is>
      </c>
      <c r="I977" t="inlineStr">
        <is>
          <t>NULL</t>
        </is>
      </c>
      <c r="J977" t="inlineStr">
        <is>
          <t>NULL</t>
        </is>
      </c>
      <c r="K977" t="inlineStr">
        <is>
          <t xml:space="preserve"> NO!  	 c_float列源备映射错误，源端为sql_variant 0位	期望更改为text	实际备端为sql_variant 0位</t>
        </is>
      </c>
    </row>
    <row r="978">
      <c r="B978" t="inlineStr">
        <is>
          <t>NULL</t>
        </is>
      </c>
      <c r="C978" t="inlineStr">
        <is>
          <t>NULL</t>
        </is>
      </c>
      <c r="D978" t="inlineStr">
        <is>
          <t>NULL</t>
        </is>
      </c>
      <c r="E978" t="inlineStr">
        <is>
          <t>NULL</t>
        </is>
      </c>
      <c r="F978" t="inlineStr">
        <is>
          <t>NULL</t>
        </is>
      </c>
      <c r="G978" t="inlineStr">
        <is>
          <t>NULL</t>
        </is>
      </c>
      <c r="H978" t="inlineStr">
        <is>
          <t>NULL</t>
        </is>
      </c>
      <c r="I978" t="inlineStr">
        <is>
          <t>NULL</t>
        </is>
      </c>
      <c r="J978" t="inlineStr">
        <is>
          <t>NULL</t>
        </is>
      </c>
      <c r="K978" t="inlineStr">
        <is>
          <t xml:space="preserve"> NO!  	 c_bit列源备映射错误，源端为sql_variant 0位	期望更改为text	实际备端为sql_variant 0位</t>
        </is>
      </c>
    </row>
    <row r="979">
      <c r="B979" t="inlineStr">
        <is>
          <t>NULL</t>
        </is>
      </c>
      <c r="C979" t="inlineStr">
        <is>
          <t>NULL</t>
        </is>
      </c>
      <c r="D979" t="inlineStr">
        <is>
          <t>NULL</t>
        </is>
      </c>
      <c r="E979" t="inlineStr">
        <is>
          <t>NULL</t>
        </is>
      </c>
      <c r="F979" t="inlineStr">
        <is>
          <t>NULL</t>
        </is>
      </c>
      <c r="G979" t="inlineStr">
        <is>
          <t>NULL</t>
        </is>
      </c>
      <c r="H979" t="inlineStr">
        <is>
          <t>NULL</t>
        </is>
      </c>
      <c r="I979" t="inlineStr">
        <is>
          <t>NULL</t>
        </is>
      </c>
      <c r="J979" t="inlineStr">
        <is>
          <t>NULL</t>
        </is>
      </c>
      <c r="K979" t="inlineStr">
        <is>
          <t xml:space="preserve"> NO!  	 c_decimal列源备映射错误，源端为sql_variant 0位	期望更改为text	实际备端为sql_variant 0位</t>
        </is>
      </c>
    </row>
    <row r="980">
      <c r="B980" t="inlineStr">
        <is>
          <t>NULL</t>
        </is>
      </c>
      <c r="C980" t="inlineStr">
        <is>
          <t>NULL</t>
        </is>
      </c>
      <c r="D980" t="inlineStr">
        <is>
          <t>NULL</t>
        </is>
      </c>
      <c r="E980" t="inlineStr">
        <is>
          <t>NULL</t>
        </is>
      </c>
      <c r="F980" t="inlineStr">
        <is>
          <t>NULL</t>
        </is>
      </c>
      <c r="G980" t="inlineStr">
        <is>
          <t>NULL</t>
        </is>
      </c>
      <c r="H980" t="inlineStr">
        <is>
          <t>NULL</t>
        </is>
      </c>
      <c r="I980" t="inlineStr">
        <is>
          <t>NULL</t>
        </is>
      </c>
      <c r="J980" t="inlineStr">
        <is>
          <t>NULL</t>
        </is>
      </c>
      <c r="K980" t="inlineStr">
        <is>
          <t xml:space="preserve"> NO!  	 c_uniqueidentifier列源备映射错误，源端为sql_variant 0位	期望更改为text	实际备端为sql_variant 0位</t>
        </is>
      </c>
    </row>
    <row r="981">
      <c r="B981" t="inlineStr">
        <is>
          <t>NULL</t>
        </is>
      </c>
      <c r="C981" t="inlineStr">
        <is>
          <t>NULL</t>
        </is>
      </c>
      <c r="D981" t="inlineStr">
        <is>
          <t>NULL</t>
        </is>
      </c>
      <c r="E981" t="inlineStr">
        <is>
          <t>NULL</t>
        </is>
      </c>
      <c r="F981" t="inlineStr">
        <is>
          <t>NULL</t>
        </is>
      </c>
      <c r="G981" t="inlineStr">
        <is>
          <t>NULL</t>
        </is>
      </c>
      <c r="H981" t="inlineStr">
        <is>
          <t>NULL</t>
        </is>
      </c>
      <c r="I981" t="inlineStr">
        <is>
          <t>NULL</t>
        </is>
      </c>
      <c r="J981" t="inlineStr">
        <is>
          <t>NULL</t>
        </is>
      </c>
      <c r="K981" t="inlineStr">
        <is>
          <t xml:space="preserve"> NO!  	 c_smallmoney列源备映射错误，源端为sql_variant 0位	期望更改为text	实际备端为sql_variant 0位</t>
        </is>
      </c>
    </row>
    <row r="982">
      <c r="B982" t="inlineStr">
        <is>
          <t>NULL</t>
        </is>
      </c>
      <c r="C982" t="inlineStr">
        <is>
          <t>NULL</t>
        </is>
      </c>
      <c r="D982" t="inlineStr">
        <is>
          <t>NULL</t>
        </is>
      </c>
      <c r="E982" t="inlineStr">
        <is>
          <t>NULL</t>
        </is>
      </c>
      <c r="F982" t="inlineStr">
        <is>
          <t>NULL</t>
        </is>
      </c>
      <c r="G982" t="inlineStr">
        <is>
          <t>NULL</t>
        </is>
      </c>
      <c r="H982" t="inlineStr">
        <is>
          <t>NULL</t>
        </is>
      </c>
      <c r="I982" t="inlineStr">
        <is>
          <t>NULL</t>
        </is>
      </c>
      <c r="J982" t="inlineStr">
        <is>
          <t>NULL</t>
        </is>
      </c>
      <c r="K982" t="inlineStr">
        <is>
          <t xml:space="preserve"> NO!  	 c_bigint列源备映射错误，源端为sql_variant 0位	期望更改为text	实际备端为sql_variant 0位</t>
        </is>
      </c>
    </row>
    <row r="983">
      <c r="B983" t="inlineStr">
        <is>
          <t>NULL</t>
        </is>
      </c>
      <c r="C983" t="inlineStr">
        <is>
          <t>NULL</t>
        </is>
      </c>
      <c r="D983" t="inlineStr">
        <is>
          <t>NULL</t>
        </is>
      </c>
      <c r="E983" t="inlineStr">
        <is>
          <t>NULL</t>
        </is>
      </c>
      <c r="F983" t="inlineStr">
        <is>
          <t>NULL</t>
        </is>
      </c>
      <c r="G983" t="inlineStr">
        <is>
          <t>NULL</t>
        </is>
      </c>
      <c r="H983" t="inlineStr">
        <is>
          <t>NULL</t>
        </is>
      </c>
      <c r="I983" t="inlineStr">
        <is>
          <t>NULL</t>
        </is>
      </c>
      <c r="J983" t="inlineStr">
        <is>
          <t>NULL</t>
        </is>
      </c>
      <c r="K983" t="inlineStr">
        <is>
          <t xml:space="preserve"> NO!  	 c_varbinary_20列源备映射错误，源端为sql_variant 0位	期望更改为text	实际备端为sql_variant 0位</t>
        </is>
      </c>
    </row>
    <row r="984">
      <c r="B984" t="inlineStr">
        <is>
          <t>NULL</t>
        </is>
      </c>
      <c r="C984" t="inlineStr">
        <is>
          <t>NULL</t>
        </is>
      </c>
      <c r="D984" t="inlineStr">
        <is>
          <t>NULL</t>
        </is>
      </c>
      <c r="E984" t="inlineStr">
        <is>
          <t>NULL</t>
        </is>
      </c>
      <c r="F984" t="inlineStr">
        <is>
          <t>NULL</t>
        </is>
      </c>
      <c r="G984" t="inlineStr">
        <is>
          <t>NULL</t>
        </is>
      </c>
      <c r="H984" t="inlineStr">
        <is>
          <t>NULL</t>
        </is>
      </c>
      <c r="I984" t="inlineStr">
        <is>
          <t>NULL</t>
        </is>
      </c>
      <c r="J984" t="inlineStr">
        <is>
          <t>NULL</t>
        </is>
      </c>
      <c r="K984" t="inlineStr">
        <is>
          <t xml:space="preserve"> NO!  	 c_varchar_20列源备映射错误，源端为sql_variant 0位	期望更改为text	实际备端为sql_variant 0位</t>
        </is>
      </c>
    </row>
    <row r="985">
      <c r="B985" t="inlineStr">
        <is>
          <t>NULL</t>
        </is>
      </c>
      <c r="C985" t="inlineStr">
        <is>
          <t>NULL</t>
        </is>
      </c>
      <c r="D985" t="inlineStr">
        <is>
          <t>NULL</t>
        </is>
      </c>
      <c r="E985" t="inlineStr">
        <is>
          <t>NULL</t>
        </is>
      </c>
      <c r="F985" t="inlineStr">
        <is>
          <t>NULL</t>
        </is>
      </c>
      <c r="G985" t="inlineStr">
        <is>
          <t>NULL</t>
        </is>
      </c>
      <c r="H985" t="inlineStr">
        <is>
          <t>NULL</t>
        </is>
      </c>
      <c r="I985" t="inlineStr">
        <is>
          <t>NULL</t>
        </is>
      </c>
      <c r="J985" t="inlineStr">
        <is>
          <t>NULL</t>
        </is>
      </c>
      <c r="K985" t="inlineStr">
        <is>
          <t xml:space="preserve"> NO!  	 c_binary_20列源备映射错误，源端为sql_variant 0位	期望更改为text	实际备端为sql_variant 0位</t>
        </is>
      </c>
    </row>
    <row r="986">
      <c r="B986" t="inlineStr">
        <is>
          <t>NULL</t>
        </is>
      </c>
      <c r="C986" t="inlineStr">
        <is>
          <t>NULL</t>
        </is>
      </c>
      <c r="D986" t="inlineStr">
        <is>
          <t>NULL</t>
        </is>
      </c>
      <c r="E986" t="inlineStr">
        <is>
          <t>NULL</t>
        </is>
      </c>
      <c r="F986" t="inlineStr">
        <is>
          <t>NULL</t>
        </is>
      </c>
      <c r="G986" t="inlineStr">
        <is>
          <t>NULL</t>
        </is>
      </c>
      <c r="H986" t="inlineStr">
        <is>
          <t>NULL</t>
        </is>
      </c>
      <c r="I986" t="inlineStr">
        <is>
          <t>NULL</t>
        </is>
      </c>
      <c r="J986" t="inlineStr">
        <is>
          <t>NULL</t>
        </is>
      </c>
      <c r="K986" t="inlineStr">
        <is>
          <t xml:space="preserve"> NO!  	 c_char_20列源备映射错误，源端为sql_variant 0位	期望更改为text	实际备端为sql_variant 0位</t>
        </is>
      </c>
    </row>
    <row r="987">
      <c r="B987" t="inlineStr">
        <is>
          <t>NULL</t>
        </is>
      </c>
      <c r="C987" t="inlineStr">
        <is>
          <t>NULL</t>
        </is>
      </c>
      <c r="D987" t="inlineStr">
        <is>
          <t>NULL</t>
        </is>
      </c>
      <c r="E987" t="inlineStr">
        <is>
          <t>NULL</t>
        </is>
      </c>
      <c r="F987" t="inlineStr">
        <is>
          <t>NULL</t>
        </is>
      </c>
      <c r="G987" t="inlineStr">
        <is>
          <t>NULL</t>
        </is>
      </c>
      <c r="H987" t="inlineStr">
        <is>
          <t>NULL</t>
        </is>
      </c>
      <c r="I987" t="inlineStr">
        <is>
          <t>NULL</t>
        </is>
      </c>
      <c r="J987" t="inlineStr">
        <is>
          <t>NULL</t>
        </is>
      </c>
      <c r="K987" t="inlineStr">
        <is>
          <t xml:space="preserve"> NO!  	 c_nvarchar_20列源备映射错误，源端为sql_variant 0位	期望更改为text	实际备端为sql_variant 0位</t>
        </is>
      </c>
    </row>
    <row r="988">
      <c r="B988" t="inlineStr">
        <is>
          <t>NULL</t>
        </is>
      </c>
      <c r="C988" t="inlineStr">
        <is>
          <t>NULL</t>
        </is>
      </c>
      <c r="D988" t="inlineStr">
        <is>
          <t>NULL</t>
        </is>
      </c>
      <c r="E988" t="inlineStr">
        <is>
          <t>NULL</t>
        </is>
      </c>
      <c r="F988" t="inlineStr">
        <is>
          <t>NULL</t>
        </is>
      </c>
      <c r="G988" t="inlineStr">
        <is>
          <t>NULL</t>
        </is>
      </c>
      <c r="H988" t="inlineStr">
        <is>
          <t>NULL</t>
        </is>
      </c>
      <c r="I988" t="inlineStr">
        <is>
          <t>NULL</t>
        </is>
      </c>
      <c r="J988" t="inlineStr">
        <is>
          <t>NULL</t>
        </is>
      </c>
      <c r="K988" t="inlineStr">
        <is>
          <t xml:space="preserve"> NO!  	 c_nchar_20列源备映射错误，源端为sql_variant 0位	期望更改为text	实际备端为sql_variant 0位</t>
        </is>
      </c>
    </row>
    <row r="989">
      <c r="B989" t="inlineStr">
        <is>
          <t>NULL</t>
        </is>
      </c>
      <c r="C989" t="inlineStr">
        <is>
          <t>NULL</t>
        </is>
      </c>
      <c r="D989" t="inlineStr">
        <is>
          <t>NULL</t>
        </is>
      </c>
      <c r="E989" t="inlineStr">
        <is>
          <t>NULL</t>
        </is>
      </c>
      <c r="F989" t="inlineStr">
        <is>
          <t>NULL</t>
        </is>
      </c>
      <c r="G989" t="inlineStr">
        <is>
          <t>NULL</t>
        </is>
      </c>
      <c r="H989" t="inlineStr">
        <is>
          <t>NULL</t>
        </is>
      </c>
      <c r="I989" t="inlineStr">
        <is>
          <t>NULL</t>
        </is>
      </c>
      <c r="J989" t="inlineStr">
        <is>
          <t>NULL</t>
        </is>
      </c>
      <c r="K989" t="inlineStr">
        <is>
          <t xml:space="preserve"> NO!  	 c_timestamp列源备映射错误，源端为timestamp None位	期望更改为text	实际备端为timestamp None位</t>
        </is>
      </c>
    </row>
    <row r="990">
      <c r="A990" t="inlineStr">
        <is>
          <t>info_varcharmax_dml_batch1_pk</t>
        </is>
      </c>
      <c r="K990" t="inlineStr">
        <is>
          <t>[0;34m info_varcharmax_dml_batch1_pk [0m源备字段数相同，源端字段：3 	备端字段3</t>
        </is>
      </c>
      <c r="W990" t="inlineStr">
        <is>
          <t>YES 源备无差异</t>
        </is>
      </c>
      <c r="X990">
        <f>A990</f>
        <v/>
      </c>
    </row>
    <row r="991">
      <c r="B991" t="inlineStr">
        <is>
          <t>YES</t>
        </is>
      </c>
      <c r="C991" t="inlineStr">
        <is>
          <t>NULL</t>
        </is>
      </c>
      <c r="D991" t="inlineStr">
        <is>
          <t>NULL</t>
        </is>
      </c>
      <c r="E991" t="inlineStr">
        <is>
          <t>NULL</t>
        </is>
      </c>
      <c r="F991" t="inlineStr">
        <is>
          <t>NULL</t>
        </is>
      </c>
      <c r="G991" t="inlineStr">
        <is>
          <t>NULL</t>
        </is>
      </c>
      <c r="H991" t="inlineStr">
        <is>
          <t>NULL</t>
        </is>
      </c>
      <c r="I991" t="inlineStr">
        <is>
          <t>YES!PK__info_var__3213E83F851CAA40</t>
        </is>
      </c>
      <c r="J991" t="inlineStr">
        <is>
          <t>YES! 主键相关索引</t>
        </is>
      </c>
      <c r="K991" t="inlineStr">
        <is>
          <t xml:space="preserve"> NO!  	 id列源备映射错误，源端为int None位	期望更改为text	实际备端为int None位</t>
        </is>
      </c>
    </row>
    <row r="992">
      <c r="B992" t="inlineStr">
        <is>
          <t>NULL</t>
        </is>
      </c>
      <c r="C992" t="inlineStr">
        <is>
          <t>NULL</t>
        </is>
      </c>
      <c r="D992" t="inlineStr">
        <is>
          <t>NULL</t>
        </is>
      </c>
      <c r="E992" t="inlineStr">
        <is>
          <t>NULL</t>
        </is>
      </c>
      <c r="F992" t="inlineStr">
        <is>
          <t>NULL</t>
        </is>
      </c>
      <c r="G992" t="inlineStr">
        <is>
          <t>NULL</t>
        </is>
      </c>
      <c r="H992" t="inlineStr">
        <is>
          <t>NULL</t>
        </is>
      </c>
      <c r="I992" t="inlineStr">
        <is>
          <t>NULL</t>
        </is>
      </c>
      <c r="J992" t="inlineStr">
        <is>
          <t>NULL</t>
        </is>
      </c>
      <c r="K992" t="inlineStr">
        <is>
          <t xml:space="preserve"> NO!  	 c_varchar_max列源备映射错误，源端为varchar -1位	期望更改为text	实际备端为varchar -1位</t>
        </is>
      </c>
    </row>
    <row r="993">
      <c r="B993" t="inlineStr">
        <is>
          <t>NULL</t>
        </is>
      </c>
      <c r="C993" t="inlineStr">
        <is>
          <t>NULL</t>
        </is>
      </c>
      <c r="D993" t="inlineStr">
        <is>
          <t>NULL</t>
        </is>
      </c>
      <c r="E993" t="inlineStr">
        <is>
          <t>NULL</t>
        </is>
      </c>
      <c r="F993" t="inlineStr">
        <is>
          <t>NULL</t>
        </is>
      </c>
      <c r="G993" t="inlineStr">
        <is>
          <t>NULL</t>
        </is>
      </c>
      <c r="H993" t="inlineStr">
        <is>
          <t>NULL</t>
        </is>
      </c>
      <c r="I993" t="inlineStr">
        <is>
          <t>NULL</t>
        </is>
      </c>
      <c r="J993" t="inlineStr">
        <is>
          <t>NULL</t>
        </is>
      </c>
      <c r="K993" t="inlineStr">
        <is>
          <t xml:space="preserve"> NO!  	 c_nvarchar_max列源备映射错误，源端为nvarchar -1位	期望更改为text	实际备端为nvarchar -1位</t>
        </is>
      </c>
    </row>
    <row r="994">
      <c r="K994" t="inlineStr">
        <is>
          <t>~ 空表</t>
        </is>
      </c>
    </row>
    <row r="995">
      <c r="A995" t="inlineStr">
        <is>
          <t>info_uniqueidentifier_dml_single_pk_irp</t>
        </is>
      </c>
      <c r="K995" t="inlineStr">
        <is>
          <t>[0;34m info_uniqueidentifier_dml_single_pk_irp [0m源备字段数相同，源端字段：2 	备端字段2</t>
        </is>
      </c>
      <c r="W995" t="inlineStr">
        <is>
          <t>YES 源备无差异</t>
        </is>
      </c>
      <c r="X995">
        <f>A995</f>
        <v/>
      </c>
    </row>
    <row r="996">
      <c r="B996" t="inlineStr">
        <is>
          <t>YES</t>
        </is>
      </c>
      <c r="C996" t="inlineStr">
        <is>
          <t>NULL</t>
        </is>
      </c>
      <c r="D996" t="inlineStr">
        <is>
          <t>NULL</t>
        </is>
      </c>
      <c r="E996" t="inlineStr">
        <is>
          <t>NULL</t>
        </is>
      </c>
      <c r="F996" t="inlineStr">
        <is>
          <t>NULL</t>
        </is>
      </c>
      <c r="G996" t="inlineStr">
        <is>
          <t>NULL</t>
        </is>
      </c>
      <c r="H996" t="inlineStr">
        <is>
          <t>NULL</t>
        </is>
      </c>
      <c r="I996" t="inlineStr">
        <is>
          <t>YES!PK__info_uni__3213E83F7F8016AD</t>
        </is>
      </c>
      <c r="J996" t="inlineStr">
        <is>
          <t>YES! 主键相关索引</t>
        </is>
      </c>
      <c r="K996" t="inlineStr">
        <is>
          <t xml:space="preserve"> NO!  	 id列源备映射错误，源端为int None位	期望更改为text	实际备端为int None位</t>
        </is>
      </c>
    </row>
    <row r="997">
      <c r="B997" t="inlineStr">
        <is>
          <t>NULL</t>
        </is>
      </c>
      <c r="C997" t="inlineStr">
        <is>
          <t>NULL</t>
        </is>
      </c>
      <c r="D997" t="inlineStr">
        <is>
          <t>NULL</t>
        </is>
      </c>
      <c r="E997" t="inlineStr">
        <is>
          <t>NULL</t>
        </is>
      </c>
      <c r="F997" t="inlineStr">
        <is>
          <t>NULL</t>
        </is>
      </c>
      <c r="G997" t="inlineStr">
        <is>
          <t>NULL</t>
        </is>
      </c>
      <c r="H997" t="inlineStr">
        <is>
          <t>NULL</t>
        </is>
      </c>
      <c r="I997" t="inlineStr">
        <is>
          <t>NULL</t>
        </is>
      </c>
      <c r="J997" t="inlineStr">
        <is>
          <t>NULL</t>
        </is>
      </c>
      <c r="K997" t="inlineStr">
        <is>
          <t xml:space="preserve"> NO!  	 c_uniqueidentifier列源备映射错误，源端为uniqueidentifier None位	期望更改为text	实际备端为uniqueidentifier None位</t>
        </is>
      </c>
    </row>
    <row r="998">
      <c r="A998" t="inlineStr">
        <is>
          <t>info_nvarchar_dml_batch1_pk_irp2</t>
        </is>
      </c>
      <c r="K998" t="inlineStr">
        <is>
          <t>[0;34m info_nvarchar_dml_batch1_pk_irp2 [0m源备字段数相同，源端字段：4 	备端字段4</t>
        </is>
      </c>
      <c r="W998" s="17">
        <f>HYPERLINK("#2026041919hbase0!DK2","NO 源备存在差异，共26个")</f>
        <v/>
      </c>
      <c r="X998">
        <f>A998</f>
        <v/>
      </c>
    </row>
    <row r="999">
      <c r="B999" t="inlineStr">
        <is>
          <t>YES</t>
        </is>
      </c>
      <c r="C999" t="inlineStr">
        <is>
          <t>NULL</t>
        </is>
      </c>
      <c r="D999" t="inlineStr">
        <is>
          <t>NULL</t>
        </is>
      </c>
      <c r="E999" t="inlineStr">
        <is>
          <t>NULL</t>
        </is>
      </c>
      <c r="F999" t="inlineStr">
        <is>
          <t>NULL</t>
        </is>
      </c>
      <c r="G999" t="inlineStr">
        <is>
          <t>NULL</t>
        </is>
      </c>
      <c r="H999" t="inlineStr">
        <is>
          <t>NULL</t>
        </is>
      </c>
      <c r="I999" t="inlineStr">
        <is>
          <t>YES!PK__info_nva__3213E83F7738A04F</t>
        </is>
      </c>
      <c r="J999" t="inlineStr">
        <is>
          <t>YES! 主键相关索引</t>
        </is>
      </c>
      <c r="K999" t="inlineStr">
        <is>
          <t xml:space="preserve"> NO!  	 id列源备映射错误，源端为int None位	期望更改为text	实际备端为int None位</t>
        </is>
      </c>
    </row>
    <row r="1000">
      <c r="B1000" t="inlineStr">
        <is>
          <t>NULL</t>
        </is>
      </c>
      <c r="C1000" t="inlineStr">
        <is>
          <t>NULL</t>
        </is>
      </c>
      <c r="D1000" t="inlineStr">
        <is>
          <t>NULL</t>
        </is>
      </c>
      <c r="E1000" t="inlineStr">
        <is>
          <t>NULL</t>
        </is>
      </c>
      <c r="F1000" t="inlineStr">
        <is>
          <t>NULL</t>
        </is>
      </c>
      <c r="G1000" t="inlineStr">
        <is>
          <t>NULL</t>
        </is>
      </c>
      <c r="H1000" t="inlineStr">
        <is>
          <t>NULL</t>
        </is>
      </c>
      <c r="I1000" t="inlineStr">
        <is>
          <t>NULL</t>
        </is>
      </c>
      <c r="J1000" t="inlineStr">
        <is>
          <t>NULL</t>
        </is>
      </c>
      <c r="K1000" t="inlineStr">
        <is>
          <t xml:space="preserve"> NO!  	 c_nvarchar列源备映射错误，源端为nvarchar 2位	期望更改为text	实际备端为nvarchar 2位</t>
        </is>
      </c>
    </row>
    <row r="1001">
      <c r="B1001" t="inlineStr">
        <is>
          <t>NULL</t>
        </is>
      </c>
      <c r="C1001" t="inlineStr">
        <is>
          <t>NULL</t>
        </is>
      </c>
      <c r="D1001" t="inlineStr">
        <is>
          <t>NULL</t>
        </is>
      </c>
      <c r="E1001" t="inlineStr">
        <is>
          <t>NULL</t>
        </is>
      </c>
      <c r="F1001" t="inlineStr">
        <is>
          <t>NULL</t>
        </is>
      </c>
      <c r="G1001" t="inlineStr">
        <is>
          <t>NULL</t>
        </is>
      </c>
      <c r="H1001" t="inlineStr">
        <is>
          <t>NULL</t>
        </is>
      </c>
      <c r="I1001" t="inlineStr">
        <is>
          <t>NULL</t>
        </is>
      </c>
      <c r="J1001" t="inlineStr">
        <is>
          <t>NULL</t>
        </is>
      </c>
      <c r="K1001" t="inlineStr">
        <is>
          <t xml:space="preserve"> NO!  	 c_nvarchar20列源备映射错误，源端为nvarchar 40位	期望更改为text	实际备端为nvarchar 40位</t>
        </is>
      </c>
    </row>
    <row r="1002">
      <c r="B1002" t="inlineStr">
        <is>
          <t>NULL</t>
        </is>
      </c>
      <c r="C1002" t="inlineStr">
        <is>
          <t>NULL</t>
        </is>
      </c>
      <c r="D1002" t="inlineStr">
        <is>
          <t>NULL</t>
        </is>
      </c>
      <c r="E1002" t="inlineStr">
        <is>
          <t>NULL</t>
        </is>
      </c>
      <c r="F1002" t="inlineStr">
        <is>
          <t>NULL</t>
        </is>
      </c>
      <c r="G1002" t="inlineStr">
        <is>
          <t>NULL</t>
        </is>
      </c>
      <c r="H1002" t="inlineStr">
        <is>
          <t>NULL</t>
        </is>
      </c>
      <c r="I1002" t="inlineStr">
        <is>
          <t>NULL</t>
        </is>
      </c>
      <c r="J1002" t="inlineStr">
        <is>
          <t>NULL</t>
        </is>
      </c>
      <c r="K1002" t="inlineStr">
        <is>
          <t xml:space="preserve"> NO!  	 c_nvarchar3500列源备映射错误，源端为nvarchar 7000位	期望更改为text	实际备端为nvarchar 7000位</t>
        </is>
      </c>
    </row>
    <row r="1003">
      <c r="A1003" t="inlineStr">
        <is>
          <t>info_datetime2_dml_single_pk_irp</t>
        </is>
      </c>
      <c r="K1003" t="inlineStr">
        <is>
          <t>[0;34m info_datetime2_dml_single_pk_irp [0m源备字段数相同，源端字段：9 	备端字段9</t>
        </is>
      </c>
      <c r="W1003" s="17">
        <f>HYPERLINK("#2026041919hbase0!DL2","NO 源备存在差异，共6个")</f>
        <v/>
      </c>
      <c r="X1003">
        <f>A1003</f>
        <v/>
      </c>
    </row>
    <row r="1004">
      <c r="B1004" t="inlineStr">
        <is>
          <t>YES</t>
        </is>
      </c>
      <c r="C1004" t="inlineStr">
        <is>
          <t>NULL</t>
        </is>
      </c>
      <c r="D1004" t="inlineStr">
        <is>
          <t>NULL</t>
        </is>
      </c>
      <c r="E1004" t="inlineStr">
        <is>
          <t>NULL</t>
        </is>
      </c>
      <c r="F1004" t="inlineStr">
        <is>
          <t>NULL</t>
        </is>
      </c>
      <c r="G1004" t="inlineStr">
        <is>
          <t>NULL</t>
        </is>
      </c>
      <c r="H1004" t="inlineStr">
        <is>
          <t>NULL</t>
        </is>
      </c>
      <c r="I1004" t="inlineStr">
        <is>
          <t>YES!PK__info_dat__3213E83FFAA36BE4</t>
        </is>
      </c>
      <c r="J1004" t="inlineStr">
        <is>
          <t>YES! 主键相关索引</t>
        </is>
      </c>
      <c r="K1004" t="inlineStr">
        <is>
          <t xml:space="preserve"> NO!  	 id列源备映射错误，源端为int None位	期望更改为text	实际备端为int None位</t>
        </is>
      </c>
    </row>
    <row r="1005">
      <c r="B1005" t="inlineStr">
        <is>
          <t>NULL</t>
        </is>
      </c>
      <c r="C1005" t="inlineStr">
        <is>
          <t>NULL</t>
        </is>
      </c>
      <c r="D1005" t="inlineStr">
        <is>
          <t>NULL</t>
        </is>
      </c>
      <c r="E1005" t="inlineStr">
        <is>
          <t>NULL</t>
        </is>
      </c>
      <c r="F1005" t="inlineStr">
        <is>
          <t>NULL</t>
        </is>
      </c>
      <c r="G1005" t="inlineStr">
        <is>
          <t>NULL</t>
        </is>
      </c>
      <c r="H1005" t="inlineStr">
        <is>
          <t>NULL</t>
        </is>
      </c>
      <c r="I1005" t="inlineStr">
        <is>
          <t>NULL</t>
        </is>
      </c>
      <c r="J1005" t="inlineStr">
        <is>
          <t>NULL</t>
        </is>
      </c>
      <c r="K1005" t="inlineStr">
        <is>
          <t xml:space="preserve"> NO!  	 c_dt2_0列源备映射错误，源端为datetime2 None位	期望更改为text	实际备端为datetime2 None位</t>
        </is>
      </c>
    </row>
    <row r="1006">
      <c r="B1006" t="inlineStr">
        <is>
          <t>NULL</t>
        </is>
      </c>
      <c r="C1006" t="inlineStr">
        <is>
          <t>NULL</t>
        </is>
      </c>
      <c r="D1006" t="inlineStr">
        <is>
          <t>NULL</t>
        </is>
      </c>
      <c r="E1006" t="inlineStr">
        <is>
          <t>NULL</t>
        </is>
      </c>
      <c r="F1006" t="inlineStr">
        <is>
          <t>NULL</t>
        </is>
      </c>
      <c r="G1006" t="inlineStr">
        <is>
          <t>NULL</t>
        </is>
      </c>
      <c r="H1006" t="inlineStr">
        <is>
          <t>NULL</t>
        </is>
      </c>
      <c r="I1006" t="inlineStr">
        <is>
          <t>NULL</t>
        </is>
      </c>
      <c r="J1006" t="inlineStr">
        <is>
          <t>NULL</t>
        </is>
      </c>
      <c r="K1006" t="inlineStr">
        <is>
          <t xml:space="preserve"> NO!  	 c_dt2_1列源备映射错误，源端为datetime2 None位	期望更改为text	实际备端为datetime2 None位</t>
        </is>
      </c>
    </row>
    <row r="1007">
      <c r="B1007" t="inlineStr">
        <is>
          <t>NULL</t>
        </is>
      </c>
      <c r="C1007" t="inlineStr">
        <is>
          <t>NULL</t>
        </is>
      </c>
      <c r="D1007" t="inlineStr">
        <is>
          <t>NULL</t>
        </is>
      </c>
      <c r="E1007" t="inlineStr">
        <is>
          <t>NULL</t>
        </is>
      </c>
      <c r="F1007" t="inlineStr">
        <is>
          <t>NULL</t>
        </is>
      </c>
      <c r="G1007" t="inlineStr">
        <is>
          <t>NULL</t>
        </is>
      </c>
      <c r="H1007" t="inlineStr">
        <is>
          <t>NULL</t>
        </is>
      </c>
      <c r="I1007" t="inlineStr">
        <is>
          <t>NULL</t>
        </is>
      </c>
      <c r="J1007" t="inlineStr">
        <is>
          <t>NULL</t>
        </is>
      </c>
      <c r="K1007" t="inlineStr">
        <is>
          <t xml:space="preserve"> NO!  	 c_dt2_2列源备映射错误，源端为datetime2 None位	期望更改为text	实际备端为datetime2 None位</t>
        </is>
      </c>
    </row>
    <row r="1008">
      <c r="B1008" t="inlineStr">
        <is>
          <t>NULL</t>
        </is>
      </c>
      <c r="C1008" t="inlineStr">
        <is>
          <t>NULL</t>
        </is>
      </c>
      <c r="D1008" t="inlineStr">
        <is>
          <t>NULL</t>
        </is>
      </c>
      <c r="E1008" t="inlineStr">
        <is>
          <t>NULL</t>
        </is>
      </c>
      <c r="F1008" t="inlineStr">
        <is>
          <t>NULL</t>
        </is>
      </c>
      <c r="G1008" t="inlineStr">
        <is>
          <t>NULL</t>
        </is>
      </c>
      <c r="H1008" t="inlineStr">
        <is>
          <t>NULL</t>
        </is>
      </c>
      <c r="I1008" t="inlineStr">
        <is>
          <t>NULL</t>
        </is>
      </c>
      <c r="J1008" t="inlineStr">
        <is>
          <t>NULL</t>
        </is>
      </c>
      <c r="K1008" t="inlineStr">
        <is>
          <t xml:space="preserve"> NO!  	 c_dt2_3列源备映射错误，源端为datetime2 None位	期望更改为text	实际备端为datetime2 None位</t>
        </is>
      </c>
    </row>
    <row r="1009">
      <c r="B1009" t="inlineStr">
        <is>
          <t>NULL</t>
        </is>
      </c>
      <c r="C1009" t="inlineStr">
        <is>
          <t>NULL</t>
        </is>
      </c>
      <c r="D1009" t="inlineStr">
        <is>
          <t>NULL</t>
        </is>
      </c>
      <c r="E1009" t="inlineStr">
        <is>
          <t>NULL</t>
        </is>
      </c>
      <c r="F1009" t="inlineStr">
        <is>
          <t>NULL</t>
        </is>
      </c>
      <c r="G1009" t="inlineStr">
        <is>
          <t>NULL</t>
        </is>
      </c>
      <c r="H1009" t="inlineStr">
        <is>
          <t>NULL</t>
        </is>
      </c>
      <c r="I1009" t="inlineStr">
        <is>
          <t>NULL</t>
        </is>
      </c>
      <c r="J1009" t="inlineStr">
        <is>
          <t>NULL</t>
        </is>
      </c>
      <c r="K1009" t="inlineStr">
        <is>
          <t xml:space="preserve"> NO!  	 c_dt2_4列源备映射错误，源端为datetime2 None位	期望更改为text	实际备端为datetime2 None位</t>
        </is>
      </c>
    </row>
    <row r="1010">
      <c r="B1010" t="inlineStr">
        <is>
          <t>NULL</t>
        </is>
      </c>
      <c r="C1010" t="inlineStr">
        <is>
          <t>NULL</t>
        </is>
      </c>
      <c r="D1010" t="inlineStr">
        <is>
          <t>NULL</t>
        </is>
      </c>
      <c r="E1010" t="inlineStr">
        <is>
          <t>NULL</t>
        </is>
      </c>
      <c r="F1010" t="inlineStr">
        <is>
          <t>NULL</t>
        </is>
      </c>
      <c r="G1010" t="inlineStr">
        <is>
          <t>NULL</t>
        </is>
      </c>
      <c r="H1010" t="inlineStr">
        <is>
          <t>NULL</t>
        </is>
      </c>
      <c r="I1010" t="inlineStr">
        <is>
          <t>NULL</t>
        </is>
      </c>
      <c r="J1010" t="inlineStr">
        <is>
          <t>NULL</t>
        </is>
      </c>
      <c r="K1010" t="inlineStr">
        <is>
          <t xml:space="preserve"> NO!  	 c_dt2_5列源备映射错误，源端为datetime2 None位	期望更改为text	实际备端为datetime2 None位</t>
        </is>
      </c>
    </row>
    <row r="1011">
      <c r="B1011" t="inlineStr">
        <is>
          <t>NULL</t>
        </is>
      </c>
      <c r="C1011" t="inlineStr">
        <is>
          <t>NULL</t>
        </is>
      </c>
      <c r="D1011" t="inlineStr">
        <is>
          <t>NULL</t>
        </is>
      </c>
      <c r="E1011" t="inlineStr">
        <is>
          <t>NULL</t>
        </is>
      </c>
      <c r="F1011" t="inlineStr">
        <is>
          <t>NULL</t>
        </is>
      </c>
      <c r="G1011" t="inlineStr">
        <is>
          <t>NULL</t>
        </is>
      </c>
      <c r="H1011" t="inlineStr">
        <is>
          <t>NULL</t>
        </is>
      </c>
      <c r="I1011" t="inlineStr">
        <is>
          <t>NULL</t>
        </is>
      </c>
      <c r="J1011" t="inlineStr">
        <is>
          <t>NULL</t>
        </is>
      </c>
      <c r="K1011" t="inlineStr">
        <is>
          <t xml:space="preserve"> NO!  	 c_dt2_6列源备映射错误，源端为datetime2 None位	期望更改为text	实际备端为datetime2 None位</t>
        </is>
      </c>
    </row>
    <row r="1012">
      <c r="B1012" t="inlineStr">
        <is>
          <t>NULL</t>
        </is>
      </c>
      <c r="C1012" t="inlineStr">
        <is>
          <t>NULL</t>
        </is>
      </c>
      <c r="D1012" t="inlineStr">
        <is>
          <t>NULL</t>
        </is>
      </c>
      <c r="E1012" t="inlineStr">
        <is>
          <t>NULL</t>
        </is>
      </c>
      <c r="F1012" t="inlineStr">
        <is>
          <t>NULL</t>
        </is>
      </c>
      <c r="G1012" t="inlineStr">
        <is>
          <t>NULL</t>
        </is>
      </c>
      <c r="H1012" t="inlineStr">
        <is>
          <t>NULL</t>
        </is>
      </c>
      <c r="I1012" t="inlineStr">
        <is>
          <t>NULL</t>
        </is>
      </c>
      <c r="J1012" t="inlineStr">
        <is>
          <t>NULL</t>
        </is>
      </c>
      <c r="K1012" t="inlineStr">
        <is>
          <t xml:space="preserve"> NO!  	 c_dt2列源备映射错误，源端为datetime2 None位	期望更改为text	实际备端为datetime2 None位</t>
        </is>
      </c>
    </row>
    <row r="1013">
      <c r="A1013" t="inlineStr">
        <is>
          <t>info_char_dml_single_pk</t>
        </is>
      </c>
      <c r="K1013" t="inlineStr">
        <is>
          <t>[0;34m info_char_dml_single_pk [0m源备字段数相同，源端字段：4 	备端字段4</t>
        </is>
      </c>
      <c r="W1013" t="inlineStr">
        <is>
          <t>YES 源备无差异</t>
        </is>
      </c>
      <c r="X1013">
        <f>A1013</f>
        <v/>
      </c>
    </row>
    <row r="1014">
      <c r="B1014" t="inlineStr">
        <is>
          <t>YES</t>
        </is>
      </c>
      <c r="C1014" t="inlineStr">
        <is>
          <t>NULL</t>
        </is>
      </c>
      <c r="D1014" t="inlineStr">
        <is>
          <t>NULL</t>
        </is>
      </c>
      <c r="E1014" t="inlineStr">
        <is>
          <t>NULL</t>
        </is>
      </c>
      <c r="F1014" t="inlineStr">
        <is>
          <t>NULL</t>
        </is>
      </c>
      <c r="G1014" t="inlineStr">
        <is>
          <t>NULL</t>
        </is>
      </c>
      <c r="H1014" t="inlineStr">
        <is>
          <t>NULL</t>
        </is>
      </c>
      <c r="I1014" t="inlineStr">
        <is>
          <t>YES!PK__info_cha__3213E83F9FFC7CB1</t>
        </is>
      </c>
      <c r="J1014" t="inlineStr">
        <is>
          <t>YES! 主键相关索引</t>
        </is>
      </c>
      <c r="K1014" t="inlineStr">
        <is>
          <t xml:space="preserve"> NO!  	 id列源备映射错误，源端为int None位	期望更改为text	实际备端为int None位</t>
        </is>
      </c>
    </row>
    <row r="1015">
      <c r="B1015" t="inlineStr">
        <is>
          <t>NULL</t>
        </is>
      </c>
      <c r="C1015" t="inlineStr">
        <is>
          <t>NULL</t>
        </is>
      </c>
      <c r="D1015" t="inlineStr">
        <is>
          <t>NULL</t>
        </is>
      </c>
      <c r="E1015" t="inlineStr">
        <is>
          <t>NULL</t>
        </is>
      </c>
      <c r="F1015" t="inlineStr">
        <is>
          <t>NULL</t>
        </is>
      </c>
      <c r="G1015" t="inlineStr">
        <is>
          <t>NULL</t>
        </is>
      </c>
      <c r="H1015" t="inlineStr">
        <is>
          <t>NULL</t>
        </is>
      </c>
      <c r="I1015" t="inlineStr">
        <is>
          <t>NULL</t>
        </is>
      </c>
      <c r="J1015" t="inlineStr">
        <is>
          <t>NULL</t>
        </is>
      </c>
      <c r="K1015" t="inlineStr">
        <is>
          <t xml:space="preserve"> NO!  	 c_char列源备映射错误，源端为char 1位	期望更改为text	实际备端为char 1位</t>
        </is>
      </c>
    </row>
    <row r="1016">
      <c r="B1016" t="inlineStr">
        <is>
          <t>NULL</t>
        </is>
      </c>
      <c r="C1016" t="inlineStr">
        <is>
          <t>NULL</t>
        </is>
      </c>
      <c r="D1016" t="inlineStr">
        <is>
          <t>NULL</t>
        </is>
      </c>
      <c r="E1016" t="inlineStr">
        <is>
          <t>NULL</t>
        </is>
      </c>
      <c r="F1016" t="inlineStr">
        <is>
          <t>NULL</t>
        </is>
      </c>
      <c r="G1016" t="inlineStr">
        <is>
          <t>NULL</t>
        </is>
      </c>
      <c r="H1016" t="inlineStr">
        <is>
          <t>NULL</t>
        </is>
      </c>
      <c r="I1016" t="inlineStr">
        <is>
          <t>NULL</t>
        </is>
      </c>
      <c r="J1016" t="inlineStr">
        <is>
          <t>NULL</t>
        </is>
      </c>
      <c r="K1016" t="inlineStr">
        <is>
          <t xml:space="preserve"> NO!  	 c_char20列源备映射错误，源端为char 20位	期望更改为text	实际备端为char 20位</t>
        </is>
      </c>
    </row>
    <row r="1017">
      <c r="B1017" t="inlineStr">
        <is>
          <t>NULL</t>
        </is>
      </c>
      <c r="C1017" t="inlineStr">
        <is>
          <t>NULL</t>
        </is>
      </c>
      <c r="D1017" t="inlineStr">
        <is>
          <t>NULL</t>
        </is>
      </c>
      <c r="E1017" t="inlineStr">
        <is>
          <t>NULL</t>
        </is>
      </c>
      <c r="F1017" t="inlineStr">
        <is>
          <t>NULL</t>
        </is>
      </c>
      <c r="G1017" t="inlineStr">
        <is>
          <t>NULL</t>
        </is>
      </c>
      <c r="H1017" t="inlineStr">
        <is>
          <t>NULL</t>
        </is>
      </c>
      <c r="I1017" t="inlineStr">
        <is>
          <t>NULL</t>
        </is>
      </c>
      <c r="J1017" t="inlineStr">
        <is>
          <t>NULL</t>
        </is>
      </c>
      <c r="K1017" t="inlineStr">
        <is>
          <t xml:space="preserve"> NO!  	 c_char7000列源备映射错误，源端为char 7000位	期望更改为text	实际备端为char 7000位</t>
        </is>
      </c>
    </row>
    <row r="1018">
      <c r="A1018" t="inlineStr">
        <is>
          <t>info_varbinary_dml_batch1_pk_irp1</t>
        </is>
      </c>
      <c r="K1018" t="inlineStr">
        <is>
          <t>[0;34m info_varbinary_dml_batch1_pk_irp1 [0m源备字段数相同，源端字段：4 	备端字段4</t>
        </is>
      </c>
      <c r="W1018" s="17">
        <f>HYPERLINK("#2026041919hbase0!DM2","NO 源备存在差异，共9个")</f>
        <v/>
      </c>
      <c r="X1018">
        <f>A1018</f>
        <v/>
      </c>
    </row>
    <row r="1019">
      <c r="B1019" t="inlineStr">
        <is>
          <t>YES</t>
        </is>
      </c>
      <c r="C1019" t="inlineStr">
        <is>
          <t>NULL</t>
        </is>
      </c>
      <c r="D1019" t="inlineStr">
        <is>
          <t>NULL</t>
        </is>
      </c>
      <c r="E1019" t="inlineStr">
        <is>
          <t>NULL</t>
        </is>
      </c>
      <c r="F1019" t="inlineStr">
        <is>
          <t>NULL</t>
        </is>
      </c>
      <c r="G1019" t="inlineStr">
        <is>
          <t>NULL</t>
        </is>
      </c>
      <c r="H1019" t="inlineStr">
        <is>
          <t>NULL</t>
        </is>
      </c>
      <c r="I1019" t="inlineStr">
        <is>
          <t>YES!PK__info_var__3213E83F05B6F328</t>
        </is>
      </c>
      <c r="J1019" t="inlineStr">
        <is>
          <t>YES! 主键相关索引</t>
        </is>
      </c>
      <c r="K1019" t="inlineStr">
        <is>
          <t xml:space="preserve"> NO!  	 id列源备映射错误，源端为int None位	期望更改为text	实际备端为int None位</t>
        </is>
      </c>
    </row>
    <row r="1020">
      <c r="B1020" t="inlineStr">
        <is>
          <t>NULL</t>
        </is>
      </c>
      <c r="C1020" t="inlineStr">
        <is>
          <t>NULL</t>
        </is>
      </c>
      <c r="D1020" t="inlineStr">
        <is>
          <t>NULL</t>
        </is>
      </c>
      <c r="E1020" t="inlineStr">
        <is>
          <t>NULL</t>
        </is>
      </c>
      <c r="F1020" t="inlineStr">
        <is>
          <t>NULL</t>
        </is>
      </c>
      <c r="G1020" t="inlineStr">
        <is>
          <t>NULL</t>
        </is>
      </c>
      <c r="H1020" t="inlineStr">
        <is>
          <t>NULL</t>
        </is>
      </c>
      <c r="I1020" t="inlineStr">
        <is>
          <t>NULL</t>
        </is>
      </c>
      <c r="J1020" t="inlineStr">
        <is>
          <t>NULL</t>
        </is>
      </c>
      <c r="K1020" t="inlineStr">
        <is>
          <t xml:space="preserve"> NO!  	 c_varbinary列源备映射错误，源端为varbinary 1位	期望更改为text	实际备端为varbinary 1位</t>
        </is>
      </c>
    </row>
    <row r="1021">
      <c r="B1021" t="inlineStr">
        <is>
          <t>NULL</t>
        </is>
      </c>
      <c r="C1021" t="inlineStr">
        <is>
          <t>NULL</t>
        </is>
      </c>
      <c r="D1021" t="inlineStr">
        <is>
          <t>NULL</t>
        </is>
      </c>
      <c r="E1021" t="inlineStr">
        <is>
          <t>NULL</t>
        </is>
      </c>
      <c r="F1021" t="inlineStr">
        <is>
          <t>NULL</t>
        </is>
      </c>
      <c r="G1021" t="inlineStr">
        <is>
          <t>NULL</t>
        </is>
      </c>
      <c r="H1021" t="inlineStr">
        <is>
          <t>NULL</t>
        </is>
      </c>
      <c r="I1021" t="inlineStr">
        <is>
          <t>NULL</t>
        </is>
      </c>
      <c r="J1021" t="inlineStr">
        <is>
          <t>NULL</t>
        </is>
      </c>
      <c r="K1021" t="inlineStr">
        <is>
          <t xml:space="preserve"> NO!  	 c_varbinary_100列源备映射错误，源端为varbinary 100位	期望更改为text	实际备端为varbinary 100位</t>
        </is>
      </c>
    </row>
    <row r="1022">
      <c r="B1022" t="inlineStr">
        <is>
          <t>NULL</t>
        </is>
      </c>
      <c r="C1022" t="inlineStr">
        <is>
          <t>NULL</t>
        </is>
      </c>
      <c r="D1022" t="inlineStr">
        <is>
          <t>NULL</t>
        </is>
      </c>
      <c r="E1022" t="inlineStr">
        <is>
          <t>NULL</t>
        </is>
      </c>
      <c r="F1022" t="inlineStr">
        <is>
          <t>NULL</t>
        </is>
      </c>
      <c r="G1022" t="inlineStr">
        <is>
          <t>NULL</t>
        </is>
      </c>
      <c r="H1022" t="inlineStr">
        <is>
          <t>NULL</t>
        </is>
      </c>
      <c r="I1022" t="inlineStr">
        <is>
          <t>NULL</t>
        </is>
      </c>
      <c r="J1022" t="inlineStr">
        <is>
          <t>NULL</t>
        </is>
      </c>
      <c r="K1022" t="inlineStr">
        <is>
          <t xml:space="preserve"> NO!  	 c_varbinary_200列源备映射错误，源端为varbinary 200位	期望更改为text	实际备端为varbinary 200位</t>
        </is>
      </c>
    </row>
    <row r="1023">
      <c r="A1023" t="inlineStr">
        <is>
          <t>info_geography_dml_single_pk_irp</t>
        </is>
      </c>
      <c r="K1023" t="inlineStr">
        <is>
          <t>[0;34m info_geography_dml_single_pk_irp [0m源备字段数相同，源端字段：2 	备端字段2</t>
        </is>
      </c>
      <c r="W1023" s="17">
        <f>HYPERLINK("#2026041919hbase0!DN2","NO 源备存在差异，共4个")</f>
        <v/>
      </c>
      <c r="X1023">
        <f>A1023</f>
        <v/>
      </c>
    </row>
    <row r="1024">
      <c r="B1024" t="inlineStr">
        <is>
          <t>YES</t>
        </is>
      </c>
      <c r="C1024" t="inlineStr">
        <is>
          <t>NULL</t>
        </is>
      </c>
      <c r="D1024" t="inlineStr">
        <is>
          <t>NULL</t>
        </is>
      </c>
      <c r="E1024" t="inlineStr">
        <is>
          <t>NULL</t>
        </is>
      </c>
      <c r="F1024" t="inlineStr">
        <is>
          <t>NULL</t>
        </is>
      </c>
      <c r="G1024" t="inlineStr">
        <is>
          <t>NULL</t>
        </is>
      </c>
      <c r="H1024" t="inlineStr">
        <is>
          <t>NULL</t>
        </is>
      </c>
      <c r="I1024" t="inlineStr">
        <is>
          <t>YES!PK__info_geo__3213E83FF84E72A5</t>
        </is>
      </c>
      <c r="J1024" t="inlineStr">
        <is>
          <t>YES! 主键相关索引</t>
        </is>
      </c>
      <c r="K1024" t="inlineStr">
        <is>
          <t xml:space="preserve"> NO!  	 id列源备映射错误，源端为int None位	期望更改为text	实际备端为int None位</t>
        </is>
      </c>
    </row>
    <row r="1025">
      <c r="B1025" t="inlineStr">
        <is>
          <t>NULL</t>
        </is>
      </c>
      <c r="C1025" t="inlineStr">
        <is>
          <t>NULL</t>
        </is>
      </c>
      <c r="D1025" t="inlineStr">
        <is>
          <t>NULL</t>
        </is>
      </c>
      <c r="E1025" t="inlineStr">
        <is>
          <t>NULL</t>
        </is>
      </c>
      <c r="F1025" t="inlineStr">
        <is>
          <t>NULL</t>
        </is>
      </c>
      <c r="G1025" t="inlineStr">
        <is>
          <t>NULL</t>
        </is>
      </c>
      <c r="H1025" t="inlineStr">
        <is>
          <t>NULL</t>
        </is>
      </c>
      <c r="I1025" t="inlineStr">
        <is>
          <t>NULL</t>
        </is>
      </c>
      <c r="J1025" t="inlineStr">
        <is>
          <t>NULL</t>
        </is>
      </c>
      <c r="K1025" t="inlineStr">
        <is>
          <t xml:space="preserve"> NO!  	 c_geography列源备映射错误，源端为geography -1位	期望更改为text	实际备端为geography -1位</t>
        </is>
      </c>
    </row>
    <row r="1026">
      <c r="A1026" t="inlineStr">
        <is>
          <t>info_varchar_dml_single_pk_irp</t>
        </is>
      </c>
      <c r="K1026" t="inlineStr">
        <is>
          <t>[0;34m info_varchar_dml_single_pk_irp [0m源备字段数相同，源端字段：4 	备端字段4</t>
        </is>
      </c>
      <c r="W1026" t="inlineStr">
        <is>
          <t>YES 源备无差异</t>
        </is>
      </c>
      <c r="X1026">
        <f>A1026</f>
        <v/>
      </c>
    </row>
    <row r="1027">
      <c r="B1027" t="inlineStr">
        <is>
          <t>YES</t>
        </is>
      </c>
      <c r="C1027" t="inlineStr">
        <is>
          <t>NULL</t>
        </is>
      </c>
      <c r="D1027" t="inlineStr">
        <is>
          <t>NULL</t>
        </is>
      </c>
      <c r="E1027" t="inlineStr">
        <is>
          <t>NULL</t>
        </is>
      </c>
      <c r="F1027" t="inlineStr">
        <is>
          <t>NULL</t>
        </is>
      </c>
      <c r="G1027" t="inlineStr">
        <is>
          <t>NULL</t>
        </is>
      </c>
      <c r="H1027" t="inlineStr">
        <is>
          <t>NULL</t>
        </is>
      </c>
      <c r="I1027" t="inlineStr">
        <is>
          <t>YES!PK__info_var__3213E83F163A1CD8</t>
        </is>
      </c>
      <c r="J1027" t="inlineStr">
        <is>
          <t>YES! 主键相关索引</t>
        </is>
      </c>
      <c r="K1027" t="inlineStr">
        <is>
          <t xml:space="preserve"> NO!  	 id列源备映射错误，源端为int None位	期望更改为text	实际备端为int None位</t>
        </is>
      </c>
    </row>
    <row r="1028">
      <c r="B1028" t="inlineStr">
        <is>
          <t>NULL</t>
        </is>
      </c>
      <c r="C1028" t="inlineStr">
        <is>
          <t>NULL</t>
        </is>
      </c>
      <c r="D1028" t="inlineStr">
        <is>
          <t>NULL</t>
        </is>
      </c>
      <c r="E1028" t="inlineStr">
        <is>
          <t>NULL</t>
        </is>
      </c>
      <c r="F1028" t="inlineStr">
        <is>
          <t>NULL</t>
        </is>
      </c>
      <c r="G1028" t="inlineStr">
        <is>
          <t>NULL</t>
        </is>
      </c>
      <c r="H1028" t="inlineStr">
        <is>
          <t>NULL</t>
        </is>
      </c>
      <c r="I1028" t="inlineStr">
        <is>
          <t>NULL</t>
        </is>
      </c>
      <c r="J1028" t="inlineStr">
        <is>
          <t>NULL</t>
        </is>
      </c>
      <c r="K1028" t="inlineStr">
        <is>
          <t xml:space="preserve"> NO!  	 c_varchar列源备映射错误，源端为varchar 1位	期望更改为text	实际备端为varchar 1位</t>
        </is>
      </c>
    </row>
    <row r="1029">
      <c r="B1029" t="inlineStr">
        <is>
          <t>NULL</t>
        </is>
      </c>
      <c r="C1029" t="inlineStr">
        <is>
          <t>NULL</t>
        </is>
      </c>
      <c r="D1029" t="inlineStr">
        <is>
          <t>NULL</t>
        </is>
      </c>
      <c r="E1029" t="inlineStr">
        <is>
          <t>NULL</t>
        </is>
      </c>
      <c r="F1029" t="inlineStr">
        <is>
          <t>NULL</t>
        </is>
      </c>
      <c r="G1029" t="inlineStr">
        <is>
          <t>NULL</t>
        </is>
      </c>
      <c r="H1029" t="inlineStr">
        <is>
          <t>NULL</t>
        </is>
      </c>
      <c r="I1029" t="inlineStr">
        <is>
          <t>NULL</t>
        </is>
      </c>
      <c r="J1029" t="inlineStr">
        <is>
          <t>NULL</t>
        </is>
      </c>
      <c r="K1029" t="inlineStr">
        <is>
          <t xml:space="preserve"> NO!  	 c_varchar50列源备映射错误，源端为varchar 50位	期望更改为text	实际备端为varchar 50位</t>
        </is>
      </c>
    </row>
    <row r="1030">
      <c r="B1030" t="inlineStr">
        <is>
          <t>NULL</t>
        </is>
      </c>
      <c r="C1030" t="inlineStr">
        <is>
          <t>NULL</t>
        </is>
      </c>
      <c r="D1030" t="inlineStr">
        <is>
          <t>NULL</t>
        </is>
      </c>
      <c r="E1030" t="inlineStr">
        <is>
          <t>NULL</t>
        </is>
      </c>
      <c r="F1030" t="inlineStr">
        <is>
          <t>NULL</t>
        </is>
      </c>
      <c r="G1030" t="inlineStr">
        <is>
          <t>NULL</t>
        </is>
      </c>
      <c r="H1030" t="inlineStr">
        <is>
          <t>NULL</t>
        </is>
      </c>
      <c r="I1030" t="inlineStr">
        <is>
          <t>NULL</t>
        </is>
      </c>
      <c r="J1030" t="inlineStr">
        <is>
          <t>NULL</t>
        </is>
      </c>
      <c r="K1030" t="inlineStr">
        <is>
          <t xml:space="preserve"> NO!  	 c_varchar200列源备映射错误，源端为varchar 200位	期望更改为text	实际备端为varchar 200位</t>
        </is>
      </c>
    </row>
    <row r="1031">
      <c r="A1031" t="inlineStr">
        <is>
          <t>info_time_dml_batch2_pk_irp1</t>
        </is>
      </c>
      <c r="K1031" t="inlineStr">
        <is>
          <t>[0;34m info_time_dml_batch2_pk_irp1 [0m源备字段数相同，源端字段：9 	备端字段9</t>
        </is>
      </c>
      <c r="W1031" s="17">
        <f>HYPERLINK("#2026041919hbase0!DO2","NO 源备存在差异，共15个")</f>
        <v/>
      </c>
      <c r="X1031">
        <f>A1031</f>
        <v/>
      </c>
    </row>
    <row r="1032">
      <c r="B1032" t="inlineStr">
        <is>
          <t>YES</t>
        </is>
      </c>
      <c r="C1032" t="inlineStr">
        <is>
          <t>NULL</t>
        </is>
      </c>
      <c r="D1032" t="inlineStr">
        <is>
          <t>NULL</t>
        </is>
      </c>
      <c r="E1032" t="inlineStr">
        <is>
          <t>NULL</t>
        </is>
      </c>
      <c r="F1032" t="inlineStr">
        <is>
          <t>NULL</t>
        </is>
      </c>
      <c r="G1032" t="inlineStr">
        <is>
          <t>NULL</t>
        </is>
      </c>
      <c r="H1032" t="inlineStr">
        <is>
          <t>NULL</t>
        </is>
      </c>
      <c r="I1032" t="inlineStr">
        <is>
          <t>YES!PK__info_tim__3213E83F7EEBBE58</t>
        </is>
      </c>
      <c r="J1032" t="inlineStr">
        <is>
          <t>YES! 主键相关索引</t>
        </is>
      </c>
      <c r="K1032" t="inlineStr">
        <is>
          <t xml:space="preserve"> NO!  	 id列源备映射错误，源端为int None位	期望更改为text	实际备端为int None位</t>
        </is>
      </c>
    </row>
    <row r="1033">
      <c r="B1033" t="inlineStr">
        <is>
          <t>NULL</t>
        </is>
      </c>
      <c r="C1033" t="inlineStr">
        <is>
          <t>NULL</t>
        </is>
      </c>
      <c r="D1033" t="inlineStr">
        <is>
          <t>NULL</t>
        </is>
      </c>
      <c r="E1033" t="inlineStr">
        <is>
          <t>NULL</t>
        </is>
      </c>
      <c r="F1033" t="inlineStr">
        <is>
          <t>NULL</t>
        </is>
      </c>
      <c r="G1033" t="inlineStr">
        <is>
          <t>NULL</t>
        </is>
      </c>
      <c r="H1033" t="inlineStr">
        <is>
          <t>NULL</t>
        </is>
      </c>
      <c r="I1033" t="inlineStr">
        <is>
          <t>NULL</t>
        </is>
      </c>
      <c r="J1033" t="inlineStr">
        <is>
          <t>NULL</t>
        </is>
      </c>
      <c r="K1033" t="inlineStr">
        <is>
          <t xml:space="preserve"> NO!  	 c_time0列源备映射错误，源端为time None位	期望更改为text	实际备端为time None位</t>
        </is>
      </c>
    </row>
    <row r="1034">
      <c r="B1034" t="inlineStr">
        <is>
          <t>NULL</t>
        </is>
      </c>
      <c r="C1034" t="inlineStr">
        <is>
          <t>NULL</t>
        </is>
      </c>
      <c r="D1034" t="inlineStr">
        <is>
          <t>NULL</t>
        </is>
      </c>
      <c r="E1034" t="inlineStr">
        <is>
          <t>NULL</t>
        </is>
      </c>
      <c r="F1034" t="inlineStr">
        <is>
          <t>NULL</t>
        </is>
      </c>
      <c r="G1034" t="inlineStr">
        <is>
          <t>NULL</t>
        </is>
      </c>
      <c r="H1034" t="inlineStr">
        <is>
          <t>NULL</t>
        </is>
      </c>
      <c r="I1034" t="inlineStr">
        <is>
          <t>NULL</t>
        </is>
      </c>
      <c r="J1034" t="inlineStr">
        <is>
          <t>NULL</t>
        </is>
      </c>
      <c r="K1034" t="inlineStr">
        <is>
          <t xml:space="preserve"> NO!  	 c_time1列源备映射错误，源端为time None位	期望更改为text	实际备端为time None位</t>
        </is>
      </c>
    </row>
    <row r="1035">
      <c r="B1035" t="inlineStr">
        <is>
          <t>NULL</t>
        </is>
      </c>
      <c r="C1035" t="inlineStr">
        <is>
          <t>NULL</t>
        </is>
      </c>
      <c r="D1035" t="inlineStr">
        <is>
          <t>NULL</t>
        </is>
      </c>
      <c r="E1035" t="inlineStr">
        <is>
          <t>NULL</t>
        </is>
      </c>
      <c r="F1035" t="inlineStr">
        <is>
          <t>NULL</t>
        </is>
      </c>
      <c r="G1035" t="inlineStr">
        <is>
          <t>NULL</t>
        </is>
      </c>
      <c r="H1035" t="inlineStr">
        <is>
          <t>NULL</t>
        </is>
      </c>
      <c r="I1035" t="inlineStr">
        <is>
          <t>NULL</t>
        </is>
      </c>
      <c r="J1035" t="inlineStr">
        <is>
          <t>NULL</t>
        </is>
      </c>
      <c r="K1035" t="inlineStr">
        <is>
          <t xml:space="preserve"> NO!  	 c_time2列源备映射错误，源端为time None位	期望更改为text	实际备端为time None位</t>
        </is>
      </c>
    </row>
    <row r="1036">
      <c r="B1036" t="inlineStr">
        <is>
          <t>NULL</t>
        </is>
      </c>
      <c r="C1036" t="inlineStr">
        <is>
          <t>NULL</t>
        </is>
      </c>
      <c r="D1036" t="inlineStr">
        <is>
          <t>NULL</t>
        </is>
      </c>
      <c r="E1036" t="inlineStr">
        <is>
          <t>NULL</t>
        </is>
      </c>
      <c r="F1036" t="inlineStr">
        <is>
          <t>NULL</t>
        </is>
      </c>
      <c r="G1036" t="inlineStr">
        <is>
          <t>NULL</t>
        </is>
      </c>
      <c r="H1036" t="inlineStr">
        <is>
          <t>NULL</t>
        </is>
      </c>
      <c r="I1036" t="inlineStr">
        <is>
          <t>NULL</t>
        </is>
      </c>
      <c r="J1036" t="inlineStr">
        <is>
          <t>NULL</t>
        </is>
      </c>
      <c r="K1036" t="inlineStr">
        <is>
          <t xml:space="preserve"> NO!  	 c_time3列源备映射错误，源端为time None位	期望更改为text	实际备端为time None位</t>
        </is>
      </c>
    </row>
    <row r="1037">
      <c r="B1037" t="inlineStr">
        <is>
          <t>NULL</t>
        </is>
      </c>
      <c r="C1037" t="inlineStr">
        <is>
          <t>NULL</t>
        </is>
      </c>
      <c r="D1037" t="inlineStr">
        <is>
          <t>NULL</t>
        </is>
      </c>
      <c r="E1037" t="inlineStr">
        <is>
          <t>NULL</t>
        </is>
      </c>
      <c r="F1037" t="inlineStr">
        <is>
          <t>NULL</t>
        </is>
      </c>
      <c r="G1037" t="inlineStr">
        <is>
          <t>NULL</t>
        </is>
      </c>
      <c r="H1037" t="inlineStr">
        <is>
          <t>NULL</t>
        </is>
      </c>
      <c r="I1037" t="inlineStr">
        <is>
          <t>NULL</t>
        </is>
      </c>
      <c r="J1037" t="inlineStr">
        <is>
          <t>NULL</t>
        </is>
      </c>
      <c r="K1037" t="inlineStr">
        <is>
          <t xml:space="preserve"> NO!  	 c_time4列源备映射错误，源端为time None位	期望更改为text	实际备端为time None位</t>
        </is>
      </c>
    </row>
    <row r="1038">
      <c r="B1038" t="inlineStr">
        <is>
          <t>NULL</t>
        </is>
      </c>
      <c r="C1038" t="inlineStr">
        <is>
          <t>NULL</t>
        </is>
      </c>
      <c r="D1038" t="inlineStr">
        <is>
          <t>NULL</t>
        </is>
      </c>
      <c r="E1038" t="inlineStr">
        <is>
          <t>NULL</t>
        </is>
      </c>
      <c r="F1038" t="inlineStr">
        <is>
          <t>NULL</t>
        </is>
      </c>
      <c r="G1038" t="inlineStr">
        <is>
          <t>NULL</t>
        </is>
      </c>
      <c r="H1038" t="inlineStr">
        <is>
          <t>NULL</t>
        </is>
      </c>
      <c r="I1038" t="inlineStr">
        <is>
          <t>NULL</t>
        </is>
      </c>
      <c r="J1038" t="inlineStr">
        <is>
          <t>NULL</t>
        </is>
      </c>
      <c r="K1038" t="inlineStr">
        <is>
          <t xml:space="preserve"> NO!  	 c_time5列源备映射错误，源端为time None位	期望更改为text	实际备端为time None位</t>
        </is>
      </c>
    </row>
    <row r="1039">
      <c r="B1039" t="inlineStr">
        <is>
          <t>NULL</t>
        </is>
      </c>
      <c r="C1039" t="inlineStr">
        <is>
          <t>NULL</t>
        </is>
      </c>
      <c r="D1039" t="inlineStr">
        <is>
          <t>NULL</t>
        </is>
      </c>
      <c r="E1039" t="inlineStr">
        <is>
          <t>NULL</t>
        </is>
      </c>
      <c r="F1039" t="inlineStr">
        <is>
          <t>NULL</t>
        </is>
      </c>
      <c r="G1039" t="inlineStr">
        <is>
          <t>NULL</t>
        </is>
      </c>
      <c r="H1039" t="inlineStr">
        <is>
          <t>NULL</t>
        </is>
      </c>
      <c r="I1039" t="inlineStr">
        <is>
          <t>NULL</t>
        </is>
      </c>
      <c r="J1039" t="inlineStr">
        <is>
          <t>NULL</t>
        </is>
      </c>
      <c r="K1039" t="inlineStr">
        <is>
          <t xml:space="preserve"> NO!  	 c_time6列源备映射错误，源端为time None位	期望更改为text	实际备端为time None位</t>
        </is>
      </c>
    </row>
    <row r="1040">
      <c r="B1040" t="inlineStr">
        <is>
          <t>NULL</t>
        </is>
      </c>
      <c r="C1040" t="inlineStr">
        <is>
          <t>NULL</t>
        </is>
      </c>
      <c r="D1040" t="inlineStr">
        <is>
          <t>NULL</t>
        </is>
      </c>
      <c r="E1040" t="inlineStr">
        <is>
          <t>NULL</t>
        </is>
      </c>
      <c r="F1040" t="inlineStr">
        <is>
          <t>NULL</t>
        </is>
      </c>
      <c r="G1040" t="inlineStr">
        <is>
          <t>NULL</t>
        </is>
      </c>
      <c r="H1040" t="inlineStr">
        <is>
          <t>NULL</t>
        </is>
      </c>
      <c r="I1040" t="inlineStr">
        <is>
          <t>NULL</t>
        </is>
      </c>
      <c r="J1040" t="inlineStr">
        <is>
          <t>NULL</t>
        </is>
      </c>
      <c r="K1040" t="inlineStr">
        <is>
          <t xml:space="preserve"> NO!  	 c_time列源备映射错误，源端为time None位	期望更改为text	实际备端为time None位</t>
        </is>
      </c>
    </row>
    <row r="1041">
      <c r="A1041" t="inlineStr">
        <is>
          <t>info_varchar_dml_batch2_pk_irp1</t>
        </is>
      </c>
      <c r="K1041" t="inlineStr">
        <is>
          <t>[0;34m info_varchar_dml_batch2_pk_irp1 [0m源备字段数相同，源端字段：4 	备端字段4</t>
        </is>
      </c>
      <c r="W1041" t="inlineStr">
        <is>
          <t>YES 源备无差异</t>
        </is>
      </c>
      <c r="X1041">
        <f>A1041</f>
        <v/>
      </c>
    </row>
    <row r="1042">
      <c r="B1042" t="inlineStr">
        <is>
          <t>YES</t>
        </is>
      </c>
      <c r="C1042" t="inlineStr">
        <is>
          <t>NULL</t>
        </is>
      </c>
      <c r="D1042" t="inlineStr">
        <is>
          <t>NULL</t>
        </is>
      </c>
      <c r="E1042" t="inlineStr">
        <is>
          <t>NULL</t>
        </is>
      </c>
      <c r="F1042" t="inlineStr">
        <is>
          <t>NULL</t>
        </is>
      </c>
      <c r="G1042" t="inlineStr">
        <is>
          <t>NULL</t>
        </is>
      </c>
      <c r="H1042" t="inlineStr">
        <is>
          <t>NULL</t>
        </is>
      </c>
      <c r="I1042" t="inlineStr">
        <is>
          <t>YES!PK__info_var__3213E83FF3A0D68D</t>
        </is>
      </c>
      <c r="J1042" t="inlineStr">
        <is>
          <t>YES! 主键相关索引</t>
        </is>
      </c>
      <c r="K1042" t="inlineStr">
        <is>
          <t xml:space="preserve"> NO!  	 id列源备映射错误，源端为int None位	期望更改为text	实际备端为int None位</t>
        </is>
      </c>
    </row>
    <row r="1043">
      <c r="B1043" t="inlineStr">
        <is>
          <t>NULL</t>
        </is>
      </c>
      <c r="C1043" t="inlineStr">
        <is>
          <t>NULL</t>
        </is>
      </c>
      <c r="D1043" t="inlineStr">
        <is>
          <t>NULL</t>
        </is>
      </c>
      <c r="E1043" t="inlineStr">
        <is>
          <t>NULL</t>
        </is>
      </c>
      <c r="F1043" t="inlineStr">
        <is>
          <t>NULL</t>
        </is>
      </c>
      <c r="G1043" t="inlineStr">
        <is>
          <t>NULL</t>
        </is>
      </c>
      <c r="H1043" t="inlineStr">
        <is>
          <t>NULL</t>
        </is>
      </c>
      <c r="I1043" t="inlineStr">
        <is>
          <t>NULL</t>
        </is>
      </c>
      <c r="J1043" t="inlineStr">
        <is>
          <t>NULL</t>
        </is>
      </c>
      <c r="K1043" t="inlineStr">
        <is>
          <t xml:space="preserve"> NO!  	 c_varchar列源备映射错误，源端为varchar 1位	期望更改为text	实际备端为varchar 1位</t>
        </is>
      </c>
    </row>
    <row r="1044">
      <c r="B1044" t="inlineStr">
        <is>
          <t>NULL</t>
        </is>
      </c>
      <c r="C1044" t="inlineStr">
        <is>
          <t>NULL</t>
        </is>
      </c>
      <c r="D1044" t="inlineStr">
        <is>
          <t>NULL</t>
        </is>
      </c>
      <c r="E1044" t="inlineStr">
        <is>
          <t>NULL</t>
        </is>
      </c>
      <c r="F1044" t="inlineStr">
        <is>
          <t>NULL</t>
        </is>
      </c>
      <c r="G1044" t="inlineStr">
        <is>
          <t>NULL</t>
        </is>
      </c>
      <c r="H1044" t="inlineStr">
        <is>
          <t>NULL</t>
        </is>
      </c>
      <c r="I1044" t="inlineStr">
        <is>
          <t>NULL</t>
        </is>
      </c>
      <c r="J1044" t="inlineStr">
        <is>
          <t>NULL</t>
        </is>
      </c>
      <c r="K1044" t="inlineStr">
        <is>
          <t xml:space="preserve"> NO!  	 c_varchar20列源备映射错误，源端为varchar 20位	期望更改为text	实际备端为varchar 20位</t>
        </is>
      </c>
    </row>
    <row r="1045">
      <c r="B1045" t="inlineStr">
        <is>
          <t>NULL</t>
        </is>
      </c>
      <c r="C1045" t="inlineStr">
        <is>
          <t>NULL</t>
        </is>
      </c>
      <c r="D1045" t="inlineStr">
        <is>
          <t>NULL</t>
        </is>
      </c>
      <c r="E1045" t="inlineStr">
        <is>
          <t>NULL</t>
        </is>
      </c>
      <c r="F1045" t="inlineStr">
        <is>
          <t>NULL</t>
        </is>
      </c>
      <c r="G1045" t="inlineStr">
        <is>
          <t>NULL</t>
        </is>
      </c>
      <c r="H1045" t="inlineStr">
        <is>
          <t>NULL</t>
        </is>
      </c>
      <c r="I1045" t="inlineStr">
        <is>
          <t>NULL</t>
        </is>
      </c>
      <c r="J1045" t="inlineStr">
        <is>
          <t>NULL</t>
        </is>
      </c>
      <c r="K1045" t="inlineStr">
        <is>
          <t xml:space="preserve"> NO!  	 c_varchar200列源备映射错误，源端为varchar 200位	期望更改为text	实际备端为varchar 200位</t>
        </is>
      </c>
    </row>
    <row r="1046">
      <c r="K1046" t="inlineStr">
        <is>
          <t>~ 空表</t>
        </is>
      </c>
    </row>
    <row r="1047">
      <c r="A1047" t="inlineStr">
        <is>
          <t>info_varbinary_dml_batch1_pk_irp2</t>
        </is>
      </c>
      <c r="K1047" t="inlineStr">
        <is>
          <t>[0;34m info_varbinary_dml_batch1_pk_irp2 [0m源备字段数相同，源端字段：4 	备端字段4</t>
        </is>
      </c>
      <c r="W1047" s="17">
        <f>HYPERLINK("#2026041919hbase0!DP2","NO 源备存在差异，共33个")</f>
        <v/>
      </c>
      <c r="X1047">
        <f>A1047</f>
        <v/>
      </c>
    </row>
    <row r="1048">
      <c r="B1048" t="inlineStr">
        <is>
          <t>YES</t>
        </is>
      </c>
      <c r="C1048" t="inlineStr">
        <is>
          <t>NULL</t>
        </is>
      </c>
      <c r="D1048" t="inlineStr">
        <is>
          <t>NULL</t>
        </is>
      </c>
      <c r="E1048" t="inlineStr">
        <is>
          <t>NULL</t>
        </is>
      </c>
      <c r="F1048" t="inlineStr">
        <is>
          <t>NULL</t>
        </is>
      </c>
      <c r="G1048" t="inlineStr">
        <is>
          <t>NULL</t>
        </is>
      </c>
      <c r="H1048" t="inlineStr">
        <is>
          <t>NULL</t>
        </is>
      </c>
      <c r="I1048" t="inlineStr">
        <is>
          <t>YES!PK__info_var__3213E83FAD02788B</t>
        </is>
      </c>
      <c r="J1048" t="inlineStr">
        <is>
          <t>YES! 主键相关索引</t>
        </is>
      </c>
      <c r="K1048" t="inlineStr">
        <is>
          <t xml:space="preserve"> NO!  	 id列源备映射错误，源端为int None位	期望更改为text	实际备端为int None位</t>
        </is>
      </c>
    </row>
    <row r="1049">
      <c r="B1049" t="inlineStr">
        <is>
          <t>NULL</t>
        </is>
      </c>
      <c r="C1049" t="inlineStr">
        <is>
          <t>NULL</t>
        </is>
      </c>
      <c r="D1049" t="inlineStr">
        <is>
          <t>NULL</t>
        </is>
      </c>
      <c r="E1049" t="inlineStr">
        <is>
          <t>NULL</t>
        </is>
      </c>
      <c r="F1049" t="inlineStr">
        <is>
          <t>NULL</t>
        </is>
      </c>
      <c r="G1049" t="inlineStr">
        <is>
          <t>NULL</t>
        </is>
      </c>
      <c r="H1049" t="inlineStr">
        <is>
          <t>NULL</t>
        </is>
      </c>
      <c r="I1049" t="inlineStr">
        <is>
          <t>NULL</t>
        </is>
      </c>
      <c r="J1049" t="inlineStr">
        <is>
          <t>NULL</t>
        </is>
      </c>
      <c r="K1049" t="inlineStr">
        <is>
          <t xml:space="preserve"> NO!  	 c_varbinary列源备映射错误，源端为varbinary 1位	期望更改为text	实际备端为varbinary 1位</t>
        </is>
      </c>
    </row>
    <row r="1050">
      <c r="B1050" t="inlineStr">
        <is>
          <t>NULL</t>
        </is>
      </c>
      <c r="C1050" t="inlineStr">
        <is>
          <t>NULL</t>
        </is>
      </c>
      <c r="D1050" t="inlineStr">
        <is>
          <t>NULL</t>
        </is>
      </c>
      <c r="E1050" t="inlineStr">
        <is>
          <t>NULL</t>
        </is>
      </c>
      <c r="F1050" t="inlineStr">
        <is>
          <t>NULL</t>
        </is>
      </c>
      <c r="G1050" t="inlineStr">
        <is>
          <t>NULL</t>
        </is>
      </c>
      <c r="H1050" t="inlineStr">
        <is>
          <t>NULL</t>
        </is>
      </c>
      <c r="I1050" t="inlineStr">
        <is>
          <t>NULL</t>
        </is>
      </c>
      <c r="J1050" t="inlineStr">
        <is>
          <t>NULL</t>
        </is>
      </c>
      <c r="K1050" t="inlineStr">
        <is>
          <t xml:space="preserve"> NO!  	 c_varbinary_100列源备映射错误，源端为varbinary 100位	期望更改为text	实际备端为varbinary 100位</t>
        </is>
      </c>
    </row>
    <row r="1051">
      <c r="B1051" t="inlineStr">
        <is>
          <t>NULL</t>
        </is>
      </c>
      <c r="C1051" t="inlineStr">
        <is>
          <t>NULL</t>
        </is>
      </c>
      <c r="D1051" t="inlineStr">
        <is>
          <t>NULL</t>
        </is>
      </c>
      <c r="E1051" t="inlineStr">
        <is>
          <t>NULL</t>
        </is>
      </c>
      <c r="F1051" t="inlineStr">
        <is>
          <t>NULL</t>
        </is>
      </c>
      <c r="G1051" t="inlineStr">
        <is>
          <t>NULL</t>
        </is>
      </c>
      <c r="H1051" t="inlineStr">
        <is>
          <t>NULL</t>
        </is>
      </c>
      <c r="I1051" t="inlineStr">
        <is>
          <t>NULL</t>
        </is>
      </c>
      <c r="J1051" t="inlineStr">
        <is>
          <t>NULL</t>
        </is>
      </c>
      <c r="K1051" t="inlineStr">
        <is>
          <t xml:space="preserve"> NO!  	 c_varbinary_200列源备映射错误，源端为varbinary 200位	期望更改为text	实际备端为varbinary 200位</t>
        </is>
      </c>
    </row>
    <row r="1052">
      <c r="A1052" t="inlineStr">
        <is>
          <t>info_sql_variant_dml_single_pk_urp</t>
        </is>
      </c>
      <c r="K1052" t="inlineStr">
        <is>
          <t>[0;34m info_sql_variant_dml_single_pk_urp [0m源备字段数相同，源端字段：25 	备端字段25</t>
        </is>
      </c>
      <c r="W1052" s="17">
        <f>HYPERLINK("#2026041919hbase0!DQ2","NO 源备存在差异，共2个")</f>
        <v/>
      </c>
      <c r="X1052">
        <f>A1052</f>
        <v/>
      </c>
    </row>
    <row r="1053">
      <c r="B1053" t="inlineStr">
        <is>
          <t>YES</t>
        </is>
      </c>
      <c r="C1053" t="inlineStr">
        <is>
          <t>NULL</t>
        </is>
      </c>
      <c r="D1053" t="inlineStr">
        <is>
          <t>NULL</t>
        </is>
      </c>
      <c r="E1053" t="inlineStr">
        <is>
          <t>NULL</t>
        </is>
      </c>
      <c r="F1053" t="inlineStr">
        <is>
          <t>NULL</t>
        </is>
      </c>
      <c r="G1053" t="inlineStr">
        <is>
          <t>NULL</t>
        </is>
      </c>
      <c r="H1053" t="inlineStr">
        <is>
          <t>NULL</t>
        </is>
      </c>
      <c r="I1053" t="inlineStr">
        <is>
          <t>YES!PK__info_sql__3213E83FEEEAFE12</t>
        </is>
      </c>
      <c r="J1053" t="inlineStr">
        <is>
          <t>YES! 主键相关索引</t>
        </is>
      </c>
      <c r="K1053" t="inlineStr">
        <is>
          <t xml:space="preserve"> NO!  	 id列源备映射错误，源端为int None位	期望更改为text	实际备端为int None位</t>
        </is>
      </c>
    </row>
    <row r="1054">
      <c r="B1054" t="inlineStr">
        <is>
          <t>NULL</t>
        </is>
      </c>
      <c r="C1054" t="inlineStr">
        <is>
          <t>NULL</t>
        </is>
      </c>
      <c r="D1054" t="inlineStr">
        <is>
          <t>NULL</t>
        </is>
      </c>
      <c r="E1054" t="inlineStr">
        <is>
          <t>NULL</t>
        </is>
      </c>
      <c r="F1054" t="inlineStr">
        <is>
          <t>NULL</t>
        </is>
      </c>
      <c r="G1054" t="inlineStr">
        <is>
          <t>NULL</t>
        </is>
      </c>
      <c r="H1054" t="inlineStr">
        <is>
          <t>NULL</t>
        </is>
      </c>
      <c r="I1054" t="inlineStr">
        <is>
          <t>NULL</t>
        </is>
      </c>
      <c r="J1054" t="inlineStr">
        <is>
          <t>NULL</t>
        </is>
      </c>
      <c r="K1054" t="inlineStr">
        <is>
          <t xml:space="preserve"> NO!  	 c_date列源备映射错误，源端为sql_variant 0位	期望更改为text	实际备端为sql_variant 0位</t>
        </is>
      </c>
    </row>
    <row r="1055">
      <c r="B1055" t="inlineStr">
        <is>
          <t>NULL</t>
        </is>
      </c>
      <c r="C1055" t="inlineStr">
        <is>
          <t>NULL</t>
        </is>
      </c>
      <c r="D1055" t="inlineStr">
        <is>
          <t>NULL</t>
        </is>
      </c>
      <c r="E1055" t="inlineStr">
        <is>
          <t>NULL</t>
        </is>
      </c>
      <c r="F1055" t="inlineStr">
        <is>
          <t>NULL</t>
        </is>
      </c>
      <c r="G1055" t="inlineStr">
        <is>
          <t>NULL</t>
        </is>
      </c>
      <c r="H1055" t="inlineStr">
        <is>
          <t>NULL</t>
        </is>
      </c>
      <c r="I1055" t="inlineStr">
        <is>
          <t>NULL</t>
        </is>
      </c>
      <c r="J1055" t="inlineStr">
        <is>
          <t>NULL</t>
        </is>
      </c>
      <c r="K1055" t="inlineStr">
        <is>
          <t xml:space="preserve"> NO!  	 c_time列源备映射错误，源端为sql_variant 0位	期望更改为text	实际备端为sql_variant 0位</t>
        </is>
      </c>
    </row>
    <row r="1056">
      <c r="B1056" t="inlineStr">
        <is>
          <t>NULL</t>
        </is>
      </c>
      <c r="C1056" t="inlineStr">
        <is>
          <t>NULL</t>
        </is>
      </c>
      <c r="D1056" t="inlineStr">
        <is>
          <t>NULL</t>
        </is>
      </c>
      <c r="E1056" t="inlineStr">
        <is>
          <t>NULL</t>
        </is>
      </c>
      <c r="F1056" t="inlineStr">
        <is>
          <t>NULL</t>
        </is>
      </c>
      <c r="G1056" t="inlineStr">
        <is>
          <t>NULL</t>
        </is>
      </c>
      <c r="H1056" t="inlineStr">
        <is>
          <t>NULL</t>
        </is>
      </c>
      <c r="I1056" t="inlineStr">
        <is>
          <t>NULL</t>
        </is>
      </c>
      <c r="J1056" t="inlineStr">
        <is>
          <t>NULL</t>
        </is>
      </c>
      <c r="K1056" t="inlineStr">
        <is>
          <t xml:space="preserve"> NO!  	 c_datetime2列源备映射错误，源端为sql_variant 0位	期望更改为text	实际备端为sql_variant 0位</t>
        </is>
      </c>
    </row>
    <row r="1057">
      <c r="B1057" t="inlineStr">
        <is>
          <t>NULL</t>
        </is>
      </c>
      <c r="C1057" t="inlineStr">
        <is>
          <t>NULL</t>
        </is>
      </c>
      <c r="D1057" t="inlineStr">
        <is>
          <t>NULL</t>
        </is>
      </c>
      <c r="E1057" t="inlineStr">
        <is>
          <t>NULL</t>
        </is>
      </c>
      <c r="F1057" t="inlineStr">
        <is>
          <t>NULL</t>
        </is>
      </c>
      <c r="G1057" t="inlineStr">
        <is>
          <t>NULL</t>
        </is>
      </c>
      <c r="H1057" t="inlineStr">
        <is>
          <t>NULL</t>
        </is>
      </c>
      <c r="I1057" t="inlineStr">
        <is>
          <t>NULL</t>
        </is>
      </c>
      <c r="J1057" t="inlineStr">
        <is>
          <t>NULL</t>
        </is>
      </c>
      <c r="K1057" t="inlineStr">
        <is>
          <t xml:space="preserve"> NO!  	 c_datetimeoffset列源备映射错误，源端为sql_variant 0位	期望更改为text	实际备端为sql_variant 0位</t>
        </is>
      </c>
    </row>
    <row r="1058">
      <c r="B1058" t="inlineStr">
        <is>
          <t>NULL</t>
        </is>
      </c>
      <c r="C1058" t="inlineStr">
        <is>
          <t>NULL</t>
        </is>
      </c>
      <c r="D1058" t="inlineStr">
        <is>
          <t>NULL</t>
        </is>
      </c>
      <c r="E1058" t="inlineStr">
        <is>
          <t>NULL</t>
        </is>
      </c>
      <c r="F1058" t="inlineStr">
        <is>
          <t>NULL</t>
        </is>
      </c>
      <c r="G1058" t="inlineStr">
        <is>
          <t>NULL</t>
        </is>
      </c>
      <c r="H1058" t="inlineStr">
        <is>
          <t>NULL</t>
        </is>
      </c>
      <c r="I1058" t="inlineStr">
        <is>
          <t>NULL</t>
        </is>
      </c>
      <c r="J1058" t="inlineStr">
        <is>
          <t>NULL</t>
        </is>
      </c>
      <c r="K1058" t="inlineStr">
        <is>
          <t xml:space="preserve"> NO!  	 c_tinyint列源备映射错误，源端为sql_variant 0位	期望更改为text	实际备端为sql_variant 0位</t>
        </is>
      </c>
    </row>
    <row r="1059">
      <c r="B1059" t="inlineStr">
        <is>
          <t>NULL</t>
        </is>
      </c>
      <c r="C1059" t="inlineStr">
        <is>
          <t>NULL</t>
        </is>
      </c>
      <c r="D1059" t="inlineStr">
        <is>
          <t>NULL</t>
        </is>
      </c>
      <c r="E1059" t="inlineStr">
        <is>
          <t>NULL</t>
        </is>
      </c>
      <c r="F1059" t="inlineStr">
        <is>
          <t>NULL</t>
        </is>
      </c>
      <c r="G1059" t="inlineStr">
        <is>
          <t>NULL</t>
        </is>
      </c>
      <c r="H1059" t="inlineStr">
        <is>
          <t>NULL</t>
        </is>
      </c>
      <c r="I1059" t="inlineStr">
        <is>
          <t>NULL</t>
        </is>
      </c>
      <c r="J1059" t="inlineStr">
        <is>
          <t>NULL</t>
        </is>
      </c>
      <c r="K1059" t="inlineStr">
        <is>
          <t xml:space="preserve"> NO!  	 c_smallint列源备映射错误，源端为sql_variant 0位	期望更改为text	实际备端为sql_variant 0位</t>
        </is>
      </c>
    </row>
    <row r="1060">
      <c r="B1060" t="inlineStr">
        <is>
          <t>NULL</t>
        </is>
      </c>
      <c r="C1060" t="inlineStr">
        <is>
          <t>NULL</t>
        </is>
      </c>
      <c r="D1060" t="inlineStr">
        <is>
          <t>NULL</t>
        </is>
      </c>
      <c r="E1060" t="inlineStr">
        <is>
          <t>NULL</t>
        </is>
      </c>
      <c r="F1060" t="inlineStr">
        <is>
          <t>NULL</t>
        </is>
      </c>
      <c r="G1060" t="inlineStr">
        <is>
          <t>NULL</t>
        </is>
      </c>
      <c r="H1060" t="inlineStr">
        <is>
          <t>NULL</t>
        </is>
      </c>
      <c r="I1060" t="inlineStr">
        <is>
          <t>NULL</t>
        </is>
      </c>
      <c r="J1060" t="inlineStr">
        <is>
          <t>NULL</t>
        </is>
      </c>
      <c r="K1060" t="inlineStr">
        <is>
          <t xml:space="preserve"> NO!  	 c_int列源备映射错误，源端为sql_variant 0位	期望更改为text	实际备端为sql_variant 0位</t>
        </is>
      </c>
    </row>
    <row r="1061">
      <c r="B1061" t="inlineStr">
        <is>
          <t>NULL</t>
        </is>
      </c>
      <c r="C1061" t="inlineStr">
        <is>
          <t>NULL</t>
        </is>
      </c>
      <c r="D1061" t="inlineStr">
        <is>
          <t>NULL</t>
        </is>
      </c>
      <c r="E1061" t="inlineStr">
        <is>
          <t>NULL</t>
        </is>
      </c>
      <c r="F1061" t="inlineStr">
        <is>
          <t>NULL</t>
        </is>
      </c>
      <c r="G1061" t="inlineStr">
        <is>
          <t>NULL</t>
        </is>
      </c>
      <c r="H1061" t="inlineStr">
        <is>
          <t>NULL</t>
        </is>
      </c>
      <c r="I1061" t="inlineStr">
        <is>
          <t>NULL</t>
        </is>
      </c>
      <c r="J1061" t="inlineStr">
        <is>
          <t>NULL</t>
        </is>
      </c>
      <c r="K1061" t="inlineStr">
        <is>
          <t xml:space="preserve"> NO!  	 c_sdt列源备映射错误，源端为sql_variant 0位	期望更改为text	实际备端为sql_variant 0位</t>
        </is>
      </c>
    </row>
    <row r="1062">
      <c r="B1062" t="inlineStr">
        <is>
          <t>NULL</t>
        </is>
      </c>
      <c r="C1062" t="inlineStr">
        <is>
          <t>NULL</t>
        </is>
      </c>
      <c r="D1062" t="inlineStr">
        <is>
          <t>NULL</t>
        </is>
      </c>
      <c r="E1062" t="inlineStr">
        <is>
          <t>NULL</t>
        </is>
      </c>
      <c r="F1062" t="inlineStr">
        <is>
          <t>NULL</t>
        </is>
      </c>
      <c r="G1062" t="inlineStr">
        <is>
          <t>NULL</t>
        </is>
      </c>
      <c r="H1062" t="inlineStr">
        <is>
          <t>NULL</t>
        </is>
      </c>
      <c r="I1062" t="inlineStr">
        <is>
          <t>NULL</t>
        </is>
      </c>
      <c r="J1062" t="inlineStr">
        <is>
          <t>NULL</t>
        </is>
      </c>
      <c r="K1062" t="inlineStr">
        <is>
          <t xml:space="preserve"> NO!  	 c_real列源备映射错误，源端为sql_variant 0位	期望更改为text	实际备端为sql_variant 0位</t>
        </is>
      </c>
    </row>
    <row r="1063">
      <c r="B1063" t="inlineStr">
        <is>
          <t>NULL</t>
        </is>
      </c>
      <c r="C1063" t="inlineStr">
        <is>
          <t>NULL</t>
        </is>
      </c>
      <c r="D1063" t="inlineStr">
        <is>
          <t>NULL</t>
        </is>
      </c>
      <c r="E1063" t="inlineStr">
        <is>
          <t>NULL</t>
        </is>
      </c>
      <c r="F1063" t="inlineStr">
        <is>
          <t>NULL</t>
        </is>
      </c>
      <c r="G1063" t="inlineStr">
        <is>
          <t>NULL</t>
        </is>
      </c>
      <c r="H1063" t="inlineStr">
        <is>
          <t>NULL</t>
        </is>
      </c>
      <c r="I1063" t="inlineStr">
        <is>
          <t>NULL</t>
        </is>
      </c>
      <c r="J1063" t="inlineStr">
        <is>
          <t>NULL</t>
        </is>
      </c>
      <c r="K1063" t="inlineStr">
        <is>
          <t xml:space="preserve"> NO!  	 c_money列源备映射错误，源端为sql_variant 0位	期望更改为text	实际备端为sql_variant 0位</t>
        </is>
      </c>
    </row>
    <row r="1064">
      <c r="B1064" t="inlineStr">
        <is>
          <t>NULL</t>
        </is>
      </c>
      <c r="C1064" t="inlineStr">
        <is>
          <t>NULL</t>
        </is>
      </c>
      <c r="D1064" t="inlineStr">
        <is>
          <t>NULL</t>
        </is>
      </c>
      <c r="E1064" t="inlineStr">
        <is>
          <t>NULL</t>
        </is>
      </c>
      <c r="F1064" t="inlineStr">
        <is>
          <t>NULL</t>
        </is>
      </c>
      <c r="G1064" t="inlineStr">
        <is>
          <t>NULL</t>
        </is>
      </c>
      <c r="H1064" t="inlineStr">
        <is>
          <t>NULL</t>
        </is>
      </c>
      <c r="I1064" t="inlineStr">
        <is>
          <t>NULL</t>
        </is>
      </c>
      <c r="J1064" t="inlineStr">
        <is>
          <t>NULL</t>
        </is>
      </c>
      <c r="K1064" t="inlineStr">
        <is>
          <t xml:space="preserve"> NO!  	 c_datetime列源备映射错误，源端为sql_variant 0位	期望更改为text	实际备端为sql_variant 0位</t>
        </is>
      </c>
    </row>
    <row r="1065">
      <c r="B1065" t="inlineStr">
        <is>
          <t>NULL</t>
        </is>
      </c>
      <c r="C1065" t="inlineStr">
        <is>
          <t>NULL</t>
        </is>
      </c>
      <c r="D1065" t="inlineStr">
        <is>
          <t>NULL</t>
        </is>
      </c>
      <c r="E1065" t="inlineStr">
        <is>
          <t>NULL</t>
        </is>
      </c>
      <c r="F1065" t="inlineStr">
        <is>
          <t>NULL</t>
        </is>
      </c>
      <c r="G1065" t="inlineStr">
        <is>
          <t>NULL</t>
        </is>
      </c>
      <c r="H1065" t="inlineStr">
        <is>
          <t>NULL</t>
        </is>
      </c>
      <c r="I1065" t="inlineStr">
        <is>
          <t>NULL</t>
        </is>
      </c>
      <c r="J1065" t="inlineStr">
        <is>
          <t>NULL</t>
        </is>
      </c>
      <c r="K1065" t="inlineStr">
        <is>
          <t xml:space="preserve"> NO!  	 c_float列源备映射错误，源端为sql_variant 0位	期望更改为text	实际备端为sql_variant 0位</t>
        </is>
      </c>
    </row>
    <row r="1066">
      <c r="B1066" t="inlineStr">
        <is>
          <t>NULL</t>
        </is>
      </c>
      <c r="C1066" t="inlineStr">
        <is>
          <t>NULL</t>
        </is>
      </c>
      <c r="D1066" t="inlineStr">
        <is>
          <t>NULL</t>
        </is>
      </c>
      <c r="E1066" t="inlineStr">
        <is>
          <t>NULL</t>
        </is>
      </c>
      <c r="F1066" t="inlineStr">
        <is>
          <t>NULL</t>
        </is>
      </c>
      <c r="G1066" t="inlineStr">
        <is>
          <t>NULL</t>
        </is>
      </c>
      <c r="H1066" t="inlineStr">
        <is>
          <t>NULL</t>
        </is>
      </c>
      <c r="I1066" t="inlineStr">
        <is>
          <t>NULL</t>
        </is>
      </c>
      <c r="J1066" t="inlineStr">
        <is>
          <t>NULL</t>
        </is>
      </c>
      <c r="K1066" t="inlineStr">
        <is>
          <t xml:space="preserve"> NO!  	 c_bit列源备映射错误，源端为sql_variant 0位	期望更改为text	实际备端为sql_variant 0位</t>
        </is>
      </c>
    </row>
    <row r="1067">
      <c r="B1067" t="inlineStr">
        <is>
          <t>NULL</t>
        </is>
      </c>
      <c r="C1067" t="inlineStr">
        <is>
          <t>NULL</t>
        </is>
      </c>
      <c r="D1067" t="inlineStr">
        <is>
          <t>NULL</t>
        </is>
      </c>
      <c r="E1067" t="inlineStr">
        <is>
          <t>NULL</t>
        </is>
      </c>
      <c r="F1067" t="inlineStr">
        <is>
          <t>NULL</t>
        </is>
      </c>
      <c r="G1067" t="inlineStr">
        <is>
          <t>NULL</t>
        </is>
      </c>
      <c r="H1067" t="inlineStr">
        <is>
          <t>NULL</t>
        </is>
      </c>
      <c r="I1067" t="inlineStr">
        <is>
          <t>NULL</t>
        </is>
      </c>
      <c r="J1067" t="inlineStr">
        <is>
          <t>NULL</t>
        </is>
      </c>
      <c r="K1067" t="inlineStr">
        <is>
          <t xml:space="preserve"> NO!  	 c_decimal列源备映射错误，源端为sql_variant 0位	期望更改为text	实际备端为sql_variant 0位</t>
        </is>
      </c>
    </row>
    <row r="1068">
      <c r="B1068" t="inlineStr">
        <is>
          <t>NULL</t>
        </is>
      </c>
      <c r="C1068" t="inlineStr">
        <is>
          <t>NULL</t>
        </is>
      </c>
      <c r="D1068" t="inlineStr">
        <is>
          <t>NULL</t>
        </is>
      </c>
      <c r="E1068" t="inlineStr">
        <is>
          <t>NULL</t>
        </is>
      </c>
      <c r="F1068" t="inlineStr">
        <is>
          <t>NULL</t>
        </is>
      </c>
      <c r="G1068" t="inlineStr">
        <is>
          <t>NULL</t>
        </is>
      </c>
      <c r="H1068" t="inlineStr">
        <is>
          <t>NULL</t>
        </is>
      </c>
      <c r="I1068" t="inlineStr">
        <is>
          <t>NULL</t>
        </is>
      </c>
      <c r="J1068" t="inlineStr">
        <is>
          <t>NULL</t>
        </is>
      </c>
      <c r="K1068" t="inlineStr">
        <is>
          <t xml:space="preserve"> NO!  	 c_uniqueidentifier列源备映射错误，源端为sql_variant 0位	期望更改为text	实际备端为sql_variant 0位</t>
        </is>
      </c>
    </row>
    <row r="1069">
      <c r="B1069" t="inlineStr">
        <is>
          <t>NULL</t>
        </is>
      </c>
      <c r="C1069" t="inlineStr">
        <is>
          <t>NULL</t>
        </is>
      </c>
      <c r="D1069" t="inlineStr">
        <is>
          <t>NULL</t>
        </is>
      </c>
      <c r="E1069" t="inlineStr">
        <is>
          <t>NULL</t>
        </is>
      </c>
      <c r="F1069" t="inlineStr">
        <is>
          <t>NULL</t>
        </is>
      </c>
      <c r="G1069" t="inlineStr">
        <is>
          <t>NULL</t>
        </is>
      </c>
      <c r="H1069" t="inlineStr">
        <is>
          <t>NULL</t>
        </is>
      </c>
      <c r="I1069" t="inlineStr">
        <is>
          <t>NULL</t>
        </is>
      </c>
      <c r="J1069" t="inlineStr">
        <is>
          <t>NULL</t>
        </is>
      </c>
      <c r="K1069" t="inlineStr">
        <is>
          <t xml:space="preserve"> NO!  	 c_smallmoney列源备映射错误，源端为sql_variant 0位	期望更改为text	实际备端为sql_variant 0位</t>
        </is>
      </c>
    </row>
    <row r="1070">
      <c r="B1070" t="inlineStr">
        <is>
          <t>NULL</t>
        </is>
      </c>
      <c r="C1070" t="inlineStr">
        <is>
          <t>NULL</t>
        </is>
      </c>
      <c r="D1070" t="inlineStr">
        <is>
          <t>NULL</t>
        </is>
      </c>
      <c r="E1070" t="inlineStr">
        <is>
          <t>NULL</t>
        </is>
      </c>
      <c r="F1070" t="inlineStr">
        <is>
          <t>NULL</t>
        </is>
      </c>
      <c r="G1070" t="inlineStr">
        <is>
          <t>NULL</t>
        </is>
      </c>
      <c r="H1070" t="inlineStr">
        <is>
          <t>NULL</t>
        </is>
      </c>
      <c r="I1070" t="inlineStr">
        <is>
          <t>NULL</t>
        </is>
      </c>
      <c r="J1070" t="inlineStr">
        <is>
          <t>NULL</t>
        </is>
      </c>
      <c r="K1070" t="inlineStr">
        <is>
          <t xml:space="preserve"> NO!  	 c_bigint列源备映射错误，源端为sql_variant 0位	期望更改为text	实际备端为sql_variant 0位</t>
        </is>
      </c>
    </row>
    <row r="1071">
      <c r="B1071" t="inlineStr">
        <is>
          <t>NULL</t>
        </is>
      </c>
      <c r="C1071" t="inlineStr">
        <is>
          <t>NULL</t>
        </is>
      </c>
      <c r="D1071" t="inlineStr">
        <is>
          <t>NULL</t>
        </is>
      </c>
      <c r="E1071" t="inlineStr">
        <is>
          <t>NULL</t>
        </is>
      </c>
      <c r="F1071" t="inlineStr">
        <is>
          <t>NULL</t>
        </is>
      </c>
      <c r="G1071" t="inlineStr">
        <is>
          <t>NULL</t>
        </is>
      </c>
      <c r="H1071" t="inlineStr">
        <is>
          <t>NULL</t>
        </is>
      </c>
      <c r="I1071" t="inlineStr">
        <is>
          <t>NULL</t>
        </is>
      </c>
      <c r="J1071" t="inlineStr">
        <is>
          <t>NULL</t>
        </is>
      </c>
      <c r="K1071" t="inlineStr">
        <is>
          <t xml:space="preserve"> NO!  	 c_varbinary_20列源备映射错误，源端为sql_variant 0位	期望更改为text	实际备端为sql_variant 0位</t>
        </is>
      </c>
    </row>
    <row r="1072">
      <c r="B1072" t="inlineStr">
        <is>
          <t>NULL</t>
        </is>
      </c>
      <c r="C1072" t="inlineStr">
        <is>
          <t>NULL</t>
        </is>
      </c>
      <c r="D1072" t="inlineStr">
        <is>
          <t>NULL</t>
        </is>
      </c>
      <c r="E1072" t="inlineStr">
        <is>
          <t>NULL</t>
        </is>
      </c>
      <c r="F1072" t="inlineStr">
        <is>
          <t>NULL</t>
        </is>
      </c>
      <c r="G1072" t="inlineStr">
        <is>
          <t>NULL</t>
        </is>
      </c>
      <c r="H1072" t="inlineStr">
        <is>
          <t>NULL</t>
        </is>
      </c>
      <c r="I1072" t="inlineStr">
        <is>
          <t>NULL</t>
        </is>
      </c>
      <c r="J1072" t="inlineStr">
        <is>
          <t>NULL</t>
        </is>
      </c>
      <c r="K1072" t="inlineStr">
        <is>
          <t xml:space="preserve"> NO!  	 c_varchar_20列源备映射错误，源端为sql_variant 0位	期望更改为text	实际备端为sql_variant 0位</t>
        </is>
      </c>
    </row>
    <row r="1073">
      <c r="B1073" t="inlineStr">
        <is>
          <t>NULL</t>
        </is>
      </c>
      <c r="C1073" t="inlineStr">
        <is>
          <t>NULL</t>
        </is>
      </c>
      <c r="D1073" t="inlineStr">
        <is>
          <t>NULL</t>
        </is>
      </c>
      <c r="E1073" t="inlineStr">
        <is>
          <t>NULL</t>
        </is>
      </c>
      <c r="F1073" t="inlineStr">
        <is>
          <t>NULL</t>
        </is>
      </c>
      <c r="G1073" t="inlineStr">
        <is>
          <t>NULL</t>
        </is>
      </c>
      <c r="H1073" t="inlineStr">
        <is>
          <t>NULL</t>
        </is>
      </c>
      <c r="I1073" t="inlineStr">
        <is>
          <t>NULL</t>
        </is>
      </c>
      <c r="J1073" t="inlineStr">
        <is>
          <t>NULL</t>
        </is>
      </c>
      <c r="K1073" t="inlineStr">
        <is>
          <t xml:space="preserve"> NO!  	 c_binary_20列源备映射错误，源端为sql_variant 0位	期望更改为text	实际备端为sql_variant 0位</t>
        </is>
      </c>
    </row>
    <row r="1074">
      <c r="B1074" t="inlineStr">
        <is>
          <t>NULL</t>
        </is>
      </c>
      <c r="C1074" t="inlineStr">
        <is>
          <t>NULL</t>
        </is>
      </c>
      <c r="D1074" t="inlineStr">
        <is>
          <t>NULL</t>
        </is>
      </c>
      <c r="E1074" t="inlineStr">
        <is>
          <t>NULL</t>
        </is>
      </c>
      <c r="F1074" t="inlineStr">
        <is>
          <t>NULL</t>
        </is>
      </c>
      <c r="G1074" t="inlineStr">
        <is>
          <t>NULL</t>
        </is>
      </c>
      <c r="H1074" t="inlineStr">
        <is>
          <t>NULL</t>
        </is>
      </c>
      <c r="I1074" t="inlineStr">
        <is>
          <t>NULL</t>
        </is>
      </c>
      <c r="J1074" t="inlineStr">
        <is>
          <t>NULL</t>
        </is>
      </c>
      <c r="K1074" t="inlineStr">
        <is>
          <t xml:space="preserve"> NO!  	 c_char_20列源备映射错误，源端为sql_variant 0位	期望更改为text	实际备端为sql_variant 0位</t>
        </is>
      </c>
    </row>
    <row r="1075">
      <c r="B1075" t="inlineStr">
        <is>
          <t>NULL</t>
        </is>
      </c>
      <c r="C1075" t="inlineStr">
        <is>
          <t>NULL</t>
        </is>
      </c>
      <c r="D1075" t="inlineStr">
        <is>
          <t>NULL</t>
        </is>
      </c>
      <c r="E1075" t="inlineStr">
        <is>
          <t>NULL</t>
        </is>
      </c>
      <c r="F1075" t="inlineStr">
        <is>
          <t>NULL</t>
        </is>
      </c>
      <c r="G1075" t="inlineStr">
        <is>
          <t>NULL</t>
        </is>
      </c>
      <c r="H1075" t="inlineStr">
        <is>
          <t>NULL</t>
        </is>
      </c>
      <c r="I1075" t="inlineStr">
        <is>
          <t>NULL</t>
        </is>
      </c>
      <c r="J1075" t="inlineStr">
        <is>
          <t>NULL</t>
        </is>
      </c>
      <c r="K1075" t="inlineStr">
        <is>
          <t xml:space="preserve"> NO!  	 c_nvarchar_20列源备映射错误，源端为sql_variant 0位	期望更改为text	实际备端为sql_variant 0位</t>
        </is>
      </c>
    </row>
    <row r="1076">
      <c r="B1076" t="inlineStr">
        <is>
          <t>NULL</t>
        </is>
      </c>
      <c r="C1076" t="inlineStr">
        <is>
          <t>NULL</t>
        </is>
      </c>
      <c r="D1076" t="inlineStr">
        <is>
          <t>NULL</t>
        </is>
      </c>
      <c r="E1076" t="inlineStr">
        <is>
          <t>NULL</t>
        </is>
      </c>
      <c r="F1076" t="inlineStr">
        <is>
          <t>NULL</t>
        </is>
      </c>
      <c r="G1076" t="inlineStr">
        <is>
          <t>NULL</t>
        </is>
      </c>
      <c r="H1076" t="inlineStr">
        <is>
          <t>NULL</t>
        </is>
      </c>
      <c r="I1076" t="inlineStr">
        <is>
          <t>NULL</t>
        </is>
      </c>
      <c r="J1076" t="inlineStr">
        <is>
          <t>NULL</t>
        </is>
      </c>
      <c r="K1076" t="inlineStr">
        <is>
          <t xml:space="preserve"> NO!  	 c_nchar_20列源备映射错误，源端为sql_variant 0位	期望更改为text	实际备端为sql_variant 0位</t>
        </is>
      </c>
    </row>
    <row r="1077">
      <c r="B1077" t="inlineStr">
        <is>
          <t>NULL</t>
        </is>
      </c>
      <c r="C1077" t="inlineStr">
        <is>
          <t>NULL</t>
        </is>
      </c>
      <c r="D1077" t="inlineStr">
        <is>
          <t>NULL</t>
        </is>
      </c>
      <c r="E1077" t="inlineStr">
        <is>
          <t>NULL</t>
        </is>
      </c>
      <c r="F1077" t="inlineStr">
        <is>
          <t>NULL</t>
        </is>
      </c>
      <c r="G1077" t="inlineStr">
        <is>
          <t>NULL</t>
        </is>
      </c>
      <c r="H1077" t="inlineStr">
        <is>
          <t>NULL</t>
        </is>
      </c>
      <c r="I1077" t="inlineStr">
        <is>
          <t>NULL</t>
        </is>
      </c>
      <c r="J1077" t="inlineStr">
        <is>
          <t>NULL</t>
        </is>
      </c>
      <c r="K1077" t="inlineStr">
        <is>
          <t xml:space="preserve"> NO!  	 c_timestamp列源备映射错误，源端为timestamp None位	期望更改为text	实际备端为timestamp None位</t>
        </is>
      </c>
    </row>
    <row r="1078">
      <c r="A1078" t="inlineStr">
        <is>
          <t>info_sql_variant_dml_single_pk_drp</t>
        </is>
      </c>
      <c r="K1078" t="inlineStr">
        <is>
          <t>[0;34m info_sql_variant_dml_single_pk_drp [0m源备字段数相同，源端字段：25 	备端字段25</t>
        </is>
      </c>
      <c r="W1078" s="17">
        <f>HYPERLINK("#2026041919hbase0!DR2","NO 源备存在差异，共1个")</f>
        <v/>
      </c>
      <c r="X1078">
        <f>A1078</f>
        <v/>
      </c>
    </row>
    <row r="1079">
      <c r="B1079" t="inlineStr">
        <is>
          <t>YES</t>
        </is>
      </c>
      <c r="C1079" t="inlineStr">
        <is>
          <t>NULL</t>
        </is>
      </c>
      <c r="D1079" t="inlineStr">
        <is>
          <t>NULL</t>
        </is>
      </c>
      <c r="E1079" t="inlineStr">
        <is>
          <t>NULL</t>
        </is>
      </c>
      <c r="F1079" t="inlineStr">
        <is>
          <t>NULL</t>
        </is>
      </c>
      <c r="G1079" t="inlineStr">
        <is>
          <t>NULL</t>
        </is>
      </c>
      <c r="H1079" t="inlineStr">
        <is>
          <t>NULL</t>
        </is>
      </c>
      <c r="I1079" t="inlineStr">
        <is>
          <t>YES!PK__info_sql__3213E83F0E22FCD6</t>
        </is>
      </c>
      <c r="J1079" t="inlineStr">
        <is>
          <t>YES! 主键相关索引</t>
        </is>
      </c>
      <c r="K1079" t="inlineStr">
        <is>
          <t xml:space="preserve"> NO!  	 id列源备映射错误，源端为int None位	期望更改为text	实际备端为int None位</t>
        </is>
      </c>
    </row>
    <row r="1080">
      <c r="B1080" t="inlineStr">
        <is>
          <t>NULL</t>
        </is>
      </c>
      <c r="C1080" t="inlineStr">
        <is>
          <t>NULL</t>
        </is>
      </c>
      <c r="D1080" t="inlineStr">
        <is>
          <t>NULL</t>
        </is>
      </c>
      <c r="E1080" t="inlineStr">
        <is>
          <t>NULL</t>
        </is>
      </c>
      <c r="F1080" t="inlineStr">
        <is>
          <t>NULL</t>
        </is>
      </c>
      <c r="G1080" t="inlineStr">
        <is>
          <t>NULL</t>
        </is>
      </c>
      <c r="H1080" t="inlineStr">
        <is>
          <t>NULL</t>
        </is>
      </c>
      <c r="I1080" t="inlineStr">
        <is>
          <t>NULL</t>
        </is>
      </c>
      <c r="J1080" t="inlineStr">
        <is>
          <t>NULL</t>
        </is>
      </c>
      <c r="K1080" t="inlineStr">
        <is>
          <t xml:space="preserve"> NO!  	 c_date列源备映射错误，源端为sql_variant 0位	期望更改为text	实际备端为sql_variant 0位</t>
        </is>
      </c>
    </row>
    <row r="1081">
      <c r="B1081" t="inlineStr">
        <is>
          <t>NULL</t>
        </is>
      </c>
      <c r="C1081" t="inlineStr">
        <is>
          <t>NULL</t>
        </is>
      </c>
      <c r="D1081" t="inlineStr">
        <is>
          <t>NULL</t>
        </is>
      </c>
      <c r="E1081" t="inlineStr">
        <is>
          <t>NULL</t>
        </is>
      </c>
      <c r="F1081" t="inlineStr">
        <is>
          <t>NULL</t>
        </is>
      </c>
      <c r="G1081" t="inlineStr">
        <is>
          <t>NULL</t>
        </is>
      </c>
      <c r="H1081" t="inlineStr">
        <is>
          <t>NULL</t>
        </is>
      </c>
      <c r="I1081" t="inlineStr">
        <is>
          <t>NULL</t>
        </is>
      </c>
      <c r="J1081" t="inlineStr">
        <is>
          <t>NULL</t>
        </is>
      </c>
      <c r="K1081" t="inlineStr">
        <is>
          <t xml:space="preserve"> NO!  	 c_time列源备映射错误，源端为sql_variant 0位	期望更改为text	实际备端为sql_variant 0位</t>
        </is>
      </c>
    </row>
    <row r="1082">
      <c r="B1082" t="inlineStr">
        <is>
          <t>NULL</t>
        </is>
      </c>
      <c r="C1082" t="inlineStr">
        <is>
          <t>NULL</t>
        </is>
      </c>
      <c r="D1082" t="inlineStr">
        <is>
          <t>NULL</t>
        </is>
      </c>
      <c r="E1082" t="inlineStr">
        <is>
          <t>NULL</t>
        </is>
      </c>
      <c r="F1082" t="inlineStr">
        <is>
          <t>NULL</t>
        </is>
      </c>
      <c r="G1082" t="inlineStr">
        <is>
          <t>NULL</t>
        </is>
      </c>
      <c r="H1082" t="inlineStr">
        <is>
          <t>NULL</t>
        </is>
      </c>
      <c r="I1082" t="inlineStr">
        <is>
          <t>NULL</t>
        </is>
      </c>
      <c r="J1082" t="inlineStr">
        <is>
          <t>NULL</t>
        </is>
      </c>
      <c r="K1082" t="inlineStr">
        <is>
          <t xml:space="preserve"> NO!  	 c_datetime2列源备映射错误，源端为sql_variant 0位	期望更改为text	实际备端为sql_variant 0位</t>
        </is>
      </c>
    </row>
    <row r="1083">
      <c r="B1083" t="inlineStr">
        <is>
          <t>NULL</t>
        </is>
      </c>
      <c r="C1083" t="inlineStr">
        <is>
          <t>NULL</t>
        </is>
      </c>
      <c r="D1083" t="inlineStr">
        <is>
          <t>NULL</t>
        </is>
      </c>
      <c r="E1083" t="inlineStr">
        <is>
          <t>NULL</t>
        </is>
      </c>
      <c r="F1083" t="inlineStr">
        <is>
          <t>NULL</t>
        </is>
      </c>
      <c r="G1083" t="inlineStr">
        <is>
          <t>NULL</t>
        </is>
      </c>
      <c r="H1083" t="inlineStr">
        <is>
          <t>NULL</t>
        </is>
      </c>
      <c r="I1083" t="inlineStr">
        <is>
          <t>NULL</t>
        </is>
      </c>
      <c r="J1083" t="inlineStr">
        <is>
          <t>NULL</t>
        </is>
      </c>
      <c r="K1083" t="inlineStr">
        <is>
          <t xml:space="preserve"> NO!  	 c_datetimeoffset列源备映射错误，源端为sql_variant 0位	期望更改为text	实际备端为sql_variant 0位</t>
        </is>
      </c>
    </row>
    <row r="1084">
      <c r="B1084" t="inlineStr">
        <is>
          <t>NULL</t>
        </is>
      </c>
      <c r="C1084" t="inlineStr">
        <is>
          <t>NULL</t>
        </is>
      </c>
      <c r="D1084" t="inlineStr">
        <is>
          <t>NULL</t>
        </is>
      </c>
      <c r="E1084" t="inlineStr">
        <is>
          <t>NULL</t>
        </is>
      </c>
      <c r="F1084" t="inlineStr">
        <is>
          <t>NULL</t>
        </is>
      </c>
      <c r="G1084" t="inlineStr">
        <is>
          <t>NULL</t>
        </is>
      </c>
      <c r="H1084" t="inlineStr">
        <is>
          <t>NULL</t>
        </is>
      </c>
      <c r="I1084" t="inlineStr">
        <is>
          <t>NULL</t>
        </is>
      </c>
      <c r="J1084" t="inlineStr">
        <is>
          <t>NULL</t>
        </is>
      </c>
      <c r="K1084" t="inlineStr">
        <is>
          <t xml:space="preserve"> NO!  	 c_tinyint列源备映射错误，源端为sql_variant 0位	期望更改为text	实际备端为sql_variant 0位</t>
        </is>
      </c>
    </row>
    <row r="1085">
      <c r="B1085" t="inlineStr">
        <is>
          <t>NULL</t>
        </is>
      </c>
      <c r="C1085" t="inlineStr">
        <is>
          <t>NULL</t>
        </is>
      </c>
      <c r="D1085" t="inlineStr">
        <is>
          <t>NULL</t>
        </is>
      </c>
      <c r="E1085" t="inlineStr">
        <is>
          <t>NULL</t>
        </is>
      </c>
      <c r="F1085" t="inlineStr">
        <is>
          <t>NULL</t>
        </is>
      </c>
      <c r="G1085" t="inlineStr">
        <is>
          <t>NULL</t>
        </is>
      </c>
      <c r="H1085" t="inlineStr">
        <is>
          <t>NULL</t>
        </is>
      </c>
      <c r="I1085" t="inlineStr">
        <is>
          <t>NULL</t>
        </is>
      </c>
      <c r="J1085" t="inlineStr">
        <is>
          <t>NULL</t>
        </is>
      </c>
      <c r="K1085" t="inlineStr">
        <is>
          <t xml:space="preserve"> NO!  	 c_smallint列源备映射错误，源端为sql_variant 0位	期望更改为text	实际备端为sql_variant 0位</t>
        </is>
      </c>
    </row>
    <row r="1086">
      <c r="B1086" t="inlineStr">
        <is>
          <t>NULL</t>
        </is>
      </c>
      <c r="C1086" t="inlineStr">
        <is>
          <t>NULL</t>
        </is>
      </c>
      <c r="D1086" t="inlineStr">
        <is>
          <t>NULL</t>
        </is>
      </c>
      <c r="E1086" t="inlineStr">
        <is>
          <t>NULL</t>
        </is>
      </c>
      <c r="F1086" t="inlineStr">
        <is>
          <t>NULL</t>
        </is>
      </c>
      <c r="G1086" t="inlineStr">
        <is>
          <t>NULL</t>
        </is>
      </c>
      <c r="H1086" t="inlineStr">
        <is>
          <t>NULL</t>
        </is>
      </c>
      <c r="I1086" t="inlineStr">
        <is>
          <t>NULL</t>
        </is>
      </c>
      <c r="J1086" t="inlineStr">
        <is>
          <t>NULL</t>
        </is>
      </c>
      <c r="K1086" t="inlineStr">
        <is>
          <t xml:space="preserve"> NO!  	 c_int列源备映射错误，源端为sql_variant 0位	期望更改为text	实际备端为sql_variant 0位</t>
        </is>
      </c>
    </row>
    <row r="1087">
      <c r="B1087" t="inlineStr">
        <is>
          <t>NULL</t>
        </is>
      </c>
      <c r="C1087" t="inlineStr">
        <is>
          <t>NULL</t>
        </is>
      </c>
      <c r="D1087" t="inlineStr">
        <is>
          <t>NULL</t>
        </is>
      </c>
      <c r="E1087" t="inlineStr">
        <is>
          <t>NULL</t>
        </is>
      </c>
      <c r="F1087" t="inlineStr">
        <is>
          <t>NULL</t>
        </is>
      </c>
      <c r="G1087" t="inlineStr">
        <is>
          <t>NULL</t>
        </is>
      </c>
      <c r="H1087" t="inlineStr">
        <is>
          <t>NULL</t>
        </is>
      </c>
      <c r="I1087" t="inlineStr">
        <is>
          <t>NULL</t>
        </is>
      </c>
      <c r="J1087" t="inlineStr">
        <is>
          <t>NULL</t>
        </is>
      </c>
      <c r="K1087" t="inlineStr">
        <is>
          <t xml:space="preserve"> NO!  	 c_sdt列源备映射错误，源端为sql_variant 0位	期望更改为text	实际备端为sql_variant 0位</t>
        </is>
      </c>
    </row>
    <row r="1088">
      <c r="B1088" t="inlineStr">
        <is>
          <t>NULL</t>
        </is>
      </c>
      <c r="C1088" t="inlineStr">
        <is>
          <t>NULL</t>
        </is>
      </c>
      <c r="D1088" t="inlineStr">
        <is>
          <t>NULL</t>
        </is>
      </c>
      <c r="E1088" t="inlineStr">
        <is>
          <t>NULL</t>
        </is>
      </c>
      <c r="F1088" t="inlineStr">
        <is>
          <t>NULL</t>
        </is>
      </c>
      <c r="G1088" t="inlineStr">
        <is>
          <t>NULL</t>
        </is>
      </c>
      <c r="H1088" t="inlineStr">
        <is>
          <t>NULL</t>
        </is>
      </c>
      <c r="I1088" t="inlineStr">
        <is>
          <t>NULL</t>
        </is>
      </c>
      <c r="J1088" t="inlineStr">
        <is>
          <t>NULL</t>
        </is>
      </c>
      <c r="K1088" t="inlineStr">
        <is>
          <t xml:space="preserve"> NO!  	 c_real列源备映射错误，源端为sql_variant 0位	期望更改为text	实际备端为sql_variant 0位</t>
        </is>
      </c>
    </row>
    <row r="1089">
      <c r="B1089" t="inlineStr">
        <is>
          <t>NULL</t>
        </is>
      </c>
      <c r="C1089" t="inlineStr">
        <is>
          <t>NULL</t>
        </is>
      </c>
      <c r="D1089" t="inlineStr">
        <is>
          <t>NULL</t>
        </is>
      </c>
      <c r="E1089" t="inlineStr">
        <is>
          <t>NULL</t>
        </is>
      </c>
      <c r="F1089" t="inlineStr">
        <is>
          <t>NULL</t>
        </is>
      </c>
      <c r="G1089" t="inlineStr">
        <is>
          <t>NULL</t>
        </is>
      </c>
      <c r="H1089" t="inlineStr">
        <is>
          <t>NULL</t>
        </is>
      </c>
      <c r="I1089" t="inlineStr">
        <is>
          <t>NULL</t>
        </is>
      </c>
      <c r="J1089" t="inlineStr">
        <is>
          <t>NULL</t>
        </is>
      </c>
      <c r="K1089" t="inlineStr">
        <is>
          <t xml:space="preserve"> NO!  	 c_money列源备映射错误，源端为sql_variant 0位	期望更改为text	实际备端为sql_variant 0位</t>
        </is>
      </c>
    </row>
    <row r="1090">
      <c r="B1090" t="inlineStr">
        <is>
          <t>NULL</t>
        </is>
      </c>
      <c r="C1090" t="inlineStr">
        <is>
          <t>NULL</t>
        </is>
      </c>
      <c r="D1090" t="inlineStr">
        <is>
          <t>NULL</t>
        </is>
      </c>
      <c r="E1090" t="inlineStr">
        <is>
          <t>NULL</t>
        </is>
      </c>
      <c r="F1090" t="inlineStr">
        <is>
          <t>NULL</t>
        </is>
      </c>
      <c r="G1090" t="inlineStr">
        <is>
          <t>NULL</t>
        </is>
      </c>
      <c r="H1090" t="inlineStr">
        <is>
          <t>NULL</t>
        </is>
      </c>
      <c r="I1090" t="inlineStr">
        <is>
          <t>NULL</t>
        </is>
      </c>
      <c r="J1090" t="inlineStr">
        <is>
          <t>NULL</t>
        </is>
      </c>
      <c r="K1090" t="inlineStr">
        <is>
          <t xml:space="preserve"> NO!  	 c_datetime列源备映射错误，源端为sql_variant 0位	期望更改为text	实际备端为sql_variant 0位</t>
        </is>
      </c>
    </row>
    <row r="1091">
      <c r="B1091" t="inlineStr">
        <is>
          <t>NULL</t>
        </is>
      </c>
      <c r="C1091" t="inlineStr">
        <is>
          <t>NULL</t>
        </is>
      </c>
      <c r="D1091" t="inlineStr">
        <is>
          <t>NULL</t>
        </is>
      </c>
      <c r="E1091" t="inlineStr">
        <is>
          <t>NULL</t>
        </is>
      </c>
      <c r="F1091" t="inlineStr">
        <is>
          <t>NULL</t>
        </is>
      </c>
      <c r="G1091" t="inlineStr">
        <is>
          <t>NULL</t>
        </is>
      </c>
      <c r="H1091" t="inlineStr">
        <is>
          <t>NULL</t>
        </is>
      </c>
      <c r="I1091" t="inlineStr">
        <is>
          <t>NULL</t>
        </is>
      </c>
      <c r="J1091" t="inlineStr">
        <is>
          <t>NULL</t>
        </is>
      </c>
      <c r="K1091" t="inlineStr">
        <is>
          <t xml:space="preserve"> NO!  	 c_float列源备映射错误，源端为sql_variant 0位	期望更改为text	实际备端为sql_variant 0位</t>
        </is>
      </c>
    </row>
    <row r="1092">
      <c r="B1092" t="inlineStr">
        <is>
          <t>NULL</t>
        </is>
      </c>
      <c r="C1092" t="inlineStr">
        <is>
          <t>NULL</t>
        </is>
      </c>
      <c r="D1092" t="inlineStr">
        <is>
          <t>NULL</t>
        </is>
      </c>
      <c r="E1092" t="inlineStr">
        <is>
          <t>NULL</t>
        </is>
      </c>
      <c r="F1092" t="inlineStr">
        <is>
          <t>NULL</t>
        </is>
      </c>
      <c r="G1092" t="inlineStr">
        <is>
          <t>NULL</t>
        </is>
      </c>
      <c r="H1092" t="inlineStr">
        <is>
          <t>NULL</t>
        </is>
      </c>
      <c r="I1092" t="inlineStr">
        <is>
          <t>NULL</t>
        </is>
      </c>
      <c r="J1092" t="inlineStr">
        <is>
          <t>NULL</t>
        </is>
      </c>
      <c r="K1092" t="inlineStr">
        <is>
          <t xml:space="preserve"> NO!  	 c_bit列源备映射错误，源端为sql_variant 0位	期望更改为text	实际备端为sql_variant 0位</t>
        </is>
      </c>
    </row>
    <row r="1093">
      <c r="B1093" t="inlineStr">
        <is>
          <t>NULL</t>
        </is>
      </c>
      <c r="C1093" t="inlineStr">
        <is>
          <t>NULL</t>
        </is>
      </c>
      <c r="D1093" t="inlineStr">
        <is>
          <t>NULL</t>
        </is>
      </c>
      <c r="E1093" t="inlineStr">
        <is>
          <t>NULL</t>
        </is>
      </c>
      <c r="F1093" t="inlineStr">
        <is>
          <t>NULL</t>
        </is>
      </c>
      <c r="G1093" t="inlineStr">
        <is>
          <t>NULL</t>
        </is>
      </c>
      <c r="H1093" t="inlineStr">
        <is>
          <t>NULL</t>
        </is>
      </c>
      <c r="I1093" t="inlineStr">
        <is>
          <t>NULL</t>
        </is>
      </c>
      <c r="J1093" t="inlineStr">
        <is>
          <t>NULL</t>
        </is>
      </c>
      <c r="K1093" t="inlineStr">
        <is>
          <t xml:space="preserve"> NO!  	 c_decimal列源备映射错误，源端为sql_variant 0位	期望更改为text	实际备端为sql_variant 0位</t>
        </is>
      </c>
    </row>
    <row r="1094">
      <c r="B1094" t="inlineStr">
        <is>
          <t>NULL</t>
        </is>
      </c>
      <c r="C1094" t="inlineStr">
        <is>
          <t>NULL</t>
        </is>
      </c>
      <c r="D1094" t="inlineStr">
        <is>
          <t>NULL</t>
        </is>
      </c>
      <c r="E1094" t="inlineStr">
        <is>
          <t>NULL</t>
        </is>
      </c>
      <c r="F1094" t="inlineStr">
        <is>
          <t>NULL</t>
        </is>
      </c>
      <c r="G1094" t="inlineStr">
        <is>
          <t>NULL</t>
        </is>
      </c>
      <c r="H1094" t="inlineStr">
        <is>
          <t>NULL</t>
        </is>
      </c>
      <c r="I1094" t="inlineStr">
        <is>
          <t>NULL</t>
        </is>
      </c>
      <c r="J1094" t="inlineStr">
        <is>
          <t>NULL</t>
        </is>
      </c>
      <c r="K1094" t="inlineStr">
        <is>
          <t xml:space="preserve"> NO!  	 c_uniqueidentifier列源备映射错误，源端为sql_variant 0位	期望更改为text	实际备端为sql_variant 0位</t>
        </is>
      </c>
    </row>
    <row r="1095">
      <c r="B1095" t="inlineStr">
        <is>
          <t>NULL</t>
        </is>
      </c>
      <c r="C1095" t="inlineStr">
        <is>
          <t>NULL</t>
        </is>
      </c>
      <c r="D1095" t="inlineStr">
        <is>
          <t>NULL</t>
        </is>
      </c>
      <c r="E1095" t="inlineStr">
        <is>
          <t>NULL</t>
        </is>
      </c>
      <c r="F1095" t="inlineStr">
        <is>
          <t>NULL</t>
        </is>
      </c>
      <c r="G1095" t="inlineStr">
        <is>
          <t>NULL</t>
        </is>
      </c>
      <c r="H1095" t="inlineStr">
        <is>
          <t>NULL</t>
        </is>
      </c>
      <c r="I1095" t="inlineStr">
        <is>
          <t>NULL</t>
        </is>
      </c>
      <c r="J1095" t="inlineStr">
        <is>
          <t>NULL</t>
        </is>
      </c>
      <c r="K1095" t="inlineStr">
        <is>
          <t xml:space="preserve"> NO!  	 c_smallmoney列源备映射错误，源端为sql_variant 0位	期望更改为text	实际备端为sql_variant 0位</t>
        </is>
      </c>
    </row>
    <row r="1096">
      <c r="B1096" t="inlineStr">
        <is>
          <t>NULL</t>
        </is>
      </c>
      <c r="C1096" t="inlineStr">
        <is>
          <t>NULL</t>
        </is>
      </c>
      <c r="D1096" t="inlineStr">
        <is>
          <t>NULL</t>
        </is>
      </c>
      <c r="E1096" t="inlineStr">
        <is>
          <t>NULL</t>
        </is>
      </c>
      <c r="F1096" t="inlineStr">
        <is>
          <t>NULL</t>
        </is>
      </c>
      <c r="G1096" t="inlineStr">
        <is>
          <t>NULL</t>
        </is>
      </c>
      <c r="H1096" t="inlineStr">
        <is>
          <t>NULL</t>
        </is>
      </c>
      <c r="I1096" t="inlineStr">
        <is>
          <t>NULL</t>
        </is>
      </c>
      <c r="J1096" t="inlineStr">
        <is>
          <t>NULL</t>
        </is>
      </c>
      <c r="K1096" t="inlineStr">
        <is>
          <t xml:space="preserve"> NO!  	 c_bigint列源备映射错误，源端为sql_variant 0位	期望更改为text	实际备端为sql_variant 0位</t>
        </is>
      </c>
    </row>
    <row r="1097">
      <c r="B1097" t="inlineStr">
        <is>
          <t>NULL</t>
        </is>
      </c>
      <c r="C1097" t="inlineStr">
        <is>
          <t>NULL</t>
        </is>
      </c>
      <c r="D1097" t="inlineStr">
        <is>
          <t>NULL</t>
        </is>
      </c>
      <c r="E1097" t="inlineStr">
        <is>
          <t>NULL</t>
        </is>
      </c>
      <c r="F1097" t="inlineStr">
        <is>
          <t>NULL</t>
        </is>
      </c>
      <c r="G1097" t="inlineStr">
        <is>
          <t>NULL</t>
        </is>
      </c>
      <c r="H1097" t="inlineStr">
        <is>
          <t>NULL</t>
        </is>
      </c>
      <c r="I1097" t="inlineStr">
        <is>
          <t>NULL</t>
        </is>
      </c>
      <c r="J1097" t="inlineStr">
        <is>
          <t>NULL</t>
        </is>
      </c>
      <c r="K1097" t="inlineStr">
        <is>
          <t xml:space="preserve"> NO!  	 c_varbinary_20列源备映射错误，源端为sql_variant 0位	期望更改为text	实际备端为sql_variant 0位</t>
        </is>
      </c>
    </row>
    <row r="1098">
      <c r="B1098" t="inlineStr">
        <is>
          <t>NULL</t>
        </is>
      </c>
      <c r="C1098" t="inlineStr">
        <is>
          <t>NULL</t>
        </is>
      </c>
      <c r="D1098" t="inlineStr">
        <is>
          <t>NULL</t>
        </is>
      </c>
      <c r="E1098" t="inlineStr">
        <is>
          <t>NULL</t>
        </is>
      </c>
      <c r="F1098" t="inlineStr">
        <is>
          <t>NULL</t>
        </is>
      </c>
      <c r="G1098" t="inlineStr">
        <is>
          <t>NULL</t>
        </is>
      </c>
      <c r="H1098" t="inlineStr">
        <is>
          <t>NULL</t>
        </is>
      </c>
      <c r="I1098" t="inlineStr">
        <is>
          <t>NULL</t>
        </is>
      </c>
      <c r="J1098" t="inlineStr">
        <is>
          <t>NULL</t>
        </is>
      </c>
      <c r="K1098" t="inlineStr">
        <is>
          <t xml:space="preserve"> NO!  	 c_varchar_20列源备映射错误，源端为sql_variant 0位	期望更改为text	实际备端为sql_variant 0位</t>
        </is>
      </c>
    </row>
    <row r="1099">
      <c r="B1099" t="inlineStr">
        <is>
          <t>NULL</t>
        </is>
      </c>
      <c r="C1099" t="inlineStr">
        <is>
          <t>NULL</t>
        </is>
      </c>
      <c r="D1099" t="inlineStr">
        <is>
          <t>NULL</t>
        </is>
      </c>
      <c r="E1099" t="inlineStr">
        <is>
          <t>NULL</t>
        </is>
      </c>
      <c r="F1099" t="inlineStr">
        <is>
          <t>NULL</t>
        </is>
      </c>
      <c r="G1099" t="inlineStr">
        <is>
          <t>NULL</t>
        </is>
      </c>
      <c r="H1099" t="inlineStr">
        <is>
          <t>NULL</t>
        </is>
      </c>
      <c r="I1099" t="inlineStr">
        <is>
          <t>NULL</t>
        </is>
      </c>
      <c r="J1099" t="inlineStr">
        <is>
          <t>NULL</t>
        </is>
      </c>
      <c r="K1099" t="inlineStr">
        <is>
          <t xml:space="preserve"> NO!  	 c_binary_20列源备映射错误，源端为sql_variant 0位	期望更改为text	实际备端为sql_variant 0位</t>
        </is>
      </c>
    </row>
    <row r="1100">
      <c r="B1100" t="inlineStr">
        <is>
          <t>NULL</t>
        </is>
      </c>
      <c r="C1100" t="inlineStr">
        <is>
          <t>NULL</t>
        </is>
      </c>
      <c r="D1100" t="inlineStr">
        <is>
          <t>NULL</t>
        </is>
      </c>
      <c r="E1100" t="inlineStr">
        <is>
          <t>NULL</t>
        </is>
      </c>
      <c r="F1100" t="inlineStr">
        <is>
          <t>NULL</t>
        </is>
      </c>
      <c r="G1100" t="inlineStr">
        <is>
          <t>NULL</t>
        </is>
      </c>
      <c r="H1100" t="inlineStr">
        <is>
          <t>NULL</t>
        </is>
      </c>
      <c r="I1100" t="inlineStr">
        <is>
          <t>NULL</t>
        </is>
      </c>
      <c r="J1100" t="inlineStr">
        <is>
          <t>NULL</t>
        </is>
      </c>
      <c r="K1100" t="inlineStr">
        <is>
          <t xml:space="preserve"> NO!  	 c_char_20列源备映射错误，源端为sql_variant 0位	期望更改为text	实际备端为sql_variant 0位</t>
        </is>
      </c>
    </row>
    <row r="1101">
      <c r="B1101" t="inlineStr">
        <is>
          <t>NULL</t>
        </is>
      </c>
      <c r="C1101" t="inlineStr">
        <is>
          <t>NULL</t>
        </is>
      </c>
      <c r="D1101" t="inlineStr">
        <is>
          <t>NULL</t>
        </is>
      </c>
      <c r="E1101" t="inlineStr">
        <is>
          <t>NULL</t>
        </is>
      </c>
      <c r="F1101" t="inlineStr">
        <is>
          <t>NULL</t>
        </is>
      </c>
      <c r="G1101" t="inlineStr">
        <is>
          <t>NULL</t>
        </is>
      </c>
      <c r="H1101" t="inlineStr">
        <is>
          <t>NULL</t>
        </is>
      </c>
      <c r="I1101" t="inlineStr">
        <is>
          <t>NULL</t>
        </is>
      </c>
      <c r="J1101" t="inlineStr">
        <is>
          <t>NULL</t>
        </is>
      </c>
      <c r="K1101" t="inlineStr">
        <is>
          <t xml:space="preserve"> NO!  	 c_nvarchar_20列源备映射错误，源端为sql_variant 0位	期望更改为text	实际备端为sql_variant 0位</t>
        </is>
      </c>
    </row>
    <row r="1102">
      <c r="B1102" t="inlineStr">
        <is>
          <t>NULL</t>
        </is>
      </c>
      <c r="C1102" t="inlineStr">
        <is>
          <t>NULL</t>
        </is>
      </c>
      <c r="D1102" t="inlineStr">
        <is>
          <t>NULL</t>
        </is>
      </c>
      <c r="E1102" t="inlineStr">
        <is>
          <t>NULL</t>
        </is>
      </c>
      <c r="F1102" t="inlineStr">
        <is>
          <t>NULL</t>
        </is>
      </c>
      <c r="G1102" t="inlineStr">
        <is>
          <t>NULL</t>
        </is>
      </c>
      <c r="H1102" t="inlineStr">
        <is>
          <t>NULL</t>
        </is>
      </c>
      <c r="I1102" t="inlineStr">
        <is>
          <t>NULL</t>
        </is>
      </c>
      <c r="J1102" t="inlineStr">
        <is>
          <t>NULL</t>
        </is>
      </c>
      <c r="K1102" t="inlineStr">
        <is>
          <t xml:space="preserve"> NO!  	 c_nchar_20列源备映射错误，源端为sql_variant 0位	期望更改为text	实际备端为sql_variant 0位</t>
        </is>
      </c>
    </row>
    <row r="1103">
      <c r="B1103" t="inlineStr">
        <is>
          <t>NULL</t>
        </is>
      </c>
      <c r="C1103" t="inlineStr">
        <is>
          <t>NULL</t>
        </is>
      </c>
      <c r="D1103" t="inlineStr">
        <is>
          <t>NULL</t>
        </is>
      </c>
      <c r="E1103" t="inlineStr">
        <is>
          <t>NULL</t>
        </is>
      </c>
      <c r="F1103" t="inlineStr">
        <is>
          <t>NULL</t>
        </is>
      </c>
      <c r="G1103" t="inlineStr">
        <is>
          <t>NULL</t>
        </is>
      </c>
      <c r="H1103" t="inlineStr">
        <is>
          <t>NULL</t>
        </is>
      </c>
      <c r="I1103" t="inlineStr">
        <is>
          <t>NULL</t>
        </is>
      </c>
      <c r="J1103" t="inlineStr">
        <is>
          <t>NULL</t>
        </is>
      </c>
      <c r="K1103" t="inlineStr">
        <is>
          <t xml:space="preserve"> NO!  	 c_timestamp列源备映射错误，源端为timestamp None位	期望更改为text	实际备端为timestamp None位</t>
        </is>
      </c>
    </row>
    <row r="1104">
      <c r="A1104" t="inlineStr">
        <is>
          <t>info_varchar_dml_batch2_pk_irp2</t>
        </is>
      </c>
      <c r="K1104" t="inlineStr">
        <is>
          <t>[0;34m info_varchar_dml_batch2_pk_irp2 [0m源备字段数相同，源端字段：4 	备端字段4</t>
        </is>
      </c>
      <c r="W1104" t="inlineStr">
        <is>
          <t>YES 源备无差异</t>
        </is>
      </c>
      <c r="X1104">
        <f>A1104</f>
        <v/>
      </c>
    </row>
    <row r="1105">
      <c r="B1105" t="inlineStr">
        <is>
          <t>YES</t>
        </is>
      </c>
      <c r="C1105" t="inlineStr">
        <is>
          <t>NULL</t>
        </is>
      </c>
      <c r="D1105" t="inlineStr">
        <is>
          <t>NULL</t>
        </is>
      </c>
      <c r="E1105" t="inlineStr">
        <is>
          <t>NULL</t>
        </is>
      </c>
      <c r="F1105" t="inlineStr">
        <is>
          <t>NULL</t>
        </is>
      </c>
      <c r="G1105" t="inlineStr">
        <is>
          <t>NULL</t>
        </is>
      </c>
      <c r="H1105" t="inlineStr">
        <is>
          <t>NULL</t>
        </is>
      </c>
      <c r="I1105" t="inlineStr">
        <is>
          <t>YES!PK__info_var__3213E83FF27A2C5A</t>
        </is>
      </c>
      <c r="J1105" t="inlineStr">
        <is>
          <t>YES! 主键相关索引</t>
        </is>
      </c>
      <c r="K1105" t="inlineStr">
        <is>
          <t xml:space="preserve"> NO!  	 id列源备映射错误，源端为int None位	期望更改为text	实际备端为int None位</t>
        </is>
      </c>
    </row>
    <row r="1106">
      <c r="B1106" t="inlineStr">
        <is>
          <t>NULL</t>
        </is>
      </c>
      <c r="C1106" t="inlineStr">
        <is>
          <t>NULL</t>
        </is>
      </c>
      <c r="D1106" t="inlineStr">
        <is>
          <t>NULL</t>
        </is>
      </c>
      <c r="E1106" t="inlineStr">
        <is>
          <t>NULL</t>
        </is>
      </c>
      <c r="F1106" t="inlineStr">
        <is>
          <t>NULL</t>
        </is>
      </c>
      <c r="G1106" t="inlineStr">
        <is>
          <t>NULL</t>
        </is>
      </c>
      <c r="H1106" t="inlineStr">
        <is>
          <t>NULL</t>
        </is>
      </c>
      <c r="I1106" t="inlineStr">
        <is>
          <t>NULL</t>
        </is>
      </c>
      <c r="J1106" t="inlineStr">
        <is>
          <t>NULL</t>
        </is>
      </c>
      <c r="K1106" t="inlineStr">
        <is>
          <t xml:space="preserve"> NO!  	 c_varchar列源备映射错误，源端为varchar 1位	期望更改为text	实际备端为varchar 1位</t>
        </is>
      </c>
    </row>
    <row r="1107">
      <c r="B1107" t="inlineStr">
        <is>
          <t>NULL</t>
        </is>
      </c>
      <c r="C1107" t="inlineStr">
        <is>
          <t>NULL</t>
        </is>
      </c>
      <c r="D1107" t="inlineStr">
        <is>
          <t>NULL</t>
        </is>
      </c>
      <c r="E1107" t="inlineStr">
        <is>
          <t>NULL</t>
        </is>
      </c>
      <c r="F1107" t="inlineStr">
        <is>
          <t>NULL</t>
        </is>
      </c>
      <c r="G1107" t="inlineStr">
        <is>
          <t>NULL</t>
        </is>
      </c>
      <c r="H1107" t="inlineStr">
        <is>
          <t>NULL</t>
        </is>
      </c>
      <c r="I1107" t="inlineStr">
        <is>
          <t>NULL</t>
        </is>
      </c>
      <c r="J1107" t="inlineStr">
        <is>
          <t>NULL</t>
        </is>
      </c>
      <c r="K1107" t="inlineStr">
        <is>
          <t xml:space="preserve"> NO!  	 c_varchar20列源备映射错误，源端为varchar 20位	期望更改为text	实际备端为varchar 20位</t>
        </is>
      </c>
    </row>
    <row r="1108">
      <c r="B1108" t="inlineStr">
        <is>
          <t>NULL</t>
        </is>
      </c>
      <c r="C1108" t="inlineStr">
        <is>
          <t>NULL</t>
        </is>
      </c>
      <c r="D1108" t="inlineStr">
        <is>
          <t>NULL</t>
        </is>
      </c>
      <c r="E1108" t="inlineStr">
        <is>
          <t>NULL</t>
        </is>
      </c>
      <c r="F1108" t="inlineStr">
        <is>
          <t>NULL</t>
        </is>
      </c>
      <c r="G1108" t="inlineStr">
        <is>
          <t>NULL</t>
        </is>
      </c>
      <c r="H1108" t="inlineStr">
        <is>
          <t>NULL</t>
        </is>
      </c>
      <c r="I1108" t="inlineStr">
        <is>
          <t>NULL</t>
        </is>
      </c>
      <c r="J1108" t="inlineStr">
        <is>
          <t>NULL</t>
        </is>
      </c>
      <c r="K1108" t="inlineStr">
        <is>
          <t xml:space="preserve"> NO!  	 c_varchar200列源备映射错误，源端为varchar 200位	期望更改为text	实际备端为varchar 200位</t>
        </is>
      </c>
    </row>
    <row r="1109">
      <c r="K1109" t="inlineStr">
        <is>
          <t>~ 空表</t>
        </is>
      </c>
    </row>
    <row r="1110">
      <c r="A1110" t="inlineStr">
        <is>
          <t>info_datetime2_dml_single_pk_urp</t>
        </is>
      </c>
      <c r="K1110" t="inlineStr">
        <is>
          <t>[0;34m info_datetime2_dml_single_pk_urp [0m源备字段数相同，源端字段：9 	备端字段9</t>
        </is>
      </c>
      <c r="W1110" s="17">
        <f>HYPERLINK("#2026041919hbase0!DS2","NO 源备存在差异，共6个")</f>
        <v/>
      </c>
      <c r="X1110">
        <f>A1110</f>
        <v/>
      </c>
    </row>
    <row r="1111">
      <c r="B1111" t="inlineStr">
        <is>
          <t>YES</t>
        </is>
      </c>
      <c r="C1111" t="inlineStr">
        <is>
          <t>NULL</t>
        </is>
      </c>
      <c r="D1111" t="inlineStr">
        <is>
          <t>NULL</t>
        </is>
      </c>
      <c r="E1111" t="inlineStr">
        <is>
          <t>NULL</t>
        </is>
      </c>
      <c r="F1111" t="inlineStr">
        <is>
          <t>NULL</t>
        </is>
      </c>
      <c r="G1111" t="inlineStr">
        <is>
          <t>NULL</t>
        </is>
      </c>
      <c r="H1111" t="inlineStr">
        <is>
          <t>NULL</t>
        </is>
      </c>
      <c r="I1111" t="inlineStr">
        <is>
          <t>YES!PK__info_dat__3213E83F9A1514A8</t>
        </is>
      </c>
      <c r="J1111" t="inlineStr">
        <is>
          <t>YES! 主键相关索引</t>
        </is>
      </c>
      <c r="K1111" t="inlineStr">
        <is>
          <t xml:space="preserve"> NO!  	 id列源备映射错误，源端为int None位	期望更改为text	实际备端为int None位</t>
        </is>
      </c>
    </row>
    <row r="1112">
      <c r="B1112" t="inlineStr">
        <is>
          <t>NULL</t>
        </is>
      </c>
      <c r="C1112" t="inlineStr">
        <is>
          <t>NULL</t>
        </is>
      </c>
      <c r="D1112" t="inlineStr">
        <is>
          <t>NULL</t>
        </is>
      </c>
      <c r="E1112" t="inlineStr">
        <is>
          <t>NULL</t>
        </is>
      </c>
      <c r="F1112" t="inlineStr">
        <is>
          <t>NULL</t>
        </is>
      </c>
      <c r="G1112" t="inlineStr">
        <is>
          <t>NULL</t>
        </is>
      </c>
      <c r="H1112" t="inlineStr">
        <is>
          <t>NULL</t>
        </is>
      </c>
      <c r="I1112" t="inlineStr">
        <is>
          <t>NULL</t>
        </is>
      </c>
      <c r="J1112" t="inlineStr">
        <is>
          <t>NULL</t>
        </is>
      </c>
      <c r="K1112" t="inlineStr">
        <is>
          <t xml:space="preserve"> NO!  	 c_dt2_0列源备映射错误，源端为datetime2 None位	期望更改为text	实际备端为datetime2 None位</t>
        </is>
      </c>
    </row>
    <row r="1113">
      <c r="B1113" t="inlineStr">
        <is>
          <t>NULL</t>
        </is>
      </c>
      <c r="C1113" t="inlineStr">
        <is>
          <t>NULL</t>
        </is>
      </c>
      <c r="D1113" t="inlineStr">
        <is>
          <t>NULL</t>
        </is>
      </c>
      <c r="E1113" t="inlineStr">
        <is>
          <t>NULL</t>
        </is>
      </c>
      <c r="F1113" t="inlineStr">
        <is>
          <t>NULL</t>
        </is>
      </c>
      <c r="G1113" t="inlineStr">
        <is>
          <t>NULL</t>
        </is>
      </c>
      <c r="H1113" t="inlineStr">
        <is>
          <t>NULL</t>
        </is>
      </c>
      <c r="I1113" t="inlineStr">
        <is>
          <t>NULL</t>
        </is>
      </c>
      <c r="J1113" t="inlineStr">
        <is>
          <t>NULL</t>
        </is>
      </c>
      <c r="K1113" t="inlineStr">
        <is>
          <t xml:space="preserve"> NO!  	 c_dt2_1列源备映射错误，源端为datetime2 None位	期望更改为text	实际备端为datetime2 None位</t>
        </is>
      </c>
    </row>
    <row r="1114">
      <c r="B1114" t="inlineStr">
        <is>
          <t>NULL</t>
        </is>
      </c>
      <c r="C1114" t="inlineStr">
        <is>
          <t>NULL</t>
        </is>
      </c>
      <c r="D1114" t="inlineStr">
        <is>
          <t>NULL</t>
        </is>
      </c>
      <c r="E1114" t="inlineStr">
        <is>
          <t>NULL</t>
        </is>
      </c>
      <c r="F1114" t="inlineStr">
        <is>
          <t>NULL</t>
        </is>
      </c>
      <c r="G1114" t="inlineStr">
        <is>
          <t>NULL</t>
        </is>
      </c>
      <c r="H1114" t="inlineStr">
        <is>
          <t>NULL</t>
        </is>
      </c>
      <c r="I1114" t="inlineStr">
        <is>
          <t>NULL</t>
        </is>
      </c>
      <c r="J1114" t="inlineStr">
        <is>
          <t>NULL</t>
        </is>
      </c>
      <c r="K1114" t="inlineStr">
        <is>
          <t xml:space="preserve"> NO!  	 c_dt2_2列源备映射错误，源端为datetime2 None位	期望更改为text	实际备端为datetime2 None位</t>
        </is>
      </c>
    </row>
    <row r="1115">
      <c r="B1115" t="inlineStr">
        <is>
          <t>NULL</t>
        </is>
      </c>
      <c r="C1115" t="inlineStr">
        <is>
          <t>NULL</t>
        </is>
      </c>
      <c r="D1115" t="inlineStr">
        <is>
          <t>NULL</t>
        </is>
      </c>
      <c r="E1115" t="inlineStr">
        <is>
          <t>NULL</t>
        </is>
      </c>
      <c r="F1115" t="inlineStr">
        <is>
          <t>NULL</t>
        </is>
      </c>
      <c r="G1115" t="inlineStr">
        <is>
          <t>NULL</t>
        </is>
      </c>
      <c r="H1115" t="inlineStr">
        <is>
          <t>NULL</t>
        </is>
      </c>
      <c r="I1115" t="inlineStr">
        <is>
          <t>NULL</t>
        </is>
      </c>
      <c r="J1115" t="inlineStr">
        <is>
          <t>NULL</t>
        </is>
      </c>
      <c r="K1115" t="inlineStr">
        <is>
          <t xml:space="preserve"> NO!  	 c_dt2_3列源备映射错误，源端为datetime2 None位	期望更改为text	实际备端为datetime2 None位</t>
        </is>
      </c>
    </row>
    <row r="1116">
      <c r="B1116" t="inlineStr">
        <is>
          <t>NULL</t>
        </is>
      </c>
      <c r="C1116" t="inlineStr">
        <is>
          <t>NULL</t>
        </is>
      </c>
      <c r="D1116" t="inlineStr">
        <is>
          <t>NULL</t>
        </is>
      </c>
      <c r="E1116" t="inlineStr">
        <is>
          <t>NULL</t>
        </is>
      </c>
      <c r="F1116" t="inlineStr">
        <is>
          <t>NULL</t>
        </is>
      </c>
      <c r="G1116" t="inlineStr">
        <is>
          <t>NULL</t>
        </is>
      </c>
      <c r="H1116" t="inlineStr">
        <is>
          <t>NULL</t>
        </is>
      </c>
      <c r="I1116" t="inlineStr">
        <is>
          <t>NULL</t>
        </is>
      </c>
      <c r="J1116" t="inlineStr">
        <is>
          <t>NULL</t>
        </is>
      </c>
      <c r="K1116" t="inlineStr">
        <is>
          <t xml:space="preserve"> NO!  	 c_dt2_4列源备映射错误，源端为datetime2 None位	期望更改为text	实际备端为datetime2 None位</t>
        </is>
      </c>
    </row>
    <row r="1117">
      <c r="B1117" t="inlineStr">
        <is>
          <t>NULL</t>
        </is>
      </c>
      <c r="C1117" t="inlineStr">
        <is>
          <t>NULL</t>
        </is>
      </c>
      <c r="D1117" t="inlineStr">
        <is>
          <t>NULL</t>
        </is>
      </c>
      <c r="E1117" t="inlineStr">
        <is>
          <t>NULL</t>
        </is>
      </c>
      <c r="F1117" t="inlineStr">
        <is>
          <t>NULL</t>
        </is>
      </c>
      <c r="G1117" t="inlineStr">
        <is>
          <t>NULL</t>
        </is>
      </c>
      <c r="H1117" t="inlineStr">
        <is>
          <t>NULL</t>
        </is>
      </c>
      <c r="I1117" t="inlineStr">
        <is>
          <t>NULL</t>
        </is>
      </c>
      <c r="J1117" t="inlineStr">
        <is>
          <t>NULL</t>
        </is>
      </c>
      <c r="K1117" t="inlineStr">
        <is>
          <t xml:space="preserve"> NO!  	 c_dt2_5列源备映射错误，源端为datetime2 None位	期望更改为text	实际备端为datetime2 None位</t>
        </is>
      </c>
    </row>
    <row r="1118">
      <c r="B1118" t="inlineStr">
        <is>
          <t>NULL</t>
        </is>
      </c>
      <c r="C1118" t="inlineStr">
        <is>
          <t>NULL</t>
        </is>
      </c>
      <c r="D1118" t="inlineStr">
        <is>
          <t>NULL</t>
        </is>
      </c>
      <c r="E1118" t="inlineStr">
        <is>
          <t>NULL</t>
        </is>
      </c>
      <c r="F1118" t="inlineStr">
        <is>
          <t>NULL</t>
        </is>
      </c>
      <c r="G1118" t="inlineStr">
        <is>
          <t>NULL</t>
        </is>
      </c>
      <c r="H1118" t="inlineStr">
        <is>
          <t>NULL</t>
        </is>
      </c>
      <c r="I1118" t="inlineStr">
        <is>
          <t>NULL</t>
        </is>
      </c>
      <c r="J1118" t="inlineStr">
        <is>
          <t>NULL</t>
        </is>
      </c>
      <c r="K1118" t="inlineStr">
        <is>
          <t xml:space="preserve"> NO!  	 c_dt2_6列源备映射错误，源端为datetime2 None位	期望更改为text	实际备端为datetime2 None位</t>
        </is>
      </c>
    </row>
    <row r="1119">
      <c r="B1119" t="inlineStr">
        <is>
          <t>NULL</t>
        </is>
      </c>
      <c r="C1119" t="inlineStr">
        <is>
          <t>NULL</t>
        </is>
      </c>
      <c r="D1119" t="inlineStr">
        <is>
          <t>NULL</t>
        </is>
      </c>
      <c r="E1119" t="inlineStr">
        <is>
          <t>NULL</t>
        </is>
      </c>
      <c r="F1119" t="inlineStr">
        <is>
          <t>NULL</t>
        </is>
      </c>
      <c r="G1119" t="inlineStr">
        <is>
          <t>NULL</t>
        </is>
      </c>
      <c r="H1119" t="inlineStr">
        <is>
          <t>NULL</t>
        </is>
      </c>
      <c r="I1119" t="inlineStr">
        <is>
          <t>NULL</t>
        </is>
      </c>
      <c r="J1119" t="inlineStr">
        <is>
          <t>NULL</t>
        </is>
      </c>
      <c r="K1119" t="inlineStr">
        <is>
          <t xml:space="preserve"> NO!  	 c_dt2列源备映射错误，源端为datetime2 None位	期望更改为text	实际备端为datetime2 None位</t>
        </is>
      </c>
    </row>
    <row r="1120">
      <c r="A1120" t="inlineStr">
        <is>
          <t>info_int_dml_batch1_pk_irp1</t>
        </is>
      </c>
      <c r="K1120" t="inlineStr">
        <is>
          <t>[0;34m info_int_dml_batch1_pk_irp1 [0m源备字段数相同，源端字段：20 	备端字段20</t>
        </is>
      </c>
      <c r="W1120" s="17">
        <f>HYPERLINK("#2026041919hbase0!DT2","NO 源备存在差异，共20个")</f>
        <v/>
      </c>
      <c r="X1120">
        <f>A1120</f>
        <v/>
      </c>
    </row>
    <row r="1121">
      <c r="B1121" t="inlineStr">
        <is>
          <t>YES</t>
        </is>
      </c>
      <c r="C1121" t="inlineStr">
        <is>
          <t>NULL</t>
        </is>
      </c>
      <c r="D1121" t="inlineStr">
        <is>
          <t>NULL</t>
        </is>
      </c>
      <c r="E1121" t="inlineStr">
        <is>
          <t>NULL</t>
        </is>
      </c>
      <c r="F1121" t="inlineStr">
        <is>
          <t>NULL</t>
        </is>
      </c>
      <c r="G1121" t="inlineStr">
        <is>
          <t>NULL</t>
        </is>
      </c>
      <c r="H1121" t="inlineStr">
        <is>
          <t>NULL</t>
        </is>
      </c>
      <c r="I1121" t="inlineStr">
        <is>
          <t>YES!PK__info_int__3213E83F272FD834</t>
        </is>
      </c>
      <c r="J1121" t="inlineStr">
        <is>
          <t>YES! 主键相关索引</t>
        </is>
      </c>
      <c r="K1121" t="inlineStr">
        <is>
          <t xml:space="preserve"> NO!  	 id列源备映射错误，源端为int None位	期望更改为text	实际备端为int None位</t>
        </is>
      </c>
    </row>
    <row r="1122">
      <c r="B1122" t="inlineStr">
        <is>
          <t>NULL</t>
        </is>
      </c>
      <c r="C1122" t="inlineStr">
        <is>
          <t>NULL</t>
        </is>
      </c>
      <c r="D1122" t="inlineStr">
        <is>
          <t>NULL</t>
        </is>
      </c>
      <c r="E1122" t="inlineStr">
        <is>
          <t>NULL</t>
        </is>
      </c>
      <c r="F1122" t="inlineStr">
        <is>
          <t>NULL</t>
        </is>
      </c>
      <c r="G1122" t="inlineStr">
        <is>
          <t>NULL</t>
        </is>
      </c>
      <c r="H1122" t="inlineStr">
        <is>
          <t>NULL</t>
        </is>
      </c>
      <c r="I1122" t="inlineStr">
        <is>
          <t>NULL</t>
        </is>
      </c>
      <c r="J1122" t="inlineStr">
        <is>
          <t>NULL</t>
        </is>
      </c>
      <c r="K1122" t="inlineStr">
        <is>
          <t xml:space="preserve"> NO!  	 c_tinyint列源备映射错误，源端为tinyint None位	期望更改为text	实际备端为tinyint None位</t>
        </is>
      </c>
    </row>
    <row r="1123">
      <c r="B1123" t="inlineStr">
        <is>
          <t>NULL</t>
        </is>
      </c>
      <c r="C1123" t="inlineStr">
        <is>
          <t>NULL</t>
        </is>
      </c>
      <c r="D1123" t="inlineStr">
        <is>
          <t>NULL</t>
        </is>
      </c>
      <c r="E1123" t="inlineStr">
        <is>
          <t>NULL</t>
        </is>
      </c>
      <c r="F1123" t="inlineStr">
        <is>
          <t>NULL</t>
        </is>
      </c>
      <c r="G1123" t="inlineStr">
        <is>
          <t>NULL</t>
        </is>
      </c>
      <c r="H1123" t="inlineStr">
        <is>
          <t>NULL</t>
        </is>
      </c>
      <c r="I1123" t="inlineStr">
        <is>
          <t>NULL</t>
        </is>
      </c>
      <c r="J1123" t="inlineStr">
        <is>
          <t>NULL</t>
        </is>
      </c>
      <c r="K1123" t="inlineStr">
        <is>
          <t xml:space="preserve"> NO!  	 c_smallint列源备映射错误，源端为smallint None位	期望更改为text	实际备端为smallint None位</t>
        </is>
      </c>
    </row>
    <row r="1124">
      <c r="B1124" t="inlineStr">
        <is>
          <t>NULL</t>
        </is>
      </c>
      <c r="C1124" t="inlineStr">
        <is>
          <t>NULL</t>
        </is>
      </c>
      <c r="D1124" t="inlineStr">
        <is>
          <t>NULL</t>
        </is>
      </c>
      <c r="E1124" t="inlineStr">
        <is>
          <t>NULL</t>
        </is>
      </c>
      <c r="F1124" t="inlineStr">
        <is>
          <t>NULL</t>
        </is>
      </c>
      <c r="G1124" t="inlineStr">
        <is>
          <t>NULL</t>
        </is>
      </c>
      <c r="H1124" t="inlineStr">
        <is>
          <t>NULL</t>
        </is>
      </c>
      <c r="I1124" t="inlineStr">
        <is>
          <t>NULL</t>
        </is>
      </c>
      <c r="J1124" t="inlineStr">
        <is>
          <t>NULL</t>
        </is>
      </c>
      <c r="K1124" t="inlineStr">
        <is>
          <t xml:space="preserve"> NO!  	 c_int列源备映射错误，源端为int None位	期望更改为text	实际备端为int None位</t>
        </is>
      </c>
    </row>
    <row r="1125">
      <c r="B1125" t="inlineStr">
        <is>
          <t>NULL</t>
        </is>
      </c>
      <c r="C1125" t="inlineStr">
        <is>
          <t>NULL</t>
        </is>
      </c>
      <c r="D1125" t="inlineStr">
        <is>
          <t>NULL</t>
        </is>
      </c>
      <c r="E1125" t="inlineStr">
        <is>
          <t>NULL</t>
        </is>
      </c>
      <c r="F1125" t="inlineStr">
        <is>
          <t>NULL</t>
        </is>
      </c>
      <c r="G1125" t="inlineStr">
        <is>
          <t>NULL</t>
        </is>
      </c>
      <c r="H1125" t="inlineStr">
        <is>
          <t>NULL</t>
        </is>
      </c>
      <c r="I1125" t="inlineStr">
        <is>
          <t>NULL</t>
        </is>
      </c>
      <c r="J1125" t="inlineStr">
        <is>
          <t>NULL</t>
        </is>
      </c>
      <c r="K1125" t="inlineStr">
        <is>
          <t xml:space="preserve"> NO!  	 c_bigint列源备映射错误，源端为bigint None位	期望更改为text	实际备端为bigint None位</t>
        </is>
      </c>
    </row>
    <row r="1126">
      <c r="B1126" t="inlineStr">
        <is>
          <t>NULL</t>
        </is>
      </c>
      <c r="C1126" t="inlineStr">
        <is>
          <t>NULL</t>
        </is>
      </c>
      <c r="D1126" t="inlineStr">
        <is>
          <t>NULL</t>
        </is>
      </c>
      <c r="E1126" t="inlineStr">
        <is>
          <t>NULL</t>
        </is>
      </c>
      <c r="F1126" t="inlineStr">
        <is>
          <t>NULL</t>
        </is>
      </c>
      <c r="G1126" t="inlineStr">
        <is>
          <t>NULL</t>
        </is>
      </c>
      <c r="H1126" t="inlineStr">
        <is>
          <t>NULL</t>
        </is>
      </c>
      <c r="I1126" t="inlineStr">
        <is>
          <t>NULL</t>
        </is>
      </c>
      <c r="J1126" t="inlineStr">
        <is>
          <t>NULL</t>
        </is>
      </c>
      <c r="K1126" t="inlineStr">
        <is>
          <t xml:space="preserve"> NO!  	 c_decimal列源备映射错误，源端为decimal None位	期望更改为text	实际备端为decimal None位</t>
        </is>
      </c>
    </row>
    <row r="1127">
      <c r="B1127" t="inlineStr">
        <is>
          <t>NULL</t>
        </is>
      </c>
      <c r="C1127" t="inlineStr">
        <is>
          <t>NULL</t>
        </is>
      </c>
      <c r="D1127" t="inlineStr">
        <is>
          <t>NULL</t>
        </is>
      </c>
      <c r="E1127" t="inlineStr">
        <is>
          <t>NULL</t>
        </is>
      </c>
      <c r="F1127" t="inlineStr">
        <is>
          <t>NULL</t>
        </is>
      </c>
      <c r="G1127" t="inlineStr">
        <is>
          <t>NULL</t>
        </is>
      </c>
      <c r="H1127" t="inlineStr">
        <is>
          <t>NULL</t>
        </is>
      </c>
      <c r="I1127" t="inlineStr">
        <is>
          <t>NULL</t>
        </is>
      </c>
      <c r="J1127" t="inlineStr">
        <is>
          <t>NULL</t>
        </is>
      </c>
      <c r="K1127" t="inlineStr">
        <is>
          <t xml:space="preserve"> NO!  	 c_decimal38列源备映射错误，源端为decimal None位	期望更改为text	实际备端为decimal None位</t>
        </is>
      </c>
    </row>
    <row r="1128">
      <c r="B1128" t="inlineStr">
        <is>
          <t>NULL</t>
        </is>
      </c>
      <c r="C1128" t="inlineStr">
        <is>
          <t>NULL</t>
        </is>
      </c>
      <c r="D1128" t="inlineStr">
        <is>
          <t>NULL</t>
        </is>
      </c>
      <c r="E1128" t="inlineStr">
        <is>
          <t>NULL</t>
        </is>
      </c>
      <c r="F1128" t="inlineStr">
        <is>
          <t>NULL</t>
        </is>
      </c>
      <c r="G1128" t="inlineStr">
        <is>
          <t>NULL</t>
        </is>
      </c>
      <c r="H1128" t="inlineStr">
        <is>
          <t>NULL</t>
        </is>
      </c>
      <c r="I1128" t="inlineStr">
        <is>
          <t>NULL</t>
        </is>
      </c>
      <c r="J1128" t="inlineStr">
        <is>
          <t>NULL</t>
        </is>
      </c>
      <c r="K1128" t="inlineStr">
        <is>
          <t xml:space="preserve"> NO!  	 c_decimal38_38列源备映射错误，源端为decimal None位	期望更改为text	实际备端为decimal None位</t>
        </is>
      </c>
    </row>
    <row r="1129">
      <c r="B1129" t="inlineStr">
        <is>
          <t>NULL</t>
        </is>
      </c>
      <c r="C1129" t="inlineStr">
        <is>
          <t>NULL</t>
        </is>
      </c>
      <c r="D1129" t="inlineStr">
        <is>
          <t>NULL</t>
        </is>
      </c>
      <c r="E1129" t="inlineStr">
        <is>
          <t>NULL</t>
        </is>
      </c>
      <c r="F1129" t="inlineStr">
        <is>
          <t>NULL</t>
        </is>
      </c>
      <c r="G1129" t="inlineStr">
        <is>
          <t>NULL</t>
        </is>
      </c>
      <c r="H1129" t="inlineStr">
        <is>
          <t>NULL</t>
        </is>
      </c>
      <c r="I1129" t="inlineStr">
        <is>
          <t>NULL</t>
        </is>
      </c>
      <c r="J1129" t="inlineStr">
        <is>
          <t>NULL</t>
        </is>
      </c>
      <c r="K1129" t="inlineStr">
        <is>
          <t xml:space="preserve"> NO!  	 c_decimal38_10列源备映射错误，源端为decimal None位	期望更改为text	实际备端为decimal None位</t>
        </is>
      </c>
    </row>
    <row r="1130">
      <c r="B1130" t="inlineStr">
        <is>
          <t>NULL</t>
        </is>
      </c>
      <c r="C1130" t="inlineStr">
        <is>
          <t>NULL</t>
        </is>
      </c>
      <c r="D1130" t="inlineStr">
        <is>
          <t>NULL</t>
        </is>
      </c>
      <c r="E1130" t="inlineStr">
        <is>
          <t>NULL</t>
        </is>
      </c>
      <c r="F1130" t="inlineStr">
        <is>
          <t>NULL</t>
        </is>
      </c>
      <c r="G1130" t="inlineStr">
        <is>
          <t>NULL</t>
        </is>
      </c>
      <c r="H1130" t="inlineStr">
        <is>
          <t>NULL</t>
        </is>
      </c>
      <c r="I1130" t="inlineStr">
        <is>
          <t>NULL</t>
        </is>
      </c>
      <c r="J1130" t="inlineStr">
        <is>
          <t>NULL</t>
        </is>
      </c>
      <c r="K1130" t="inlineStr">
        <is>
          <t xml:space="preserve"> NO!  	 c_decimal19_4列源备映射错误，源端为decimal None位	期望更改为text	实际备端为decimal None位</t>
        </is>
      </c>
    </row>
    <row r="1131">
      <c r="B1131" t="inlineStr">
        <is>
          <t>NULL</t>
        </is>
      </c>
      <c r="C1131" t="inlineStr">
        <is>
          <t>NULL</t>
        </is>
      </c>
      <c r="D1131" t="inlineStr">
        <is>
          <t>NULL</t>
        </is>
      </c>
      <c r="E1131" t="inlineStr">
        <is>
          <t>NULL</t>
        </is>
      </c>
      <c r="F1131" t="inlineStr">
        <is>
          <t>NULL</t>
        </is>
      </c>
      <c r="G1131" t="inlineStr">
        <is>
          <t>NULL</t>
        </is>
      </c>
      <c r="H1131" t="inlineStr">
        <is>
          <t>NULL</t>
        </is>
      </c>
      <c r="I1131" t="inlineStr">
        <is>
          <t>NULL</t>
        </is>
      </c>
      <c r="J1131" t="inlineStr">
        <is>
          <t>NULL</t>
        </is>
      </c>
      <c r="K1131" t="inlineStr">
        <is>
          <t xml:space="preserve"> NO!  	 c_numeric列源备映射错误，源端为numeric None位	期望更改为text	实际备端为numeric None位</t>
        </is>
      </c>
    </row>
    <row r="1132">
      <c r="B1132" t="inlineStr">
        <is>
          <t>NULL</t>
        </is>
      </c>
      <c r="C1132" t="inlineStr">
        <is>
          <t>NULL</t>
        </is>
      </c>
      <c r="D1132" t="inlineStr">
        <is>
          <t>NULL</t>
        </is>
      </c>
      <c r="E1132" t="inlineStr">
        <is>
          <t>NULL</t>
        </is>
      </c>
      <c r="F1132" t="inlineStr">
        <is>
          <t>NULL</t>
        </is>
      </c>
      <c r="G1132" t="inlineStr">
        <is>
          <t>NULL</t>
        </is>
      </c>
      <c r="H1132" t="inlineStr">
        <is>
          <t>NULL</t>
        </is>
      </c>
      <c r="I1132" t="inlineStr">
        <is>
          <t>NULL</t>
        </is>
      </c>
      <c r="J1132" t="inlineStr">
        <is>
          <t>NULL</t>
        </is>
      </c>
      <c r="K1132" t="inlineStr">
        <is>
          <t xml:space="preserve"> NO!  	 c_numeric38列源备映射错误，源端为numeric None位	期望更改为text	实际备端为numeric None位</t>
        </is>
      </c>
    </row>
    <row r="1133">
      <c r="B1133" t="inlineStr">
        <is>
          <t>NULL</t>
        </is>
      </c>
      <c r="C1133" t="inlineStr">
        <is>
          <t>NULL</t>
        </is>
      </c>
      <c r="D1133" t="inlineStr">
        <is>
          <t>NULL</t>
        </is>
      </c>
      <c r="E1133" t="inlineStr">
        <is>
          <t>NULL</t>
        </is>
      </c>
      <c r="F1133" t="inlineStr">
        <is>
          <t>NULL</t>
        </is>
      </c>
      <c r="G1133" t="inlineStr">
        <is>
          <t>NULL</t>
        </is>
      </c>
      <c r="H1133" t="inlineStr">
        <is>
          <t>NULL</t>
        </is>
      </c>
      <c r="I1133" t="inlineStr">
        <is>
          <t>NULL</t>
        </is>
      </c>
      <c r="J1133" t="inlineStr">
        <is>
          <t>NULL</t>
        </is>
      </c>
      <c r="K1133" t="inlineStr">
        <is>
          <t xml:space="preserve"> NO!  	 c_numeric38_38列源备映射错误，源端为numeric None位	期望更改为text	实际备端为numeric None位</t>
        </is>
      </c>
    </row>
    <row r="1134">
      <c r="B1134" t="inlineStr">
        <is>
          <t>NULL</t>
        </is>
      </c>
      <c r="C1134" t="inlineStr">
        <is>
          <t>NULL</t>
        </is>
      </c>
      <c r="D1134" t="inlineStr">
        <is>
          <t>NULL</t>
        </is>
      </c>
      <c r="E1134" t="inlineStr">
        <is>
          <t>NULL</t>
        </is>
      </c>
      <c r="F1134" t="inlineStr">
        <is>
          <t>NULL</t>
        </is>
      </c>
      <c r="G1134" t="inlineStr">
        <is>
          <t>NULL</t>
        </is>
      </c>
      <c r="H1134" t="inlineStr">
        <is>
          <t>NULL</t>
        </is>
      </c>
      <c r="I1134" t="inlineStr">
        <is>
          <t>NULL</t>
        </is>
      </c>
      <c r="J1134" t="inlineStr">
        <is>
          <t>NULL</t>
        </is>
      </c>
      <c r="K1134" t="inlineStr">
        <is>
          <t xml:space="preserve"> NO!  	 c_numeric38_10列源备映射错误，源端为numeric None位	期望更改为text	实际备端为numeric None位</t>
        </is>
      </c>
    </row>
    <row r="1135">
      <c r="B1135" t="inlineStr">
        <is>
          <t>NULL</t>
        </is>
      </c>
      <c r="C1135" t="inlineStr">
        <is>
          <t>NULL</t>
        </is>
      </c>
      <c r="D1135" t="inlineStr">
        <is>
          <t>NULL</t>
        </is>
      </c>
      <c r="E1135" t="inlineStr">
        <is>
          <t>NULL</t>
        </is>
      </c>
      <c r="F1135" t="inlineStr">
        <is>
          <t>NULL</t>
        </is>
      </c>
      <c r="G1135" t="inlineStr">
        <is>
          <t>NULL</t>
        </is>
      </c>
      <c r="H1135" t="inlineStr">
        <is>
          <t>NULL</t>
        </is>
      </c>
      <c r="I1135" t="inlineStr">
        <is>
          <t>NULL</t>
        </is>
      </c>
      <c r="J1135" t="inlineStr">
        <is>
          <t>NULL</t>
        </is>
      </c>
      <c r="K1135" t="inlineStr">
        <is>
          <t xml:space="preserve"> NO!  	 c_numeric18_2列源备映射错误，源端为numeric None位	期望更改为text	实际备端为numeric None位</t>
        </is>
      </c>
    </row>
    <row r="1136">
      <c r="B1136" t="inlineStr">
        <is>
          <t>NULL</t>
        </is>
      </c>
      <c r="C1136" t="inlineStr">
        <is>
          <t>NULL</t>
        </is>
      </c>
      <c r="D1136" t="inlineStr">
        <is>
          <t>NULL</t>
        </is>
      </c>
      <c r="E1136" t="inlineStr">
        <is>
          <t>NULL</t>
        </is>
      </c>
      <c r="F1136" t="inlineStr">
        <is>
          <t>NULL</t>
        </is>
      </c>
      <c r="G1136" t="inlineStr">
        <is>
          <t>NULL</t>
        </is>
      </c>
      <c r="H1136" t="inlineStr">
        <is>
          <t>NULL</t>
        </is>
      </c>
      <c r="I1136" t="inlineStr">
        <is>
          <t>NULL</t>
        </is>
      </c>
      <c r="J1136" t="inlineStr">
        <is>
          <t>NULL</t>
        </is>
      </c>
      <c r="K1136" t="inlineStr">
        <is>
          <t xml:space="preserve"> NO!  	 c_float列源备映射错误，源端为float None位	期望更改为text	实际备端为float None位</t>
        </is>
      </c>
    </row>
    <row r="1137">
      <c r="B1137" t="inlineStr">
        <is>
          <t>NULL</t>
        </is>
      </c>
      <c r="C1137" t="inlineStr">
        <is>
          <t>NULL</t>
        </is>
      </c>
      <c r="D1137" t="inlineStr">
        <is>
          <t>NULL</t>
        </is>
      </c>
      <c r="E1137" t="inlineStr">
        <is>
          <t>NULL</t>
        </is>
      </c>
      <c r="F1137" t="inlineStr">
        <is>
          <t>NULL</t>
        </is>
      </c>
      <c r="G1137" t="inlineStr">
        <is>
          <t>NULL</t>
        </is>
      </c>
      <c r="H1137" t="inlineStr">
        <is>
          <t>NULL</t>
        </is>
      </c>
      <c r="I1137" t="inlineStr">
        <is>
          <t>NULL</t>
        </is>
      </c>
      <c r="J1137" t="inlineStr">
        <is>
          <t>NULL</t>
        </is>
      </c>
      <c r="K1137" t="inlineStr">
        <is>
          <t xml:space="preserve"> NO!  	 c_real列源备映射错误，源端为real None位	期望更改为text	实际备端为real None位</t>
        </is>
      </c>
    </row>
    <row r="1138">
      <c r="B1138" t="inlineStr">
        <is>
          <t>NULL</t>
        </is>
      </c>
      <c r="C1138" t="inlineStr">
        <is>
          <t>NULL</t>
        </is>
      </c>
      <c r="D1138" t="inlineStr">
        <is>
          <t>NULL</t>
        </is>
      </c>
      <c r="E1138" t="inlineStr">
        <is>
          <t>NULL</t>
        </is>
      </c>
      <c r="F1138" t="inlineStr">
        <is>
          <t>NULL</t>
        </is>
      </c>
      <c r="G1138" t="inlineStr">
        <is>
          <t>NULL</t>
        </is>
      </c>
      <c r="H1138" t="inlineStr">
        <is>
          <t>NULL</t>
        </is>
      </c>
      <c r="I1138" t="inlineStr">
        <is>
          <t>NULL</t>
        </is>
      </c>
      <c r="J1138" t="inlineStr">
        <is>
          <t>NULL</t>
        </is>
      </c>
      <c r="K1138" t="inlineStr">
        <is>
          <t xml:space="preserve"> NO!  	 c_money列源备映射错误，源端为money None位	期望更改为text	实际备端为money None位</t>
        </is>
      </c>
    </row>
    <row r="1139">
      <c r="B1139" t="inlineStr">
        <is>
          <t>NULL</t>
        </is>
      </c>
      <c r="C1139" t="inlineStr">
        <is>
          <t>NULL</t>
        </is>
      </c>
      <c r="D1139" t="inlineStr">
        <is>
          <t>NULL</t>
        </is>
      </c>
      <c r="E1139" t="inlineStr">
        <is>
          <t>NULL</t>
        </is>
      </c>
      <c r="F1139" t="inlineStr">
        <is>
          <t>NULL</t>
        </is>
      </c>
      <c r="G1139" t="inlineStr">
        <is>
          <t>NULL</t>
        </is>
      </c>
      <c r="H1139" t="inlineStr">
        <is>
          <t>NULL</t>
        </is>
      </c>
      <c r="I1139" t="inlineStr">
        <is>
          <t>NULL</t>
        </is>
      </c>
      <c r="J1139" t="inlineStr">
        <is>
          <t>NULL</t>
        </is>
      </c>
      <c r="K1139" t="inlineStr">
        <is>
          <t xml:space="preserve"> NO!  	 c_smallmoney列源备映射错误，源端为smallmoney None位	期望更改为text	实际备端为smallmoney None位</t>
        </is>
      </c>
    </row>
    <row r="1140">
      <c r="B1140" t="inlineStr">
        <is>
          <t>NULL</t>
        </is>
      </c>
      <c r="C1140" t="inlineStr">
        <is>
          <t>NULL</t>
        </is>
      </c>
      <c r="D1140" t="inlineStr">
        <is>
          <t>NULL</t>
        </is>
      </c>
      <c r="E1140" t="inlineStr">
        <is>
          <t>NULL</t>
        </is>
      </c>
      <c r="F1140" t="inlineStr">
        <is>
          <t>NULL</t>
        </is>
      </c>
      <c r="G1140" t="inlineStr">
        <is>
          <t>NULL</t>
        </is>
      </c>
      <c r="H1140" t="inlineStr">
        <is>
          <t>NULL</t>
        </is>
      </c>
      <c r="I1140" t="inlineStr">
        <is>
          <t>NULL</t>
        </is>
      </c>
      <c r="J1140" t="inlineStr">
        <is>
          <t>NULL</t>
        </is>
      </c>
      <c r="K1140" t="inlineStr">
        <is>
          <t xml:space="preserve"> NO!  	 c_bit列源备映射错误，源端为bit None位	期望更改为text	实际备端为bit None位</t>
        </is>
      </c>
    </row>
    <row r="1141">
      <c r="A1141" t="inlineStr">
        <is>
          <t>info_nvarchar_dml_batch2_pk_irp1</t>
        </is>
      </c>
      <c r="K1141" t="inlineStr">
        <is>
          <t>[0;34m info_nvarchar_dml_batch2_pk_irp1 [0m源备字段数相同，源端字段：4 	备端字段4</t>
        </is>
      </c>
      <c r="W1141" t="inlineStr">
        <is>
          <t>YES 源备无差异</t>
        </is>
      </c>
      <c r="X1141">
        <f>A1141</f>
        <v/>
      </c>
    </row>
    <row r="1142">
      <c r="B1142" t="inlineStr">
        <is>
          <t>YES</t>
        </is>
      </c>
      <c r="C1142" t="inlineStr">
        <is>
          <t>NULL</t>
        </is>
      </c>
      <c r="D1142" t="inlineStr">
        <is>
          <t>NULL</t>
        </is>
      </c>
      <c r="E1142" t="inlineStr">
        <is>
          <t>NULL</t>
        </is>
      </c>
      <c r="F1142" t="inlineStr">
        <is>
          <t>NULL</t>
        </is>
      </c>
      <c r="G1142" t="inlineStr">
        <is>
          <t>NULL</t>
        </is>
      </c>
      <c r="H1142" t="inlineStr">
        <is>
          <t>NULL</t>
        </is>
      </c>
      <c r="I1142" t="inlineStr">
        <is>
          <t>YES!PK__info_nva__3213E83FB9640613</t>
        </is>
      </c>
      <c r="J1142" t="inlineStr">
        <is>
          <t>YES! 主键相关索引</t>
        </is>
      </c>
      <c r="K1142" t="inlineStr">
        <is>
          <t xml:space="preserve"> NO!  	 id列源备映射错误，源端为int None位	期望更改为text	实际备端为int None位</t>
        </is>
      </c>
    </row>
    <row r="1143">
      <c r="B1143" t="inlineStr">
        <is>
          <t>NULL</t>
        </is>
      </c>
      <c r="C1143" t="inlineStr">
        <is>
          <t>NULL</t>
        </is>
      </c>
      <c r="D1143" t="inlineStr">
        <is>
          <t>NULL</t>
        </is>
      </c>
      <c r="E1143" t="inlineStr">
        <is>
          <t>NULL</t>
        </is>
      </c>
      <c r="F1143" t="inlineStr">
        <is>
          <t>NULL</t>
        </is>
      </c>
      <c r="G1143" t="inlineStr">
        <is>
          <t>NULL</t>
        </is>
      </c>
      <c r="H1143" t="inlineStr">
        <is>
          <t>NULL</t>
        </is>
      </c>
      <c r="I1143" t="inlineStr">
        <is>
          <t>NULL</t>
        </is>
      </c>
      <c r="J1143" t="inlineStr">
        <is>
          <t>NULL</t>
        </is>
      </c>
      <c r="K1143" t="inlineStr">
        <is>
          <t xml:space="preserve"> NO!  	 c_nvarchar列源备映射错误，源端为nvarchar 2位	期望更改为text	实际备端为nvarchar 2位</t>
        </is>
      </c>
    </row>
    <row r="1144">
      <c r="B1144" t="inlineStr">
        <is>
          <t>NULL</t>
        </is>
      </c>
      <c r="C1144" t="inlineStr">
        <is>
          <t>NULL</t>
        </is>
      </c>
      <c r="D1144" t="inlineStr">
        <is>
          <t>NULL</t>
        </is>
      </c>
      <c r="E1144" t="inlineStr">
        <is>
          <t>NULL</t>
        </is>
      </c>
      <c r="F1144" t="inlineStr">
        <is>
          <t>NULL</t>
        </is>
      </c>
      <c r="G1144" t="inlineStr">
        <is>
          <t>NULL</t>
        </is>
      </c>
      <c r="H1144" t="inlineStr">
        <is>
          <t>NULL</t>
        </is>
      </c>
      <c r="I1144" t="inlineStr">
        <is>
          <t>NULL</t>
        </is>
      </c>
      <c r="J1144" t="inlineStr">
        <is>
          <t>NULL</t>
        </is>
      </c>
      <c r="K1144" t="inlineStr">
        <is>
          <t xml:space="preserve"> NO!  	 c_nvarchar20列源备映射错误，源端为nvarchar 40位	期望更改为text	实际备端为nvarchar 40位</t>
        </is>
      </c>
    </row>
    <row r="1145">
      <c r="B1145" t="inlineStr">
        <is>
          <t>NULL</t>
        </is>
      </c>
      <c r="C1145" t="inlineStr">
        <is>
          <t>NULL</t>
        </is>
      </c>
      <c r="D1145" t="inlineStr">
        <is>
          <t>NULL</t>
        </is>
      </c>
      <c r="E1145" t="inlineStr">
        <is>
          <t>NULL</t>
        </is>
      </c>
      <c r="F1145" t="inlineStr">
        <is>
          <t>NULL</t>
        </is>
      </c>
      <c r="G1145" t="inlineStr">
        <is>
          <t>NULL</t>
        </is>
      </c>
      <c r="H1145" t="inlineStr">
        <is>
          <t>NULL</t>
        </is>
      </c>
      <c r="I1145" t="inlineStr">
        <is>
          <t>NULL</t>
        </is>
      </c>
      <c r="J1145" t="inlineStr">
        <is>
          <t>NULL</t>
        </is>
      </c>
      <c r="K1145" t="inlineStr">
        <is>
          <t xml:space="preserve"> NO!  	 c_nvarchar3500列源备映射错误，源端为nvarchar 7000位	期望更改为text	实际备端为nvarchar 7000位</t>
        </is>
      </c>
    </row>
    <row r="1146">
      <c r="A1146" t="inlineStr">
        <is>
          <t>info_geography_dml_single_pk_urp</t>
        </is>
      </c>
      <c r="K1146" t="inlineStr">
        <is>
          <t>[0;34m info_geography_dml_single_pk_urp [0m源备字段数相同，源端字段：2 	备端字段2</t>
        </is>
      </c>
      <c r="W1146" s="17">
        <f>HYPERLINK("#2026041919hbase0!DU2","NO 源备存在差异，共2个")</f>
        <v/>
      </c>
      <c r="X1146">
        <f>A1146</f>
        <v/>
      </c>
    </row>
    <row r="1147">
      <c r="B1147" t="inlineStr">
        <is>
          <t>YES</t>
        </is>
      </c>
      <c r="C1147" t="inlineStr">
        <is>
          <t>NULL</t>
        </is>
      </c>
      <c r="D1147" t="inlineStr">
        <is>
          <t>NULL</t>
        </is>
      </c>
      <c r="E1147" t="inlineStr">
        <is>
          <t>NULL</t>
        </is>
      </c>
      <c r="F1147" t="inlineStr">
        <is>
          <t>NULL</t>
        </is>
      </c>
      <c r="G1147" t="inlineStr">
        <is>
          <t>NULL</t>
        </is>
      </c>
      <c r="H1147" t="inlineStr">
        <is>
          <t>NULL</t>
        </is>
      </c>
      <c r="I1147" t="inlineStr">
        <is>
          <t>YES!PK__info_geo__3213E83FFA697EAF</t>
        </is>
      </c>
      <c r="J1147" t="inlineStr">
        <is>
          <t>YES! 主键相关索引</t>
        </is>
      </c>
      <c r="K1147" t="inlineStr">
        <is>
          <t xml:space="preserve"> NO!  	 id列源备映射错误，源端为int None位	期望更改为text	实际备端为int None位</t>
        </is>
      </c>
    </row>
    <row r="1148">
      <c r="B1148" t="inlineStr">
        <is>
          <t>NULL</t>
        </is>
      </c>
      <c r="C1148" t="inlineStr">
        <is>
          <t>NULL</t>
        </is>
      </c>
      <c r="D1148" t="inlineStr">
        <is>
          <t>NULL</t>
        </is>
      </c>
      <c r="E1148" t="inlineStr">
        <is>
          <t>NULL</t>
        </is>
      </c>
      <c r="F1148" t="inlineStr">
        <is>
          <t>NULL</t>
        </is>
      </c>
      <c r="G1148" t="inlineStr">
        <is>
          <t>NULL</t>
        </is>
      </c>
      <c r="H1148" t="inlineStr">
        <is>
          <t>NULL</t>
        </is>
      </c>
      <c r="I1148" t="inlineStr">
        <is>
          <t>NULL</t>
        </is>
      </c>
      <c r="J1148" t="inlineStr">
        <is>
          <t>NULL</t>
        </is>
      </c>
      <c r="K1148" t="inlineStr">
        <is>
          <t xml:space="preserve"> NO!  	 c_geography列源备映射错误，源端为geography -1位	期望更改为text	实际备端为geography -1位</t>
        </is>
      </c>
    </row>
    <row r="1149">
      <c r="A1149" t="inlineStr">
        <is>
          <t>info_uniqueidentifier_dml_single_pk_urp</t>
        </is>
      </c>
      <c r="K1149" t="inlineStr">
        <is>
          <t>[0;34m info_uniqueidentifier_dml_single_pk_urp [0m源备字段数相同，源端字段：2 	备端字段2</t>
        </is>
      </c>
      <c r="W1149" t="inlineStr">
        <is>
          <t>YES 源备无差异</t>
        </is>
      </c>
      <c r="X1149">
        <f>A1149</f>
        <v/>
      </c>
    </row>
    <row r="1150">
      <c r="B1150" t="inlineStr">
        <is>
          <t>YES</t>
        </is>
      </c>
      <c r="C1150" t="inlineStr">
        <is>
          <t>NULL</t>
        </is>
      </c>
      <c r="D1150" t="inlineStr">
        <is>
          <t>NULL</t>
        </is>
      </c>
      <c r="E1150" t="inlineStr">
        <is>
          <t>NULL</t>
        </is>
      </c>
      <c r="F1150" t="inlineStr">
        <is>
          <t>NULL</t>
        </is>
      </c>
      <c r="G1150" t="inlineStr">
        <is>
          <t>NULL</t>
        </is>
      </c>
      <c r="H1150" t="inlineStr">
        <is>
          <t>NULL</t>
        </is>
      </c>
      <c r="I1150" t="inlineStr">
        <is>
          <t>YES!PK__info_uni__3213E83F2D128DE1</t>
        </is>
      </c>
      <c r="J1150" t="inlineStr">
        <is>
          <t>YES! 主键相关索引</t>
        </is>
      </c>
      <c r="K1150" t="inlineStr">
        <is>
          <t xml:space="preserve"> NO!  	 id列源备映射错误，源端为int None位	期望更改为text	实际备端为int None位</t>
        </is>
      </c>
    </row>
    <row r="1151">
      <c r="B1151" t="inlineStr">
        <is>
          <t>NULL</t>
        </is>
      </c>
      <c r="C1151" t="inlineStr">
        <is>
          <t>NULL</t>
        </is>
      </c>
      <c r="D1151" t="inlineStr">
        <is>
          <t>NULL</t>
        </is>
      </c>
      <c r="E1151" t="inlineStr">
        <is>
          <t>NULL</t>
        </is>
      </c>
      <c r="F1151" t="inlineStr">
        <is>
          <t>NULL</t>
        </is>
      </c>
      <c r="G1151" t="inlineStr">
        <is>
          <t>NULL</t>
        </is>
      </c>
      <c r="H1151" t="inlineStr">
        <is>
          <t>NULL</t>
        </is>
      </c>
      <c r="I1151" t="inlineStr">
        <is>
          <t>NULL</t>
        </is>
      </c>
      <c r="J1151" t="inlineStr">
        <is>
          <t>NULL</t>
        </is>
      </c>
      <c r="K1151" t="inlineStr">
        <is>
          <t xml:space="preserve"> NO!  	 c_uniqueidentifier列源备映射错误，源端为uniqueidentifier None位	期望更改为text	实际备端为uniqueidentifier None位</t>
        </is>
      </c>
    </row>
    <row r="1152">
      <c r="A1152" t="inlineStr">
        <is>
          <t>info_time_dml_batch2_pk_irp2</t>
        </is>
      </c>
      <c r="K1152" t="inlineStr">
        <is>
          <t>[0;34m info_time_dml_batch2_pk_irp2 [0m源备字段数相同，源端字段：9 	备端字段9</t>
        </is>
      </c>
      <c r="W1152" s="17">
        <f>HYPERLINK("#2026041919hbase0!DV2","NO 源备存在差异，共26个")</f>
        <v/>
      </c>
      <c r="X1152">
        <f>A1152</f>
        <v/>
      </c>
    </row>
    <row r="1153">
      <c r="B1153" t="inlineStr">
        <is>
          <t>YES</t>
        </is>
      </c>
      <c r="C1153" t="inlineStr">
        <is>
          <t>NULL</t>
        </is>
      </c>
      <c r="D1153" t="inlineStr">
        <is>
          <t>NULL</t>
        </is>
      </c>
      <c r="E1153" t="inlineStr">
        <is>
          <t>NULL</t>
        </is>
      </c>
      <c r="F1153" t="inlineStr">
        <is>
          <t>NULL</t>
        </is>
      </c>
      <c r="G1153" t="inlineStr">
        <is>
          <t>NULL</t>
        </is>
      </c>
      <c r="H1153" t="inlineStr">
        <is>
          <t>NULL</t>
        </is>
      </c>
      <c r="I1153" t="inlineStr">
        <is>
          <t>YES!PK__info_tim__3213E83FDF9DF9D2</t>
        </is>
      </c>
      <c r="J1153" t="inlineStr">
        <is>
          <t>YES! 主键相关索引</t>
        </is>
      </c>
      <c r="K1153" t="inlineStr">
        <is>
          <t xml:space="preserve"> NO!  	 id列源备映射错误，源端为int None位	期望更改为text	实际备端为int None位</t>
        </is>
      </c>
    </row>
    <row r="1154">
      <c r="B1154" t="inlineStr">
        <is>
          <t>NULL</t>
        </is>
      </c>
      <c r="C1154" t="inlineStr">
        <is>
          <t>NULL</t>
        </is>
      </c>
      <c r="D1154" t="inlineStr">
        <is>
          <t>NULL</t>
        </is>
      </c>
      <c r="E1154" t="inlineStr">
        <is>
          <t>NULL</t>
        </is>
      </c>
      <c r="F1154" t="inlineStr">
        <is>
          <t>NULL</t>
        </is>
      </c>
      <c r="G1154" t="inlineStr">
        <is>
          <t>NULL</t>
        </is>
      </c>
      <c r="H1154" t="inlineStr">
        <is>
          <t>NULL</t>
        </is>
      </c>
      <c r="I1154" t="inlineStr">
        <is>
          <t>NULL</t>
        </is>
      </c>
      <c r="J1154" t="inlineStr">
        <is>
          <t>NULL</t>
        </is>
      </c>
      <c r="K1154" t="inlineStr">
        <is>
          <t xml:space="preserve"> NO!  	 c_time0列源备映射错误，源端为time None位	期望更改为text	实际备端为time None位</t>
        </is>
      </c>
    </row>
    <row r="1155">
      <c r="B1155" t="inlineStr">
        <is>
          <t>NULL</t>
        </is>
      </c>
      <c r="C1155" t="inlineStr">
        <is>
          <t>NULL</t>
        </is>
      </c>
      <c r="D1155" t="inlineStr">
        <is>
          <t>NULL</t>
        </is>
      </c>
      <c r="E1155" t="inlineStr">
        <is>
          <t>NULL</t>
        </is>
      </c>
      <c r="F1155" t="inlineStr">
        <is>
          <t>NULL</t>
        </is>
      </c>
      <c r="G1155" t="inlineStr">
        <is>
          <t>NULL</t>
        </is>
      </c>
      <c r="H1155" t="inlineStr">
        <is>
          <t>NULL</t>
        </is>
      </c>
      <c r="I1155" t="inlineStr">
        <is>
          <t>NULL</t>
        </is>
      </c>
      <c r="J1155" t="inlineStr">
        <is>
          <t>NULL</t>
        </is>
      </c>
      <c r="K1155" t="inlineStr">
        <is>
          <t xml:space="preserve"> NO!  	 c_time1列源备映射错误，源端为time None位	期望更改为text	实际备端为time None位</t>
        </is>
      </c>
    </row>
    <row r="1156">
      <c r="B1156" t="inlineStr">
        <is>
          <t>NULL</t>
        </is>
      </c>
      <c r="C1156" t="inlineStr">
        <is>
          <t>NULL</t>
        </is>
      </c>
      <c r="D1156" t="inlineStr">
        <is>
          <t>NULL</t>
        </is>
      </c>
      <c r="E1156" t="inlineStr">
        <is>
          <t>NULL</t>
        </is>
      </c>
      <c r="F1156" t="inlineStr">
        <is>
          <t>NULL</t>
        </is>
      </c>
      <c r="G1156" t="inlineStr">
        <is>
          <t>NULL</t>
        </is>
      </c>
      <c r="H1156" t="inlineStr">
        <is>
          <t>NULL</t>
        </is>
      </c>
      <c r="I1156" t="inlineStr">
        <is>
          <t>NULL</t>
        </is>
      </c>
      <c r="J1156" t="inlineStr">
        <is>
          <t>NULL</t>
        </is>
      </c>
      <c r="K1156" t="inlineStr">
        <is>
          <t xml:space="preserve"> NO!  	 c_time2列源备映射错误，源端为time None位	期望更改为text	实际备端为time None位</t>
        </is>
      </c>
    </row>
    <row r="1157">
      <c r="B1157" t="inlineStr">
        <is>
          <t>NULL</t>
        </is>
      </c>
      <c r="C1157" t="inlineStr">
        <is>
          <t>NULL</t>
        </is>
      </c>
      <c r="D1157" t="inlineStr">
        <is>
          <t>NULL</t>
        </is>
      </c>
      <c r="E1157" t="inlineStr">
        <is>
          <t>NULL</t>
        </is>
      </c>
      <c r="F1157" t="inlineStr">
        <is>
          <t>NULL</t>
        </is>
      </c>
      <c r="G1157" t="inlineStr">
        <is>
          <t>NULL</t>
        </is>
      </c>
      <c r="H1157" t="inlineStr">
        <is>
          <t>NULL</t>
        </is>
      </c>
      <c r="I1157" t="inlineStr">
        <is>
          <t>NULL</t>
        </is>
      </c>
      <c r="J1157" t="inlineStr">
        <is>
          <t>NULL</t>
        </is>
      </c>
      <c r="K1157" t="inlineStr">
        <is>
          <t xml:space="preserve"> NO!  	 c_time3列源备映射错误，源端为time None位	期望更改为text	实际备端为time None位</t>
        </is>
      </c>
    </row>
    <row r="1158">
      <c r="B1158" t="inlineStr">
        <is>
          <t>NULL</t>
        </is>
      </c>
      <c r="C1158" t="inlineStr">
        <is>
          <t>NULL</t>
        </is>
      </c>
      <c r="D1158" t="inlineStr">
        <is>
          <t>NULL</t>
        </is>
      </c>
      <c r="E1158" t="inlineStr">
        <is>
          <t>NULL</t>
        </is>
      </c>
      <c r="F1158" t="inlineStr">
        <is>
          <t>NULL</t>
        </is>
      </c>
      <c r="G1158" t="inlineStr">
        <is>
          <t>NULL</t>
        </is>
      </c>
      <c r="H1158" t="inlineStr">
        <is>
          <t>NULL</t>
        </is>
      </c>
      <c r="I1158" t="inlineStr">
        <is>
          <t>NULL</t>
        </is>
      </c>
      <c r="J1158" t="inlineStr">
        <is>
          <t>NULL</t>
        </is>
      </c>
      <c r="K1158" t="inlineStr">
        <is>
          <t xml:space="preserve"> NO!  	 c_time4列源备映射错误，源端为time None位	期望更改为text	实际备端为time None位</t>
        </is>
      </c>
    </row>
    <row r="1159">
      <c r="B1159" t="inlineStr">
        <is>
          <t>NULL</t>
        </is>
      </c>
      <c r="C1159" t="inlineStr">
        <is>
          <t>NULL</t>
        </is>
      </c>
      <c r="D1159" t="inlineStr">
        <is>
          <t>NULL</t>
        </is>
      </c>
      <c r="E1159" t="inlineStr">
        <is>
          <t>NULL</t>
        </is>
      </c>
      <c r="F1159" t="inlineStr">
        <is>
          <t>NULL</t>
        </is>
      </c>
      <c r="G1159" t="inlineStr">
        <is>
          <t>NULL</t>
        </is>
      </c>
      <c r="H1159" t="inlineStr">
        <is>
          <t>NULL</t>
        </is>
      </c>
      <c r="I1159" t="inlineStr">
        <is>
          <t>NULL</t>
        </is>
      </c>
      <c r="J1159" t="inlineStr">
        <is>
          <t>NULL</t>
        </is>
      </c>
      <c r="K1159" t="inlineStr">
        <is>
          <t xml:space="preserve"> NO!  	 c_time5列源备映射错误，源端为time None位	期望更改为text	实际备端为time None位</t>
        </is>
      </c>
    </row>
    <row r="1160">
      <c r="B1160" t="inlineStr">
        <is>
          <t>NULL</t>
        </is>
      </c>
      <c r="C1160" t="inlineStr">
        <is>
          <t>NULL</t>
        </is>
      </c>
      <c r="D1160" t="inlineStr">
        <is>
          <t>NULL</t>
        </is>
      </c>
      <c r="E1160" t="inlineStr">
        <is>
          <t>NULL</t>
        </is>
      </c>
      <c r="F1160" t="inlineStr">
        <is>
          <t>NULL</t>
        </is>
      </c>
      <c r="G1160" t="inlineStr">
        <is>
          <t>NULL</t>
        </is>
      </c>
      <c r="H1160" t="inlineStr">
        <is>
          <t>NULL</t>
        </is>
      </c>
      <c r="I1160" t="inlineStr">
        <is>
          <t>NULL</t>
        </is>
      </c>
      <c r="J1160" t="inlineStr">
        <is>
          <t>NULL</t>
        </is>
      </c>
      <c r="K1160" t="inlineStr">
        <is>
          <t xml:space="preserve"> NO!  	 c_time6列源备映射错误，源端为time None位	期望更改为text	实际备端为time None位</t>
        </is>
      </c>
    </row>
    <row r="1161">
      <c r="B1161" t="inlineStr">
        <is>
          <t>NULL</t>
        </is>
      </c>
      <c r="C1161" t="inlineStr">
        <is>
          <t>NULL</t>
        </is>
      </c>
      <c r="D1161" t="inlineStr">
        <is>
          <t>NULL</t>
        </is>
      </c>
      <c r="E1161" t="inlineStr">
        <is>
          <t>NULL</t>
        </is>
      </c>
      <c r="F1161" t="inlineStr">
        <is>
          <t>NULL</t>
        </is>
      </c>
      <c r="G1161" t="inlineStr">
        <is>
          <t>NULL</t>
        </is>
      </c>
      <c r="H1161" t="inlineStr">
        <is>
          <t>NULL</t>
        </is>
      </c>
      <c r="I1161" t="inlineStr">
        <is>
          <t>NULL</t>
        </is>
      </c>
      <c r="J1161" t="inlineStr">
        <is>
          <t>NULL</t>
        </is>
      </c>
      <c r="K1161" t="inlineStr">
        <is>
          <t xml:space="preserve"> NO!  	 c_time列源备映射错误，源端为time None位	期望更改为text	实际备端为time None位</t>
        </is>
      </c>
    </row>
    <row r="1162">
      <c r="A1162" t="inlineStr">
        <is>
          <t>info_varbinary_dml_batch2_pk_irp1</t>
        </is>
      </c>
      <c r="K1162" t="inlineStr">
        <is>
          <t>[0;34m info_varbinary_dml_batch2_pk_irp1 [0m源备字段数相同，源端字段：4 	备端字段4</t>
        </is>
      </c>
      <c r="W1162" s="17">
        <f>HYPERLINK("#2026041919hbase0!DW2","NO 源备存在差异，共9个")</f>
        <v/>
      </c>
      <c r="X1162">
        <f>A1162</f>
        <v/>
      </c>
    </row>
    <row r="1163">
      <c r="B1163" t="inlineStr">
        <is>
          <t>YES</t>
        </is>
      </c>
      <c r="C1163" t="inlineStr">
        <is>
          <t>NULL</t>
        </is>
      </c>
      <c r="D1163" t="inlineStr">
        <is>
          <t>NULL</t>
        </is>
      </c>
      <c r="E1163" t="inlineStr">
        <is>
          <t>NULL</t>
        </is>
      </c>
      <c r="F1163" t="inlineStr">
        <is>
          <t>NULL</t>
        </is>
      </c>
      <c r="G1163" t="inlineStr">
        <is>
          <t>NULL</t>
        </is>
      </c>
      <c r="H1163" t="inlineStr">
        <is>
          <t>NULL</t>
        </is>
      </c>
      <c r="I1163" t="inlineStr">
        <is>
          <t>YES!PK__info_var__3213E83FAC1CD13D</t>
        </is>
      </c>
      <c r="J1163" t="inlineStr">
        <is>
          <t>YES! 主键相关索引</t>
        </is>
      </c>
      <c r="K1163" t="inlineStr">
        <is>
          <t xml:space="preserve"> NO!  	 id列源备映射错误，源端为int None位	期望更改为text	实际备端为int None位</t>
        </is>
      </c>
    </row>
    <row r="1164">
      <c r="B1164" t="inlineStr">
        <is>
          <t>NULL</t>
        </is>
      </c>
      <c r="C1164" t="inlineStr">
        <is>
          <t>NULL</t>
        </is>
      </c>
      <c r="D1164" t="inlineStr">
        <is>
          <t>NULL</t>
        </is>
      </c>
      <c r="E1164" t="inlineStr">
        <is>
          <t>NULL</t>
        </is>
      </c>
      <c r="F1164" t="inlineStr">
        <is>
          <t>NULL</t>
        </is>
      </c>
      <c r="G1164" t="inlineStr">
        <is>
          <t>NULL</t>
        </is>
      </c>
      <c r="H1164" t="inlineStr">
        <is>
          <t>NULL</t>
        </is>
      </c>
      <c r="I1164" t="inlineStr">
        <is>
          <t>NULL</t>
        </is>
      </c>
      <c r="J1164" t="inlineStr">
        <is>
          <t>NULL</t>
        </is>
      </c>
      <c r="K1164" t="inlineStr">
        <is>
          <t xml:space="preserve"> NO!  	 c_varbinary列源备映射错误，源端为varbinary 1位	期望更改为text	实际备端为varbinary 1位</t>
        </is>
      </c>
    </row>
    <row r="1165">
      <c r="B1165" t="inlineStr">
        <is>
          <t>NULL</t>
        </is>
      </c>
      <c r="C1165" t="inlineStr">
        <is>
          <t>NULL</t>
        </is>
      </c>
      <c r="D1165" t="inlineStr">
        <is>
          <t>NULL</t>
        </is>
      </c>
      <c r="E1165" t="inlineStr">
        <is>
          <t>NULL</t>
        </is>
      </c>
      <c r="F1165" t="inlineStr">
        <is>
          <t>NULL</t>
        </is>
      </c>
      <c r="G1165" t="inlineStr">
        <is>
          <t>NULL</t>
        </is>
      </c>
      <c r="H1165" t="inlineStr">
        <is>
          <t>NULL</t>
        </is>
      </c>
      <c r="I1165" t="inlineStr">
        <is>
          <t>NULL</t>
        </is>
      </c>
      <c r="J1165" t="inlineStr">
        <is>
          <t>NULL</t>
        </is>
      </c>
      <c r="K1165" t="inlineStr">
        <is>
          <t xml:space="preserve"> NO!  	 c_varbinary_100列源备映射错误，源端为varbinary 100位	期望更改为text	实际备端为varbinary 100位</t>
        </is>
      </c>
    </row>
    <row r="1166">
      <c r="B1166" t="inlineStr">
        <is>
          <t>NULL</t>
        </is>
      </c>
      <c r="C1166" t="inlineStr">
        <is>
          <t>NULL</t>
        </is>
      </c>
      <c r="D1166" t="inlineStr">
        <is>
          <t>NULL</t>
        </is>
      </c>
      <c r="E1166" t="inlineStr">
        <is>
          <t>NULL</t>
        </is>
      </c>
      <c r="F1166" t="inlineStr">
        <is>
          <t>NULL</t>
        </is>
      </c>
      <c r="G1166" t="inlineStr">
        <is>
          <t>NULL</t>
        </is>
      </c>
      <c r="H1166" t="inlineStr">
        <is>
          <t>NULL</t>
        </is>
      </c>
      <c r="I1166" t="inlineStr">
        <is>
          <t>NULL</t>
        </is>
      </c>
      <c r="J1166" t="inlineStr">
        <is>
          <t>NULL</t>
        </is>
      </c>
      <c r="K1166" t="inlineStr">
        <is>
          <t xml:space="preserve"> NO!  	 c_varbinary_200列源备映射错误，源端为varbinary 200位	期望更改为text	实际备端为varbinary 200位</t>
        </is>
      </c>
    </row>
    <row r="1167">
      <c r="A1167" t="inlineStr">
        <is>
          <t>info_time_dml_batch1_pk_urp1</t>
        </is>
      </c>
      <c r="K1167" t="inlineStr">
        <is>
          <t>[0;34m info_time_dml_batch1_pk_urp1 [0m源备字段数相同，源端字段：9 	备端字段9</t>
        </is>
      </c>
      <c r="W1167" s="17">
        <f>HYPERLINK("#2026041919hbase0!DX2","NO 源备存在差异，共16个")</f>
        <v/>
      </c>
      <c r="X1167">
        <f>A1167</f>
        <v/>
      </c>
    </row>
    <row r="1168">
      <c r="B1168" t="inlineStr">
        <is>
          <t>YES</t>
        </is>
      </c>
      <c r="C1168" t="inlineStr">
        <is>
          <t>NULL</t>
        </is>
      </c>
      <c r="D1168" t="inlineStr">
        <is>
          <t>NULL</t>
        </is>
      </c>
      <c r="E1168" t="inlineStr">
        <is>
          <t>NULL</t>
        </is>
      </c>
      <c r="F1168" t="inlineStr">
        <is>
          <t>NULL</t>
        </is>
      </c>
      <c r="G1168" t="inlineStr">
        <is>
          <t>NULL</t>
        </is>
      </c>
      <c r="H1168" t="inlineStr">
        <is>
          <t>NULL</t>
        </is>
      </c>
      <c r="I1168" t="inlineStr">
        <is>
          <t>YES!PK__info_tim__3213E83FFDCF86F6</t>
        </is>
      </c>
      <c r="J1168" t="inlineStr">
        <is>
          <t>YES! 主键相关索引</t>
        </is>
      </c>
      <c r="K1168" t="inlineStr">
        <is>
          <t xml:space="preserve"> NO!  	 id列源备映射错误，源端为int None位	期望更改为text	实际备端为int None位</t>
        </is>
      </c>
    </row>
    <row r="1169">
      <c r="B1169" t="inlineStr">
        <is>
          <t>NULL</t>
        </is>
      </c>
      <c r="C1169" t="inlineStr">
        <is>
          <t>NULL</t>
        </is>
      </c>
      <c r="D1169" t="inlineStr">
        <is>
          <t>NULL</t>
        </is>
      </c>
      <c r="E1169" t="inlineStr">
        <is>
          <t>NULL</t>
        </is>
      </c>
      <c r="F1169" t="inlineStr">
        <is>
          <t>NULL</t>
        </is>
      </c>
      <c r="G1169" t="inlineStr">
        <is>
          <t>NULL</t>
        </is>
      </c>
      <c r="H1169" t="inlineStr">
        <is>
          <t>NULL</t>
        </is>
      </c>
      <c r="I1169" t="inlineStr">
        <is>
          <t>NULL</t>
        </is>
      </c>
      <c r="J1169" t="inlineStr">
        <is>
          <t>NULL</t>
        </is>
      </c>
      <c r="K1169" t="inlineStr">
        <is>
          <t xml:space="preserve"> NO!  	 c_time0列源备映射错误，源端为time None位	期望更改为text	实际备端为time None位</t>
        </is>
      </c>
    </row>
    <row r="1170">
      <c r="B1170" t="inlineStr">
        <is>
          <t>NULL</t>
        </is>
      </c>
      <c r="C1170" t="inlineStr">
        <is>
          <t>NULL</t>
        </is>
      </c>
      <c r="D1170" t="inlineStr">
        <is>
          <t>NULL</t>
        </is>
      </c>
      <c r="E1170" t="inlineStr">
        <is>
          <t>NULL</t>
        </is>
      </c>
      <c r="F1170" t="inlineStr">
        <is>
          <t>NULL</t>
        </is>
      </c>
      <c r="G1170" t="inlineStr">
        <is>
          <t>NULL</t>
        </is>
      </c>
      <c r="H1170" t="inlineStr">
        <is>
          <t>NULL</t>
        </is>
      </c>
      <c r="I1170" t="inlineStr">
        <is>
          <t>NULL</t>
        </is>
      </c>
      <c r="J1170" t="inlineStr">
        <is>
          <t>NULL</t>
        </is>
      </c>
      <c r="K1170" t="inlineStr">
        <is>
          <t xml:space="preserve"> NO!  	 c_time1列源备映射错误，源端为time None位	期望更改为text	实际备端为time None位</t>
        </is>
      </c>
    </row>
    <row r="1171">
      <c r="B1171" t="inlineStr">
        <is>
          <t>NULL</t>
        </is>
      </c>
      <c r="C1171" t="inlineStr">
        <is>
          <t>NULL</t>
        </is>
      </c>
      <c r="D1171" t="inlineStr">
        <is>
          <t>NULL</t>
        </is>
      </c>
      <c r="E1171" t="inlineStr">
        <is>
          <t>NULL</t>
        </is>
      </c>
      <c r="F1171" t="inlineStr">
        <is>
          <t>NULL</t>
        </is>
      </c>
      <c r="G1171" t="inlineStr">
        <is>
          <t>NULL</t>
        </is>
      </c>
      <c r="H1171" t="inlineStr">
        <is>
          <t>NULL</t>
        </is>
      </c>
      <c r="I1171" t="inlineStr">
        <is>
          <t>NULL</t>
        </is>
      </c>
      <c r="J1171" t="inlineStr">
        <is>
          <t>NULL</t>
        </is>
      </c>
      <c r="K1171" t="inlineStr">
        <is>
          <t xml:space="preserve"> NO!  	 c_time2列源备映射错误，源端为time None位	期望更改为text	实际备端为time None位</t>
        </is>
      </c>
    </row>
    <row r="1172">
      <c r="B1172" t="inlineStr">
        <is>
          <t>NULL</t>
        </is>
      </c>
      <c r="C1172" t="inlineStr">
        <is>
          <t>NULL</t>
        </is>
      </c>
      <c r="D1172" t="inlineStr">
        <is>
          <t>NULL</t>
        </is>
      </c>
      <c r="E1172" t="inlineStr">
        <is>
          <t>NULL</t>
        </is>
      </c>
      <c r="F1172" t="inlineStr">
        <is>
          <t>NULL</t>
        </is>
      </c>
      <c r="G1172" t="inlineStr">
        <is>
          <t>NULL</t>
        </is>
      </c>
      <c r="H1172" t="inlineStr">
        <is>
          <t>NULL</t>
        </is>
      </c>
      <c r="I1172" t="inlineStr">
        <is>
          <t>NULL</t>
        </is>
      </c>
      <c r="J1172" t="inlineStr">
        <is>
          <t>NULL</t>
        </is>
      </c>
      <c r="K1172" t="inlineStr">
        <is>
          <t xml:space="preserve"> NO!  	 c_time3列源备映射错误，源端为time None位	期望更改为text	实际备端为time None位</t>
        </is>
      </c>
    </row>
    <row r="1173">
      <c r="B1173" t="inlineStr">
        <is>
          <t>NULL</t>
        </is>
      </c>
      <c r="C1173" t="inlineStr">
        <is>
          <t>NULL</t>
        </is>
      </c>
      <c r="D1173" t="inlineStr">
        <is>
          <t>NULL</t>
        </is>
      </c>
      <c r="E1173" t="inlineStr">
        <is>
          <t>NULL</t>
        </is>
      </c>
      <c r="F1173" t="inlineStr">
        <is>
          <t>NULL</t>
        </is>
      </c>
      <c r="G1173" t="inlineStr">
        <is>
          <t>NULL</t>
        </is>
      </c>
      <c r="H1173" t="inlineStr">
        <is>
          <t>NULL</t>
        </is>
      </c>
      <c r="I1173" t="inlineStr">
        <is>
          <t>NULL</t>
        </is>
      </c>
      <c r="J1173" t="inlineStr">
        <is>
          <t>NULL</t>
        </is>
      </c>
      <c r="K1173" t="inlineStr">
        <is>
          <t xml:space="preserve"> NO!  	 c_time4列源备映射错误，源端为time None位	期望更改为text	实际备端为time None位</t>
        </is>
      </c>
    </row>
    <row r="1174">
      <c r="B1174" t="inlineStr">
        <is>
          <t>NULL</t>
        </is>
      </c>
      <c r="C1174" t="inlineStr">
        <is>
          <t>NULL</t>
        </is>
      </c>
      <c r="D1174" t="inlineStr">
        <is>
          <t>NULL</t>
        </is>
      </c>
      <c r="E1174" t="inlineStr">
        <is>
          <t>NULL</t>
        </is>
      </c>
      <c r="F1174" t="inlineStr">
        <is>
          <t>NULL</t>
        </is>
      </c>
      <c r="G1174" t="inlineStr">
        <is>
          <t>NULL</t>
        </is>
      </c>
      <c r="H1174" t="inlineStr">
        <is>
          <t>NULL</t>
        </is>
      </c>
      <c r="I1174" t="inlineStr">
        <is>
          <t>NULL</t>
        </is>
      </c>
      <c r="J1174" t="inlineStr">
        <is>
          <t>NULL</t>
        </is>
      </c>
      <c r="K1174" t="inlineStr">
        <is>
          <t xml:space="preserve"> NO!  	 c_time5列源备映射错误，源端为time None位	期望更改为text	实际备端为time None位</t>
        </is>
      </c>
    </row>
    <row r="1175">
      <c r="B1175" t="inlineStr">
        <is>
          <t>NULL</t>
        </is>
      </c>
      <c r="C1175" t="inlineStr">
        <is>
          <t>NULL</t>
        </is>
      </c>
      <c r="D1175" t="inlineStr">
        <is>
          <t>NULL</t>
        </is>
      </c>
      <c r="E1175" t="inlineStr">
        <is>
          <t>NULL</t>
        </is>
      </c>
      <c r="F1175" t="inlineStr">
        <is>
          <t>NULL</t>
        </is>
      </c>
      <c r="G1175" t="inlineStr">
        <is>
          <t>NULL</t>
        </is>
      </c>
      <c r="H1175" t="inlineStr">
        <is>
          <t>NULL</t>
        </is>
      </c>
      <c r="I1175" t="inlineStr">
        <is>
          <t>NULL</t>
        </is>
      </c>
      <c r="J1175" t="inlineStr">
        <is>
          <t>NULL</t>
        </is>
      </c>
      <c r="K1175" t="inlineStr">
        <is>
          <t xml:space="preserve"> NO!  	 c_time6列源备映射错误，源端为time None位	期望更改为text	实际备端为time None位</t>
        </is>
      </c>
    </row>
    <row r="1176">
      <c r="B1176" t="inlineStr">
        <is>
          <t>NULL</t>
        </is>
      </c>
      <c r="C1176" t="inlineStr">
        <is>
          <t>NULL</t>
        </is>
      </c>
      <c r="D1176" t="inlineStr">
        <is>
          <t>NULL</t>
        </is>
      </c>
      <c r="E1176" t="inlineStr">
        <is>
          <t>NULL</t>
        </is>
      </c>
      <c r="F1176" t="inlineStr">
        <is>
          <t>NULL</t>
        </is>
      </c>
      <c r="G1176" t="inlineStr">
        <is>
          <t>NULL</t>
        </is>
      </c>
      <c r="H1176" t="inlineStr">
        <is>
          <t>NULL</t>
        </is>
      </c>
      <c r="I1176" t="inlineStr">
        <is>
          <t>NULL</t>
        </is>
      </c>
      <c r="J1176" t="inlineStr">
        <is>
          <t>NULL</t>
        </is>
      </c>
      <c r="K1176" t="inlineStr">
        <is>
          <t xml:space="preserve"> NO!  	 c_time列源备映射错误，源端为time None位	期望更改为text	实际备端为time None位</t>
        </is>
      </c>
    </row>
    <row r="1177">
      <c r="A1177" t="inlineStr">
        <is>
          <t>info_sql_variant_dml_single_pk</t>
        </is>
      </c>
      <c r="K1177" t="inlineStr">
        <is>
          <t>[0;34m info_sql_variant_dml_single_pk [0m源备字段数相同，源端字段：25 	备端字段25</t>
        </is>
      </c>
      <c r="W1177" s="17">
        <f>HYPERLINK("#2026041919hbase0!DY2","NO 源备存在差异，共1个")</f>
        <v/>
      </c>
      <c r="X1177">
        <f>A1177</f>
        <v/>
      </c>
    </row>
    <row r="1178">
      <c r="B1178" t="inlineStr">
        <is>
          <t>YES</t>
        </is>
      </c>
      <c r="C1178" t="inlineStr">
        <is>
          <t>NULL</t>
        </is>
      </c>
      <c r="D1178" t="inlineStr">
        <is>
          <t>NULL</t>
        </is>
      </c>
      <c r="E1178" t="inlineStr">
        <is>
          <t>NULL</t>
        </is>
      </c>
      <c r="F1178" t="inlineStr">
        <is>
          <t>NULL</t>
        </is>
      </c>
      <c r="G1178" t="inlineStr">
        <is>
          <t>NULL</t>
        </is>
      </c>
      <c r="H1178" t="inlineStr">
        <is>
          <t>NULL</t>
        </is>
      </c>
      <c r="I1178" t="inlineStr">
        <is>
          <t>YES!PK__info_sql__3213E83FD874E961</t>
        </is>
      </c>
      <c r="J1178" t="inlineStr">
        <is>
          <t>YES! 主键相关索引</t>
        </is>
      </c>
      <c r="K1178" t="inlineStr">
        <is>
          <t xml:space="preserve"> NO!  	 id列源备映射错误，源端为int None位	期望更改为text	实际备端为int None位</t>
        </is>
      </c>
    </row>
    <row r="1179">
      <c r="B1179" t="inlineStr">
        <is>
          <t>NULL</t>
        </is>
      </c>
      <c r="C1179" t="inlineStr">
        <is>
          <t>NULL</t>
        </is>
      </c>
      <c r="D1179" t="inlineStr">
        <is>
          <t>NULL</t>
        </is>
      </c>
      <c r="E1179" t="inlineStr">
        <is>
          <t>NULL</t>
        </is>
      </c>
      <c r="F1179" t="inlineStr">
        <is>
          <t>NULL</t>
        </is>
      </c>
      <c r="G1179" t="inlineStr">
        <is>
          <t>NULL</t>
        </is>
      </c>
      <c r="H1179" t="inlineStr">
        <is>
          <t>NULL</t>
        </is>
      </c>
      <c r="I1179" t="inlineStr">
        <is>
          <t>NULL</t>
        </is>
      </c>
      <c r="J1179" t="inlineStr">
        <is>
          <t>NULL</t>
        </is>
      </c>
      <c r="K1179" t="inlineStr">
        <is>
          <t xml:space="preserve"> NO!  	 c_date列源备映射错误，源端为sql_variant 0位	期望更改为text	实际备端为sql_variant 0位</t>
        </is>
      </c>
    </row>
    <row r="1180">
      <c r="B1180" t="inlineStr">
        <is>
          <t>NULL</t>
        </is>
      </c>
      <c r="C1180" t="inlineStr">
        <is>
          <t>NULL</t>
        </is>
      </c>
      <c r="D1180" t="inlineStr">
        <is>
          <t>NULL</t>
        </is>
      </c>
      <c r="E1180" t="inlineStr">
        <is>
          <t>NULL</t>
        </is>
      </c>
      <c r="F1180" t="inlineStr">
        <is>
          <t>NULL</t>
        </is>
      </c>
      <c r="G1180" t="inlineStr">
        <is>
          <t>NULL</t>
        </is>
      </c>
      <c r="H1180" t="inlineStr">
        <is>
          <t>NULL</t>
        </is>
      </c>
      <c r="I1180" t="inlineStr">
        <is>
          <t>NULL</t>
        </is>
      </c>
      <c r="J1180" t="inlineStr">
        <is>
          <t>NULL</t>
        </is>
      </c>
      <c r="K1180" t="inlineStr">
        <is>
          <t xml:space="preserve"> NO!  	 c_time列源备映射错误，源端为sql_variant 0位	期望更改为text	实际备端为sql_variant 0位</t>
        </is>
      </c>
    </row>
    <row r="1181">
      <c r="B1181" t="inlineStr">
        <is>
          <t>NULL</t>
        </is>
      </c>
      <c r="C1181" t="inlineStr">
        <is>
          <t>NULL</t>
        </is>
      </c>
      <c r="D1181" t="inlineStr">
        <is>
          <t>NULL</t>
        </is>
      </c>
      <c r="E1181" t="inlineStr">
        <is>
          <t>NULL</t>
        </is>
      </c>
      <c r="F1181" t="inlineStr">
        <is>
          <t>NULL</t>
        </is>
      </c>
      <c r="G1181" t="inlineStr">
        <is>
          <t>NULL</t>
        </is>
      </c>
      <c r="H1181" t="inlineStr">
        <is>
          <t>NULL</t>
        </is>
      </c>
      <c r="I1181" t="inlineStr">
        <is>
          <t>NULL</t>
        </is>
      </c>
      <c r="J1181" t="inlineStr">
        <is>
          <t>NULL</t>
        </is>
      </c>
      <c r="K1181" t="inlineStr">
        <is>
          <t xml:space="preserve"> NO!  	 c_datetime2列源备映射错误，源端为sql_variant 0位	期望更改为text	实际备端为sql_variant 0位</t>
        </is>
      </c>
    </row>
    <row r="1182">
      <c r="B1182" t="inlineStr">
        <is>
          <t>NULL</t>
        </is>
      </c>
      <c r="C1182" t="inlineStr">
        <is>
          <t>NULL</t>
        </is>
      </c>
      <c r="D1182" t="inlineStr">
        <is>
          <t>NULL</t>
        </is>
      </c>
      <c r="E1182" t="inlineStr">
        <is>
          <t>NULL</t>
        </is>
      </c>
      <c r="F1182" t="inlineStr">
        <is>
          <t>NULL</t>
        </is>
      </c>
      <c r="G1182" t="inlineStr">
        <is>
          <t>NULL</t>
        </is>
      </c>
      <c r="H1182" t="inlineStr">
        <is>
          <t>NULL</t>
        </is>
      </c>
      <c r="I1182" t="inlineStr">
        <is>
          <t>NULL</t>
        </is>
      </c>
      <c r="J1182" t="inlineStr">
        <is>
          <t>NULL</t>
        </is>
      </c>
      <c r="K1182" t="inlineStr">
        <is>
          <t xml:space="preserve"> NO!  	 c_datetimeoffset列源备映射错误，源端为sql_variant 0位	期望更改为text	实际备端为sql_variant 0位</t>
        </is>
      </c>
    </row>
    <row r="1183">
      <c r="B1183" t="inlineStr">
        <is>
          <t>NULL</t>
        </is>
      </c>
      <c r="C1183" t="inlineStr">
        <is>
          <t>NULL</t>
        </is>
      </c>
      <c r="D1183" t="inlineStr">
        <is>
          <t>NULL</t>
        </is>
      </c>
      <c r="E1183" t="inlineStr">
        <is>
          <t>NULL</t>
        </is>
      </c>
      <c r="F1183" t="inlineStr">
        <is>
          <t>NULL</t>
        </is>
      </c>
      <c r="G1183" t="inlineStr">
        <is>
          <t>NULL</t>
        </is>
      </c>
      <c r="H1183" t="inlineStr">
        <is>
          <t>NULL</t>
        </is>
      </c>
      <c r="I1183" t="inlineStr">
        <is>
          <t>NULL</t>
        </is>
      </c>
      <c r="J1183" t="inlineStr">
        <is>
          <t>NULL</t>
        </is>
      </c>
      <c r="K1183" t="inlineStr">
        <is>
          <t xml:space="preserve"> NO!  	 c_tinyint列源备映射错误，源端为sql_variant 0位	期望更改为text	实际备端为sql_variant 0位</t>
        </is>
      </c>
    </row>
    <row r="1184">
      <c r="B1184" t="inlineStr">
        <is>
          <t>NULL</t>
        </is>
      </c>
      <c r="C1184" t="inlineStr">
        <is>
          <t>NULL</t>
        </is>
      </c>
      <c r="D1184" t="inlineStr">
        <is>
          <t>NULL</t>
        </is>
      </c>
      <c r="E1184" t="inlineStr">
        <is>
          <t>NULL</t>
        </is>
      </c>
      <c r="F1184" t="inlineStr">
        <is>
          <t>NULL</t>
        </is>
      </c>
      <c r="G1184" t="inlineStr">
        <is>
          <t>NULL</t>
        </is>
      </c>
      <c r="H1184" t="inlineStr">
        <is>
          <t>NULL</t>
        </is>
      </c>
      <c r="I1184" t="inlineStr">
        <is>
          <t>NULL</t>
        </is>
      </c>
      <c r="J1184" t="inlineStr">
        <is>
          <t>NULL</t>
        </is>
      </c>
      <c r="K1184" t="inlineStr">
        <is>
          <t xml:space="preserve"> NO!  	 c_smallint列源备映射错误，源端为sql_variant 0位	期望更改为text	实际备端为sql_variant 0位</t>
        </is>
      </c>
    </row>
    <row r="1185">
      <c r="B1185" t="inlineStr">
        <is>
          <t>NULL</t>
        </is>
      </c>
      <c r="C1185" t="inlineStr">
        <is>
          <t>NULL</t>
        </is>
      </c>
      <c r="D1185" t="inlineStr">
        <is>
          <t>NULL</t>
        </is>
      </c>
      <c r="E1185" t="inlineStr">
        <is>
          <t>NULL</t>
        </is>
      </c>
      <c r="F1185" t="inlineStr">
        <is>
          <t>NULL</t>
        </is>
      </c>
      <c r="G1185" t="inlineStr">
        <is>
          <t>NULL</t>
        </is>
      </c>
      <c r="H1185" t="inlineStr">
        <is>
          <t>NULL</t>
        </is>
      </c>
      <c r="I1185" t="inlineStr">
        <is>
          <t>NULL</t>
        </is>
      </c>
      <c r="J1185" t="inlineStr">
        <is>
          <t>NULL</t>
        </is>
      </c>
      <c r="K1185" t="inlineStr">
        <is>
          <t xml:space="preserve"> NO!  	 c_int列源备映射错误，源端为sql_variant 0位	期望更改为text	实际备端为sql_variant 0位</t>
        </is>
      </c>
    </row>
    <row r="1186">
      <c r="B1186" t="inlineStr">
        <is>
          <t>NULL</t>
        </is>
      </c>
      <c r="C1186" t="inlineStr">
        <is>
          <t>NULL</t>
        </is>
      </c>
      <c r="D1186" t="inlineStr">
        <is>
          <t>NULL</t>
        </is>
      </c>
      <c r="E1186" t="inlineStr">
        <is>
          <t>NULL</t>
        </is>
      </c>
      <c r="F1186" t="inlineStr">
        <is>
          <t>NULL</t>
        </is>
      </c>
      <c r="G1186" t="inlineStr">
        <is>
          <t>NULL</t>
        </is>
      </c>
      <c r="H1186" t="inlineStr">
        <is>
          <t>NULL</t>
        </is>
      </c>
      <c r="I1186" t="inlineStr">
        <is>
          <t>NULL</t>
        </is>
      </c>
      <c r="J1186" t="inlineStr">
        <is>
          <t>NULL</t>
        </is>
      </c>
      <c r="K1186" t="inlineStr">
        <is>
          <t xml:space="preserve"> NO!  	 c_sdt列源备映射错误，源端为sql_variant 0位	期望更改为text	实际备端为sql_variant 0位</t>
        </is>
      </c>
    </row>
    <row r="1187">
      <c r="B1187" t="inlineStr">
        <is>
          <t>NULL</t>
        </is>
      </c>
      <c r="C1187" t="inlineStr">
        <is>
          <t>NULL</t>
        </is>
      </c>
      <c r="D1187" t="inlineStr">
        <is>
          <t>NULL</t>
        </is>
      </c>
      <c r="E1187" t="inlineStr">
        <is>
          <t>NULL</t>
        </is>
      </c>
      <c r="F1187" t="inlineStr">
        <is>
          <t>NULL</t>
        </is>
      </c>
      <c r="G1187" t="inlineStr">
        <is>
          <t>NULL</t>
        </is>
      </c>
      <c r="H1187" t="inlineStr">
        <is>
          <t>NULL</t>
        </is>
      </c>
      <c r="I1187" t="inlineStr">
        <is>
          <t>NULL</t>
        </is>
      </c>
      <c r="J1187" t="inlineStr">
        <is>
          <t>NULL</t>
        </is>
      </c>
      <c r="K1187" t="inlineStr">
        <is>
          <t xml:space="preserve"> NO!  	 c_real列源备映射错误，源端为sql_variant 0位	期望更改为text	实际备端为sql_variant 0位</t>
        </is>
      </c>
    </row>
    <row r="1188">
      <c r="B1188" t="inlineStr">
        <is>
          <t>NULL</t>
        </is>
      </c>
      <c r="C1188" t="inlineStr">
        <is>
          <t>NULL</t>
        </is>
      </c>
      <c r="D1188" t="inlineStr">
        <is>
          <t>NULL</t>
        </is>
      </c>
      <c r="E1188" t="inlineStr">
        <is>
          <t>NULL</t>
        </is>
      </c>
      <c r="F1188" t="inlineStr">
        <is>
          <t>NULL</t>
        </is>
      </c>
      <c r="G1188" t="inlineStr">
        <is>
          <t>NULL</t>
        </is>
      </c>
      <c r="H1188" t="inlineStr">
        <is>
          <t>NULL</t>
        </is>
      </c>
      <c r="I1188" t="inlineStr">
        <is>
          <t>NULL</t>
        </is>
      </c>
      <c r="J1188" t="inlineStr">
        <is>
          <t>NULL</t>
        </is>
      </c>
      <c r="K1188" t="inlineStr">
        <is>
          <t xml:space="preserve"> NO!  	 c_money列源备映射错误，源端为sql_variant 0位	期望更改为text	实际备端为sql_variant 0位</t>
        </is>
      </c>
    </row>
    <row r="1189">
      <c r="B1189" t="inlineStr">
        <is>
          <t>NULL</t>
        </is>
      </c>
      <c r="C1189" t="inlineStr">
        <is>
          <t>NULL</t>
        </is>
      </c>
      <c r="D1189" t="inlineStr">
        <is>
          <t>NULL</t>
        </is>
      </c>
      <c r="E1189" t="inlineStr">
        <is>
          <t>NULL</t>
        </is>
      </c>
      <c r="F1189" t="inlineStr">
        <is>
          <t>NULL</t>
        </is>
      </c>
      <c r="G1189" t="inlineStr">
        <is>
          <t>NULL</t>
        </is>
      </c>
      <c r="H1189" t="inlineStr">
        <is>
          <t>NULL</t>
        </is>
      </c>
      <c r="I1189" t="inlineStr">
        <is>
          <t>NULL</t>
        </is>
      </c>
      <c r="J1189" t="inlineStr">
        <is>
          <t>NULL</t>
        </is>
      </c>
      <c r="K1189" t="inlineStr">
        <is>
          <t xml:space="preserve"> NO!  	 c_datetime列源备映射错误，源端为sql_variant 0位	期望更改为text	实际备端为sql_variant 0位</t>
        </is>
      </c>
    </row>
    <row r="1190">
      <c r="B1190" t="inlineStr">
        <is>
          <t>NULL</t>
        </is>
      </c>
      <c r="C1190" t="inlineStr">
        <is>
          <t>NULL</t>
        </is>
      </c>
      <c r="D1190" t="inlineStr">
        <is>
          <t>NULL</t>
        </is>
      </c>
      <c r="E1190" t="inlineStr">
        <is>
          <t>NULL</t>
        </is>
      </c>
      <c r="F1190" t="inlineStr">
        <is>
          <t>NULL</t>
        </is>
      </c>
      <c r="G1190" t="inlineStr">
        <is>
          <t>NULL</t>
        </is>
      </c>
      <c r="H1190" t="inlineStr">
        <is>
          <t>NULL</t>
        </is>
      </c>
      <c r="I1190" t="inlineStr">
        <is>
          <t>NULL</t>
        </is>
      </c>
      <c r="J1190" t="inlineStr">
        <is>
          <t>NULL</t>
        </is>
      </c>
      <c r="K1190" t="inlineStr">
        <is>
          <t xml:space="preserve"> NO!  	 c_float列源备映射错误，源端为sql_variant 0位	期望更改为text	实际备端为sql_variant 0位</t>
        </is>
      </c>
    </row>
    <row r="1191">
      <c r="B1191" t="inlineStr">
        <is>
          <t>NULL</t>
        </is>
      </c>
      <c r="C1191" t="inlineStr">
        <is>
          <t>NULL</t>
        </is>
      </c>
      <c r="D1191" t="inlineStr">
        <is>
          <t>NULL</t>
        </is>
      </c>
      <c r="E1191" t="inlineStr">
        <is>
          <t>NULL</t>
        </is>
      </c>
      <c r="F1191" t="inlineStr">
        <is>
          <t>NULL</t>
        </is>
      </c>
      <c r="G1191" t="inlineStr">
        <is>
          <t>NULL</t>
        </is>
      </c>
      <c r="H1191" t="inlineStr">
        <is>
          <t>NULL</t>
        </is>
      </c>
      <c r="I1191" t="inlineStr">
        <is>
          <t>NULL</t>
        </is>
      </c>
      <c r="J1191" t="inlineStr">
        <is>
          <t>NULL</t>
        </is>
      </c>
      <c r="K1191" t="inlineStr">
        <is>
          <t xml:space="preserve"> NO!  	 c_bit列源备映射错误，源端为sql_variant 0位	期望更改为text	实际备端为sql_variant 0位</t>
        </is>
      </c>
    </row>
    <row r="1192">
      <c r="B1192" t="inlineStr">
        <is>
          <t>NULL</t>
        </is>
      </c>
      <c r="C1192" t="inlineStr">
        <is>
          <t>NULL</t>
        </is>
      </c>
      <c r="D1192" t="inlineStr">
        <is>
          <t>NULL</t>
        </is>
      </c>
      <c r="E1192" t="inlineStr">
        <is>
          <t>NULL</t>
        </is>
      </c>
      <c r="F1192" t="inlineStr">
        <is>
          <t>NULL</t>
        </is>
      </c>
      <c r="G1192" t="inlineStr">
        <is>
          <t>NULL</t>
        </is>
      </c>
      <c r="H1192" t="inlineStr">
        <is>
          <t>NULL</t>
        </is>
      </c>
      <c r="I1192" t="inlineStr">
        <is>
          <t>NULL</t>
        </is>
      </c>
      <c r="J1192" t="inlineStr">
        <is>
          <t>NULL</t>
        </is>
      </c>
      <c r="K1192" t="inlineStr">
        <is>
          <t xml:space="preserve"> NO!  	 c_decimal列源备映射错误，源端为sql_variant 0位	期望更改为text	实际备端为sql_variant 0位</t>
        </is>
      </c>
    </row>
    <row r="1193">
      <c r="B1193" t="inlineStr">
        <is>
          <t>NULL</t>
        </is>
      </c>
      <c r="C1193" t="inlineStr">
        <is>
          <t>NULL</t>
        </is>
      </c>
      <c r="D1193" t="inlineStr">
        <is>
          <t>NULL</t>
        </is>
      </c>
      <c r="E1193" t="inlineStr">
        <is>
          <t>NULL</t>
        </is>
      </c>
      <c r="F1193" t="inlineStr">
        <is>
          <t>NULL</t>
        </is>
      </c>
      <c r="G1193" t="inlineStr">
        <is>
          <t>NULL</t>
        </is>
      </c>
      <c r="H1193" t="inlineStr">
        <is>
          <t>NULL</t>
        </is>
      </c>
      <c r="I1193" t="inlineStr">
        <is>
          <t>NULL</t>
        </is>
      </c>
      <c r="J1193" t="inlineStr">
        <is>
          <t>NULL</t>
        </is>
      </c>
      <c r="K1193" t="inlineStr">
        <is>
          <t xml:space="preserve"> NO!  	 c_uniqueidentifier列源备映射错误，源端为sql_variant 0位	期望更改为text	实际备端为sql_variant 0位</t>
        </is>
      </c>
    </row>
    <row r="1194">
      <c r="B1194" t="inlineStr">
        <is>
          <t>NULL</t>
        </is>
      </c>
      <c r="C1194" t="inlineStr">
        <is>
          <t>NULL</t>
        </is>
      </c>
      <c r="D1194" t="inlineStr">
        <is>
          <t>NULL</t>
        </is>
      </c>
      <c r="E1194" t="inlineStr">
        <is>
          <t>NULL</t>
        </is>
      </c>
      <c r="F1194" t="inlineStr">
        <is>
          <t>NULL</t>
        </is>
      </c>
      <c r="G1194" t="inlineStr">
        <is>
          <t>NULL</t>
        </is>
      </c>
      <c r="H1194" t="inlineStr">
        <is>
          <t>NULL</t>
        </is>
      </c>
      <c r="I1194" t="inlineStr">
        <is>
          <t>NULL</t>
        </is>
      </c>
      <c r="J1194" t="inlineStr">
        <is>
          <t>NULL</t>
        </is>
      </c>
      <c r="K1194" t="inlineStr">
        <is>
          <t xml:space="preserve"> NO!  	 c_smallmoney列源备映射错误，源端为sql_variant 0位	期望更改为text	实际备端为sql_variant 0位</t>
        </is>
      </c>
    </row>
    <row r="1195">
      <c r="B1195" t="inlineStr">
        <is>
          <t>NULL</t>
        </is>
      </c>
      <c r="C1195" t="inlineStr">
        <is>
          <t>NULL</t>
        </is>
      </c>
      <c r="D1195" t="inlineStr">
        <is>
          <t>NULL</t>
        </is>
      </c>
      <c r="E1195" t="inlineStr">
        <is>
          <t>NULL</t>
        </is>
      </c>
      <c r="F1195" t="inlineStr">
        <is>
          <t>NULL</t>
        </is>
      </c>
      <c r="G1195" t="inlineStr">
        <is>
          <t>NULL</t>
        </is>
      </c>
      <c r="H1195" t="inlineStr">
        <is>
          <t>NULL</t>
        </is>
      </c>
      <c r="I1195" t="inlineStr">
        <is>
          <t>NULL</t>
        </is>
      </c>
      <c r="J1195" t="inlineStr">
        <is>
          <t>NULL</t>
        </is>
      </c>
      <c r="K1195" t="inlineStr">
        <is>
          <t xml:space="preserve"> NO!  	 c_bigint列源备映射错误，源端为sql_variant 0位	期望更改为text	实际备端为sql_variant 0位</t>
        </is>
      </c>
    </row>
    <row r="1196">
      <c r="B1196" t="inlineStr">
        <is>
          <t>NULL</t>
        </is>
      </c>
      <c r="C1196" t="inlineStr">
        <is>
          <t>NULL</t>
        </is>
      </c>
      <c r="D1196" t="inlineStr">
        <is>
          <t>NULL</t>
        </is>
      </c>
      <c r="E1196" t="inlineStr">
        <is>
          <t>NULL</t>
        </is>
      </c>
      <c r="F1196" t="inlineStr">
        <is>
          <t>NULL</t>
        </is>
      </c>
      <c r="G1196" t="inlineStr">
        <is>
          <t>NULL</t>
        </is>
      </c>
      <c r="H1196" t="inlineStr">
        <is>
          <t>NULL</t>
        </is>
      </c>
      <c r="I1196" t="inlineStr">
        <is>
          <t>NULL</t>
        </is>
      </c>
      <c r="J1196" t="inlineStr">
        <is>
          <t>NULL</t>
        </is>
      </c>
      <c r="K1196" t="inlineStr">
        <is>
          <t xml:space="preserve"> NO!  	 c_varbinary_20列源备映射错误，源端为sql_variant 0位	期望更改为text	实际备端为sql_variant 0位</t>
        </is>
      </c>
    </row>
    <row r="1197">
      <c r="B1197" t="inlineStr">
        <is>
          <t>NULL</t>
        </is>
      </c>
      <c r="C1197" t="inlineStr">
        <is>
          <t>NULL</t>
        </is>
      </c>
      <c r="D1197" t="inlineStr">
        <is>
          <t>NULL</t>
        </is>
      </c>
      <c r="E1197" t="inlineStr">
        <is>
          <t>NULL</t>
        </is>
      </c>
      <c r="F1197" t="inlineStr">
        <is>
          <t>NULL</t>
        </is>
      </c>
      <c r="G1197" t="inlineStr">
        <is>
          <t>NULL</t>
        </is>
      </c>
      <c r="H1197" t="inlineStr">
        <is>
          <t>NULL</t>
        </is>
      </c>
      <c r="I1197" t="inlineStr">
        <is>
          <t>NULL</t>
        </is>
      </c>
      <c r="J1197" t="inlineStr">
        <is>
          <t>NULL</t>
        </is>
      </c>
      <c r="K1197" t="inlineStr">
        <is>
          <t xml:space="preserve"> NO!  	 c_varchar_20列源备映射错误，源端为sql_variant 0位	期望更改为text	实际备端为sql_variant 0位</t>
        </is>
      </c>
    </row>
    <row r="1198">
      <c r="B1198" t="inlineStr">
        <is>
          <t>NULL</t>
        </is>
      </c>
      <c r="C1198" t="inlineStr">
        <is>
          <t>NULL</t>
        </is>
      </c>
      <c r="D1198" t="inlineStr">
        <is>
          <t>NULL</t>
        </is>
      </c>
      <c r="E1198" t="inlineStr">
        <is>
          <t>NULL</t>
        </is>
      </c>
      <c r="F1198" t="inlineStr">
        <is>
          <t>NULL</t>
        </is>
      </c>
      <c r="G1198" t="inlineStr">
        <is>
          <t>NULL</t>
        </is>
      </c>
      <c r="H1198" t="inlineStr">
        <is>
          <t>NULL</t>
        </is>
      </c>
      <c r="I1198" t="inlineStr">
        <is>
          <t>NULL</t>
        </is>
      </c>
      <c r="J1198" t="inlineStr">
        <is>
          <t>NULL</t>
        </is>
      </c>
      <c r="K1198" t="inlineStr">
        <is>
          <t xml:space="preserve"> NO!  	 c_binary_20列源备映射错误，源端为sql_variant 0位	期望更改为text	实际备端为sql_variant 0位</t>
        </is>
      </c>
    </row>
    <row r="1199">
      <c r="B1199" t="inlineStr">
        <is>
          <t>NULL</t>
        </is>
      </c>
      <c r="C1199" t="inlineStr">
        <is>
          <t>NULL</t>
        </is>
      </c>
      <c r="D1199" t="inlineStr">
        <is>
          <t>NULL</t>
        </is>
      </c>
      <c r="E1199" t="inlineStr">
        <is>
          <t>NULL</t>
        </is>
      </c>
      <c r="F1199" t="inlineStr">
        <is>
          <t>NULL</t>
        </is>
      </c>
      <c r="G1199" t="inlineStr">
        <is>
          <t>NULL</t>
        </is>
      </c>
      <c r="H1199" t="inlineStr">
        <is>
          <t>NULL</t>
        </is>
      </c>
      <c r="I1199" t="inlineStr">
        <is>
          <t>NULL</t>
        </is>
      </c>
      <c r="J1199" t="inlineStr">
        <is>
          <t>NULL</t>
        </is>
      </c>
      <c r="K1199" t="inlineStr">
        <is>
          <t xml:space="preserve"> NO!  	 c_char_20列源备映射错误，源端为sql_variant 0位	期望更改为text	实际备端为sql_variant 0位</t>
        </is>
      </c>
    </row>
    <row r="1200">
      <c r="B1200" t="inlineStr">
        <is>
          <t>NULL</t>
        </is>
      </c>
      <c r="C1200" t="inlineStr">
        <is>
          <t>NULL</t>
        </is>
      </c>
      <c r="D1200" t="inlineStr">
        <is>
          <t>NULL</t>
        </is>
      </c>
      <c r="E1200" t="inlineStr">
        <is>
          <t>NULL</t>
        </is>
      </c>
      <c r="F1200" t="inlineStr">
        <is>
          <t>NULL</t>
        </is>
      </c>
      <c r="G1200" t="inlineStr">
        <is>
          <t>NULL</t>
        </is>
      </c>
      <c r="H1200" t="inlineStr">
        <is>
          <t>NULL</t>
        </is>
      </c>
      <c r="I1200" t="inlineStr">
        <is>
          <t>NULL</t>
        </is>
      </c>
      <c r="J1200" t="inlineStr">
        <is>
          <t>NULL</t>
        </is>
      </c>
      <c r="K1200" t="inlineStr">
        <is>
          <t xml:space="preserve"> NO!  	 c_nvarchar_20列源备映射错误，源端为sql_variant 0位	期望更改为text	实际备端为sql_variant 0位</t>
        </is>
      </c>
    </row>
    <row r="1201">
      <c r="B1201" t="inlineStr">
        <is>
          <t>NULL</t>
        </is>
      </c>
      <c r="C1201" t="inlineStr">
        <is>
          <t>NULL</t>
        </is>
      </c>
      <c r="D1201" t="inlineStr">
        <is>
          <t>NULL</t>
        </is>
      </c>
      <c r="E1201" t="inlineStr">
        <is>
          <t>NULL</t>
        </is>
      </c>
      <c r="F1201" t="inlineStr">
        <is>
          <t>NULL</t>
        </is>
      </c>
      <c r="G1201" t="inlineStr">
        <is>
          <t>NULL</t>
        </is>
      </c>
      <c r="H1201" t="inlineStr">
        <is>
          <t>NULL</t>
        </is>
      </c>
      <c r="I1201" t="inlineStr">
        <is>
          <t>NULL</t>
        </is>
      </c>
      <c r="J1201" t="inlineStr">
        <is>
          <t>NULL</t>
        </is>
      </c>
      <c r="K1201" t="inlineStr">
        <is>
          <t xml:space="preserve"> NO!  	 c_nchar_20列源备映射错误，源端为sql_variant 0位	期望更改为text	实际备端为sql_variant 0位</t>
        </is>
      </c>
    </row>
    <row r="1202">
      <c r="B1202" t="inlineStr">
        <is>
          <t>NULL</t>
        </is>
      </c>
      <c r="C1202" t="inlineStr">
        <is>
          <t>NULL</t>
        </is>
      </c>
      <c r="D1202" t="inlineStr">
        <is>
          <t>NULL</t>
        </is>
      </c>
      <c r="E1202" t="inlineStr">
        <is>
          <t>NULL</t>
        </is>
      </c>
      <c r="F1202" t="inlineStr">
        <is>
          <t>NULL</t>
        </is>
      </c>
      <c r="G1202" t="inlineStr">
        <is>
          <t>NULL</t>
        </is>
      </c>
      <c r="H1202" t="inlineStr">
        <is>
          <t>NULL</t>
        </is>
      </c>
      <c r="I1202" t="inlineStr">
        <is>
          <t>NULL</t>
        </is>
      </c>
      <c r="J1202" t="inlineStr">
        <is>
          <t>NULL</t>
        </is>
      </c>
      <c r="K1202" t="inlineStr">
        <is>
          <t xml:space="preserve"> NO!  	 c_timestamp列源备映射错误，源端为timestamp None位	期望更改为text	实际备端为timestamp None位</t>
        </is>
      </c>
    </row>
    <row r="1203">
      <c r="A1203" t="inlineStr">
        <is>
          <t>info_uniqueidentifier_dml_single_pk_drp</t>
        </is>
      </c>
      <c r="K1203" t="inlineStr">
        <is>
          <t>[0;34m info_uniqueidentifier_dml_single_pk_drp [0m源备字段数相同，源端字段：2 	备端字段2</t>
        </is>
      </c>
      <c r="W1203" t="inlineStr">
        <is>
          <t>YES 源备无差异</t>
        </is>
      </c>
      <c r="X1203">
        <f>A1203</f>
        <v/>
      </c>
    </row>
    <row r="1204">
      <c r="B1204" t="inlineStr">
        <is>
          <t>YES</t>
        </is>
      </c>
      <c r="C1204" t="inlineStr">
        <is>
          <t>NULL</t>
        </is>
      </c>
      <c r="D1204" t="inlineStr">
        <is>
          <t>NULL</t>
        </is>
      </c>
      <c r="E1204" t="inlineStr">
        <is>
          <t>NULL</t>
        </is>
      </c>
      <c r="F1204" t="inlineStr">
        <is>
          <t>NULL</t>
        </is>
      </c>
      <c r="G1204" t="inlineStr">
        <is>
          <t>NULL</t>
        </is>
      </c>
      <c r="H1204" t="inlineStr">
        <is>
          <t>NULL</t>
        </is>
      </c>
      <c r="I1204" t="inlineStr">
        <is>
          <t>YES!PK__info_uni__3213E83FE5A7EE64</t>
        </is>
      </c>
      <c r="J1204" t="inlineStr">
        <is>
          <t>YES! 主键相关索引</t>
        </is>
      </c>
      <c r="K1204" t="inlineStr">
        <is>
          <t xml:space="preserve"> NO!  	 id列源备映射错误，源端为int None位	期望更改为text	实际备端为int None位</t>
        </is>
      </c>
    </row>
    <row r="1205">
      <c r="B1205" t="inlineStr">
        <is>
          <t>NULL</t>
        </is>
      </c>
      <c r="C1205" t="inlineStr">
        <is>
          <t>NULL</t>
        </is>
      </c>
      <c r="D1205" t="inlineStr">
        <is>
          <t>NULL</t>
        </is>
      </c>
      <c r="E1205" t="inlineStr">
        <is>
          <t>NULL</t>
        </is>
      </c>
      <c r="F1205" t="inlineStr">
        <is>
          <t>NULL</t>
        </is>
      </c>
      <c r="G1205" t="inlineStr">
        <is>
          <t>NULL</t>
        </is>
      </c>
      <c r="H1205" t="inlineStr">
        <is>
          <t>NULL</t>
        </is>
      </c>
      <c r="I1205" t="inlineStr">
        <is>
          <t>NULL</t>
        </is>
      </c>
      <c r="J1205" t="inlineStr">
        <is>
          <t>NULL</t>
        </is>
      </c>
      <c r="K1205" t="inlineStr">
        <is>
          <t xml:space="preserve"> NO!  	 c_uniqueidentifier列源备映射错误，源端为uniqueidentifier None位	期望更改为text	实际备端为uniqueidentifier None位</t>
        </is>
      </c>
    </row>
    <row r="1206">
      <c r="A1206" t="inlineStr">
        <is>
          <t>info_time_dml_batch1_pk_urp2</t>
        </is>
      </c>
      <c r="K1206" t="inlineStr">
        <is>
          <t>[0;34m info_time_dml_batch1_pk_urp2 [0m源备字段数相同，源端字段：9 	备端字段9</t>
        </is>
      </c>
      <c r="W1206" s="17">
        <f>HYPERLINK("#2026041919hbase0!DZ2","NO 源备存在差异，共16个")</f>
        <v/>
      </c>
      <c r="X1206">
        <f>A1206</f>
        <v/>
      </c>
    </row>
    <row r="1207">
      <c r="B1207" t="inlineStr">
        <is>
          <t>YES</t>
        </is>
      </c>
      <c r="C1207" t="inlineStr">
        <is>
          <t>NULL</t>
        </is>
      </c>
      <c r="D1207" t="inlineStr">
        <is>
          <t>NULL</t>
        </is>
      </c>
      <c r="E1207" t="inlineStr">
        <is>
          <t>NULL</t>
        </is>
      </c>
      <c r="F1207" t="inlineStr">
        <is>
          <t>NULL</t>
        </is>
      </c>
      <c r="G1207" t="inlineStr">
        <is>
          <t>NULL</t>
        </is>
      </c>
      <c r="H1207" t="inlineStr">
        <is>
          <t>NULL</t>
        </is>
      </c>
      <c r="I1207" t="inlineStr">
        <is>
          <t>YES!PK__info_tim__3213E83FD9A9CAB1</t>
        </is>
      </c>
      <c r="J1207" t="inlineStr">
        <is>
          <t>YES! 主键相关索引</t>
        </is>
      </c>
      <c r="K1207" t="inlineStr">
        <is>
          <t xml:space="preserve"> NO!  	 id列源备映射错误，源端为int None位	期望更改为text	实际备端为int None位</t>
        </is>
      </c>
    </row>
    <row r="1208">
      <c r="B1208" t="inlineStr">
        <is>
          <t>NULL</t>
        </is>
      </c>
      <c r="C1208" t="inlineStr">
        <is>
          <t>NULL</t>
        </is>
      </c>
      <c r="D1208" t="inlineStr">
        <is>
          <t>NULL</t>
        </is>
      </c>
      <c r="E1208" t="inlineStr">
        <is>
          <t>NULL</t>
        </is>
      </c>
      <c r="F1208" t="inlineStr">
        <is>
          <t>NULL</t>
        </is>
      </c>
      <c r="G1208" t="inlineStr">
        <is>
          <t>NULL</t>
        </is>
      </c>
      <c r="H1208" t="inlineStr">
        <is>
          <t>NULL</t>
        </is>
      </c>
      <c r="I1208" t="inlineStr">
        <is>
          <t>NULL</t>
        </is>
      </c>
      <c r="J1208" t="inlineStr">
        <is>
          <t>NULL</t>
        </is>
      </c>
      <c r="K1208" t="inlineStr">
        <is>
          <t xml:space="preserve"> NO!  	 c_time0列源备映射错误，源端为time None位	期望更改为text	实际备端为time None位</t>
        </is>
      </c>
    </row>
    <row r="1209">
      <c r="B1209" t="inlineStr">
        <is>
          <t>NULL</t>
        </is>
      </c>
      <c r="C1209" t="inlineStr">
        <is>
          <t>NULL</t>
        </is>
      </c>
      <c r="D1209" t="inlineStr">
        <is>
          <t>NULL</t>
        </is>
      </c>
      <c r="E1209" t="inlineStr">
        <is>
          <t>NULL</t>
        </is>
      </c>
      <c r="F1209" t="inlineStr">
        <is>
          <t>NULL</t>
        </is>
      </c>
      <c r="G1209" t="inlineStr">
        <is>
          <t>NULL</t>
        </is>
      </c>
      <c r="H1209" t="inlineStr">
        <is>
          <t>NULL</t>
        </is>
      </c>
      <c r="I1209" t="inlineStr">
        <is>
          <t>NULL</t>
        </is>
      </c>
      <c r="J1209" t="inlineStr">
        <is>
          <t>NULL</t>
        </is>
      </c>
      <c r="K1209" t="inlineStr">
        <is>
          <t xml:space="preserve"> NO!  	 c_time1列源备映射错误，源端为time None位	期望更改为text	实际备端为time None位</t>
        </is>
      </c>
    </row>
    <row r="1210">
      <c r="B1210" t="inlineStr">
        <is>
          <t>NULL</t>
        </is>
      </c>
      <c r="C1210" t="inlineStr">
        <is>
          <t>NULL</t>
        </is>
      </c>
      <c r="D1210" t="inlineStr">
        <is>
          <t>NULL</t>
        </is>
      </c>
      <c r="E1210" t="inlineStr">
        <is>
          <t>NULL</t>
        </is>
      </c>
      <c r="F1210" t="inlineStr">
        <is>
          <t>NULL</t>
        </is>
      </c>
      <c r="G1210" t="inlineStr">
        <is>
          <t>NULL</t>
        </is>
      </c>
      <c r="H1210" t="inlineStr">
        <is>
          <t>NULL</t>
        </is>
      </c>
      <c r="I1210" t="inlineStr">
        <is>
          <t>NULL</t>
        </is>
      </c>
      <c r="J1210" t="inlineStr">
        <is>
          <t>NULL</t>
        </is>
      </c>
      <c r="K1210" t="inlineStr">
        <is>
          <t xml:space="preserve"> NO!  	 c_time2列源备映射错误，源端为time None位	期望更改为text	实际备端为time None位</t>
        </is>
      </c>
    </row>
    <row r="1211">
      <c r="B1211" t="inlineStr">
        <is>
          <t>NULL</t>
        </is>
      </c>
      <c r="C1211" t="inlineStr">
        <is>
          <t>NULL</t>
        </is>
      </c>
      <c r="D1211" t="inlineStr">
        <is>
          <t>NULL</t>
        </is>
      </c>
      <c r="E1211" t="inlineStr">
        <is>
          <t>NULL</t>
        </is>
      </c>
      <c r="F1211" t="inlineStr">
        <is>
          <t>NULL</t>
        </is>
      </c>
      <c r="G1211" t="inlineStr">
        <is>
          <t>NULL</t>
        </is>
      </c>
      <c r="H1211" t="inlineStr">
        <is>
          <t>NULL</t>
        </is>
      </c>
      <c r="I1211" t="inlineStr">
        <is>
          <t>NULL</t>
        </is>
      </c>
      <c r="J1211" t="inlineStr">
        <is>
          <t>NULL</t>
        </is>
      </c>
      <c r="K1211" t="inlineStr">
        <is>
          <t xml:space="preserve"> NO!  	 c_time3列源备映射错误，源端为time None位	期望更改为text	实际备端为time None位</t>
        </is>
      </c>
    </row>
    <row r="1212">
      <c r="B1212" t="inlineStr">
        <is>
          <t>NULL</t>
        </is>
      </c>
      <c r="C1212" t="inlineStr">
        <is>
          <t>NULL</t>
        </is>
      </c>
      <c r="D1212" t="inlineStr">
        <is>
          <t>NULL</t>
        </is>
      </c>
      <c r="E1212" t="inlineStr">
        <is>
          <t>NULL</t>
        </is>
      </c>
      <c r="F1212" t="inlineStr">
        <is>
          <t>NULL</t>
        </is>
      </c>
      <c r="G1212" t="inlineStr">
        <is>
          <t>NULL</t>
        </is>
      </c>
      <c r="H1212" t="inlineStr">
        <is>
          <t>NULL</t>
        </is>
      </c>
      <c r="I1212" t="inlineStr">
        <is>
          <t>NULL</t>
        </is>
      </c>
      <c r="J1212" t="inlineStr">
        <is>
          <t>NULL</t>
        </is>
      </c>
      <c r="K1212" t="inlineStr">
        <is>
          <t xml:space="preserve"> NO!  	 c_time4列源备映射错误，源端为time None位	期望更改为text	实际备端为time None位</t>
        </is>
      </c>
    </row>
    <row r="1213">
      <c r="B1213" t="inlineStr">
        <is>
          <t>NULL</t>
        </is>
      </c>
      <c r="C1213" t="inlineStr">
        <is>
          <t>NULL</t>
        </is>
      </c>
      <c r="D1213" t="inlineStr">
        <is>
          <t>NULL</t>
        </is>
      </c>
      <c r="E1213" t="inlineStr">
        <is>
          <t>NULL</t>
        </is>
      </c>
      <c r="F1213" t="inlineStr">
        <is>
          <t>NULL</t>
        </is>
      </c>
      <c r="G1213" t="inlineStr">
        <is>
          <t>NULL</t>
        </is>
      </c>
      <c r="H1213" t="inlineStr">
        <is>
          <t>NULL</t>
        </is>
      </c>
      <c r="I1213" t="inlineStr">
        <is>
          <t>NULL</t>
        </is>
      </c>
      <c r="J1213" t="inlineStr">
        <is>
          <t>NULL</t>
        </is>
      </c>
      <c r="K1213" t="inlineStr">
        <is>
          <t xml:space="preserve"> NO!  	 c_time5列源备映射错误，源端为time None位	期望更改为text	实际备端为time None位</t>
        </is>
      </c>
    </row>
    <row r="1214">
      <c r="B1214" t="inlineStr">
        <is>
          <t>NULL</t>
        </is>
      </c>
      <c r="C1214" t="inlineStr">
        <is>
          <t>NULL</t>
        </is>
      </c>
      <c r="D1214" t="inlineStr">
        <is>
          <t>NULL</t>
        </is>
      </c>
      <c r="E1214" t="inlineStr">
        <is>
          <t>NULL</t>
        </is>
      </c>
      <c r="F1214" t="inlineStr">
        <is>
          <t>NULL</t>
        </is>
      </c>
      <c r="G1214" t="inlineStr">
        <is>
          <t>NULL</t>
        </is>
      </c>
      <c r="H1214" t="inlineStr">
        <is>
          <t>NULL</t>
        </is>
      </c>
      <c r="I1214" t="inlineStr">
        <is>
          <t>NULL</t>
        </is>
      </c>
      <c r="J1214" t="inlineStr">
        <is>
          <t>NULL</t>
        </is>
      </c>
      <c r="K1214" t="inlineStr">
        <is>
          <t xml:space="preserve"> NO!  	 c_time6列源备映射错误，源端为time None位	期望更改为text	实际备端为time None位</t>
        </is>
      </c>
    </row>
    <row r="1215">
      <c r="B1215" t="inlineStr">
        <is>
          <t>NULL</t>
        </is>
      </c>
      <c r="C1215" t="inlineStr">
        <is>
          <t>NULL</t>
        </is>
      </c>
      <c r="D1215" t="inlineStr">
        <is>
          <t>NULL</t>
        </is>
      </c>
      <c r="E1215" t="inlineStr">
        <is>
          <t>NULL</t>
        </is>
      </c>
      <c r="F1215" t="inlineStr">
        <is>
          <t>NULL</t>
        </is>
      </c>
      <c r="G1215" t="inlineStr">
        <is>
          <t>NULL</t>
        </is>
      </c>
      <c r="H1215" t="inlineStr">
        <is>
          <t>NULL</t>
        </is>
      </c>
      <c r="I1215" t="inlineStr">
        <is>
          <t>NULL</t>
        </is>
      </c>
      <c r="J1215" t="inlineStr">
        <is>
          <t>NULL</t>
        </is>
      </c>
      <c r="K1215" t="inlineStr">
        <is>
          <t xml:space="preserve"> NO!  	 c_time列源备映射错误，源端为time None位	期望更改为text	实际备端为time None位</t>
        </is>
      </c>
    </row>
    <row r="1216">
      <c r="A1216" t="inlineStr">
        <is>
          <t>info_datetime2_dml_single_pk_drp</t>
        </is>
      </c>
      <c r="K1216" t="inlineStr">
        <is>
          <t>[0;34m info_datetime2_dml_single_pk_drp [0m源备字段数相同，源端字段：9 	备端字段9</t>
        </is>
      </c>
      <c r="W1216" s="17">
        <f>HYPERLINK("#2026041919hbase0!EA2","NO 源备存在差异，共2个")</f>
        <v/>
      </c>
      <c r="X1216">
        <f>A1216</f>
        <v/>
      </c>
    </row>
    <row r="1217">
      <c r="B1217" t="inlineStr">
        <is>
          <t>YES</t>
        </is>
      </c>
      <c r="C1217" t="inlineStr">
        <is>
          <t>NULL</t>
        </is>
      </c>
      <c r="D1217" t="inlineStr">
        <is>
          <t>NULL</t>
        </is>
      </c>
      <c r="E1217" t="inlineStr">
        <is>
          <t>NULL</t>
        </is>
      </c>
      <c r="F1217" t="inlineStr">
        <is>
          <t>NULL</t>
        </is>
      </c>
      <c r="G1217" t="inlineStr">
        <is>
          <t>NULL</t>
        </is>
      </c>
      <c r="H1217" t="inlineStr">
        <is>
          <t>NULL</t>
        </is>
      </c>
      <c r="I1217" t="inlineStr">
        <is>
          <t>YES!PK__info_dat__3213E83FC2071D64</t>
        </is>
      </c>
      <c r="J1217" t="inlineStr">
        <is>
          <t>YES! 主键相关索引</t>
        </is>
      </c>
      <c r="K1217" t="inlineStr">
        <is>
          <t xml:space="preserve"> NO!  	 id列源备映射错误，源端为int None位	期望更改为text	实际备端为int None位</t>
        </is>
      </c>
    </row>
    <row r="1218">
      <c r="B1218" t="inlineStr">
        <is>
          <t>NULL</t>
        </is>
      </c>
      <c r="C1218" t="inlineStr">
        <is>
          <t>NULL</t>
        </is>
      </c>
      <c r="D1218" t="inlineStr">
        <is>
          <t>NULL</t>
        </is>
      </c>
      <c r="E1218" t="inlineStr">
        <is>
          <t>NULL</t>
        </is>
      </c>
      <c r="F1218" t="inlineStr">
        <is>
          <t>NULL</t>
        </is>
      </c>
      <c r="G1218" t="inlineStr">
        <is>
          <t>NULL</t>
        </is>
      </c>
      <c r="H1218" t="inlineStr">
        <is>
          <t>NULL</t>
        </is>
      </c>
      <c r="I1218" t="inlineStr">
        <is>
          <t>NULL</t>
        </is>
      </c>
      <c r="J1218" t="inlineStr">
        <is>
          <t>NULL</t>
        </is>
      </c>
      <c r="K1218" t="inlineStr">
        <is>
          <t xml:space="preserve"> NO!  	 c_dt2_0列源备映射错误，源端为datetime2 None位	期望更改为text	实际备端为datetime2 None位</t>
        </is>
      </c>
    </row>
    <row r="1219">
      <c r="B1219" t="inlineStr">
        <is>
          <t>NULL</t>
        </is>
      </c>
      <c r="C1219" t="inlineStr">
        <is>
          <t>NULL</t>
        </is>
      </c>
      <c r="D1219" t="inlineStr">
        <is>
          <t>NULL</t>
        </is>
      </c>
      <c r="E1219" t="inlineStr">
        <is>
          <t>NULL</t>
        </is>
      </c>
      <c r="F1219" t="inlineStr">
        <is>
          <t>NULL</t>
        </is>
      </c>
      <c r="G1219" t="inlineStr">
        <is>
          <t>NULL</t>
        </is>
      </c>
      <c r="H1219" t="inlineStr">
        <is>
          <t>NULL</t>
        </is>
      </c>
      <c r="I1219" t="inlineStr">
        <is>
          <t>NULL</t>
        </is>
      </c>
      <c r="J1219" t="inlineStr">
        <is>
          <t>NULL</t>
        </is>
      </c>
      <c r="K1219" t="inlineStr">
        <is>
          <t xml:space="preserve"> NO!  	 c_dt2_1列源备映射错误，源端为datetime2 None位	期望更改为text	实际备端为datetime2 None位</t>
        </is>
      </c>
    </row>
    <row r="1220">
      <c r="B1220" t="inlineStr">
        <is>
          <t>NULL</t>
        </is>
      </c>
      <c r="C1220" t="inlineStr">
        <is>
          <t>NULL</t>
        </is>
      </c>
      <c r="D1220" t="inlineStr">
        <is>
          <t>NULL</t>
        </is>
      </c>
      <c r="E1220" t="inlineStr">
        <is>
          <t>NULL</t>
        </is>
      </c>
      <c r="F1220" t="inlineStr">
        <is>
          <t>NULL</t>
        </is>
      </c>
      <c r="G1220" t="inlineStr">
        <is>
          <t>NULL</t>
        </is>
      </c>
      <c r="H1220" t="inlineStr">
        <is>
          <t>NULL</t>
        </is>
      </c>
      <c r="I1220" t="inlineStr">
        <is>
          <t>NULL</t>
        </is>
      </c>
      <c r="J1220" t="inlineStr">
        <is>
          <t>NULL</t>
        </is>
      </c>
      <c r="K1220" t="inlineStr">
        <is>
          <t xml:space="preserve"> NO!  	 c_dt2_2列源备映射错误，源端为datetime2 None位	期望更改为text	实际备端为datetime2 None位</t>
        </is>
      </c>
    </row>
    <row r="1221">
      <c r="B1221" t="inlineStr">
        <is>
          <t>NULL</t>
        </is>
      </c>
      <c r="C1221" t="inlineStr">
        <is>
          <t>NULL</t>
        </is>
      </c>
      <c r="D1221" t="inlineStr">
        <is>
          <t>NULL</t>
        </is>
      </c>
      <c r="E1221" t="inlineStr">
        <is>
          <t>NULL</t>
        </is>
      </c>
      <c r="F1221" t="inlineStr">
        <is>
          <t>NULL</t>
        </is>
      </c>
      <c r="G1221" t="inlineStr">
        <is>
          <t>NULL</t>
        </is>
      </c>
      <c r="H1221" t="inlineStr">
        <is>
          <t>NULL</t>
        </is>
      </c>
      <c r="I1221" t="inlineStr">
        <is>
          <t>NULL</t>
        </is>
      </c>
      <c r="J1221" t="inlineStr">
        <is>
          <t>NULL</t>
        </is>
      </c>
      <c r="K1221" t="inlineStr">
        <is>
          <t xml:space="preserve"> NO!  	 c_dt2_3列源备映射错误，源端为datetime2 None位	期望更改为text	实际备端为datetime2 None位</t>
        </is>
      </c>
    </row>
    <row r="1222">
      <c r="B1222" t="inlineStr">
        <is>
          <t>NULL</t>
        </is>
      </c>
      <c r="C1222" t="inlineStr">
        <is>
          <t>NULL</t>
        </is>
      </c>
      <c r="D1222" t="inlineStr">
        <is>
          <t>NULL</t>
        </is>
      </c>
      <c r="E1222" t="inlineStr">
        <is>
          <t>NULL</t>
        </is>
      </c>
      <c r="F1222" t="inlineStr">
        <is>
          <t>NULL</t>
        </is>
      </c>
      <c r="G1222" t="inlineStr">
        <is>
          <t>NULL</t>
        </is>
      </c>
      <c r="H1222" t="inlineStr">
        <is>
          <t>NULL</t>
        </is>
      </c>
      <c r="I1222" t="inlineStr">
        <is>
          <t>NULL</t>
        </is>
      </c>
      <c r="J1222" t="inlineStr">
        <is>
          <t>NULL</t>
        </is>
      </c>
      <c r="K1222" t="inlineStr">
        <is>
          <t xml:space="preserve"> NO!  	 c_dt2_4列源备映射错误，源端为datetime2 None位	期望更改为text	实际备端为datetime2 None位</t>
        </is>
      </c>
    </row>
    <row r="1223">
      <c r="B1223" t="inlineStr">
        <is>
          <t>NULL</t>
        </is>
      </c>
      <c r="C1223" t="inlineStr">
        <is>
          <t>NULL</t>
        </is>
      </c>
      <c r="D1223" t="inlineStr">
        <is>
          <t>NULL</t>
        </is>
      </c>
      <c r="E1223" t="inlineStr">
        <is>
          <t>NULL</t>
        </is>
      </c>
      <c r="F1223" t="inlineStr">
        <is>
          <t>NULL</t>
        </is>
      </c>
      <c r="G1223" t="inlineStr">
        <is>
          <t>NULL</t>
        </is>
      </c>
      <c r="H1223" t="inlineStr">
        <is>
          <t>NULL</t>
        </is>
      </c>
      <c r="I1223" t="inlineStr">
        <is>
          <t>NULL</t>
        </is>
      </c>
      <c r="J1223" t="inlineStr">
        <is>
          <t>NULL</t>
        </is>
      </c>
      <c r="K1223" t="inlineStr">
        <is>
          <t xml:space="preserve"> NO!  	 c_dt2_5列源备映射错误，源端为datetime2 None位	期望更改为text	实际备端为datetime2 None位</t>
        </is>
      </c>
    </row>
    <row r="1224">
      <c r="B1224" t="inlineStr">
        <is>
          <t>NULL</t>
        </is>
      </c>
      <c r="C1224" t="inlineStr">
        <is>
          <t>NULL</t>
        </is>
      </c>
      <c r="D1224" t="inlineStr">
        <is>
          <t>NULL</t>
        </is>
      </c>
      <c r="E1224" t="inlineStr">
        <is>
          <t>NULL</t>
        </is>
      </c>
      <c r="F1224" t="inlineStr">
        <is>
          <t>NULL</t>
        </is>
      </c>
      <c r="G1224" t="inlineStr">
        <is>
          <t>NULL</t>
        </is>
      </c>
      <c r="H1224" t="inlineStr">
        <is>
          <t>NULL</t>
        </is>
      </c>
      <c r="I1224" t="inlineStr">
        <is>
          <t>NULL</t>
        </is>
      </c>
      <c r="J1224" t="inlineStr">
        <is>
          <t>NULL</t>
        </is>
      </c>
      <c r="K1224" t="inlineStr">
        <is>
          <t xml:space="preserve"> NO!  	 c_dt2_6列源备映射错误，源端为datetime2 None位	期望更改为text	实际备端为datetime2 None位</t>
        </is>
      </c>
    </row>
    <row r="1225">
      <c r="B1225" t="inlineStr">
        <is>
          <t>NULL</t>
        </is>
      </c>
      <c r="C1225" t="inlineStr">
        <is>
          <t>NULL</t>
        </is>
      </c>
      <c r="D1225" t="inlineStr">
        <is>
          <t>NULL</t>
        </is>
      </c>
      <c r="E1225" t="inlineStr">
        <is>
          <t>NULL</t>
        </is>
      </c>
      <c r="F1225" t="inlineStr">
        <is>
          <t>NULL</t>
        </is>
      </c>
      <c r="G1225" t="inlineStr">
        <is>
          <t>NULL</t>
        </is>
      </c>
      <c r="H1225" t="inlineStr">
        <is>
          <t>NULL</t>
        </is>
      </c>
      <c r="I1225" t="inlineStr">
        <is>
          <t>NULL</t>
        </is>
      </c>
      <c r="J1225" t="inlineStr">
        <is>
          <t>NULL</t>
        </is>
      </c>
      <c r="K1225" t="inlineStr">
        <is>
          <t xml:space="preserve"> NO!  	 c_dt2列源备映射错误，源端为datetime2 None位	期望更改为text	实际备端为datetime2 None位</t>
        </is>
      </c>
    </row>
    <row r="1226">
      <c r="A1226" t="inlineStr">
        <is>
          <t>info_time_dml_batch1_pk_drp1</t>
        </is>
      </c>
      <c r="K1226" t="inlineStr">
        <is>
          <t>[0;34m info_time_dml_batch1_pk_drp1 [0m源备字段数相同，源端字段：9 	备端字段9</t>
        </is>
      </c>
      <c r="W1226" t="inlineStr">
        <is>
          <t>YES 源备无差异</t>
        </is>
      </c>
      <c r="X1226">
        <f>A1226</f>
        <v/>
      </c>
    </row>
    <row r="1227">
      <c r="B1227" t="inlineStr">
        <is>
          <t>YES</t>
        </is>
      </c>
      <c r="C1227" t="inlineStr">
        <is>
          <t>NULL</t>
        </is>
      </c>
      <c r="D1227" t="inlineStr">
        <is>
          <t>NULL</t>
        </is>
      </c>
      <c r="E1227" t="inlineStr">
        <is>
          <t>NULL</t>
        </is>
      </c>
      <c r="F1227" t="inlineStr">
        <is>
          <t>NULL</t>
        </is>
      </c>
      <c r="G1227" t="inlineStr">
        <is>
          <t>NULL</t>
        </is>
      </c>
      <c r="H1227" t="inlineStr">
        <is>
          <t>NULL</t>
        </is>
      </c>
      <c r="I1227" t="inlineStr">
        <is>
          <t>YES!PK__info_tim__3213E83F7673C9A0</t>
        </is>
      </c>
      <c r="J1227" t="inlineStr">
        <is>
          <t>YES! 主键相关索引</t>
        </is>
      </c>
      <c r="K1227" t="inlineStr">
        <is>
          <t xml:space="preserve"> NO!  	 id列源备映射错误，源端为int None位	期望更改为text	实际备端为int None位</t>
        </is>
      </c>
    </row>
    <row r="1228">
      <c r="B1228" t="inlineStr">
        <is>
          <t>NULL</t>
        </is>
      </c>
      <c r="C1228" t="inlineStr">
        <is>
          <t>NULL</t>
        </is>
      </c>
      <c r="D1228" t="inlineStr">
        <is>
          <t>NULL</t>
        </is>
      </c>
      <c r="E1228" t="inlineStr">
        <is>
          <t>NULL</t>
        </is>
      </c>
      <c r="F1228" t="inlineStr">
        <is>
          <t>NULL</t>
        </is>
      </c>
      <c r="G1228" t="inlineStr">
        <is>
          <t>NULL</t>
        </is>
      </c>
      <c r="H1228" t="inlineStr">
        <is>
          <t>NULL</t>
        </is>
      </c>
      <c r="I1228" t="inlineStr">
        <is>
          <t>NULL</t>
        </is>
      </c>
      <c r="J1228" t="inlineStr">
        <is>
          <t>NULL</t>
        </is>
      </c>
      <c r="K1228" t="inlineStr">
        <is>
          <t xml:space="preserve"> NO!  	 c_time0列源备映射错误，源端为time None位	期望更改为text	实际备端为time None位</t>
        </is>
      </c>
    </row>
    <row r="1229">
      <c r="B1229" t="inlineStr">
        <is>
          <t>NULL</t>
        </is>
      </c>
      <c r="C1229" t="inlineStr">
        <is>
          <t>NULL</t>
        </is>
      </c>
      <c r="D1229" t="inlineStr">
        <is>
          <t>NULL</t>
        </is>
      </c>
      <c r="E1229" t="inlineStr">
        <is>
          <t>NULL</t>
        </is>
      </c>
      <c r="F1229" t="inlineStr">
        <is>
          <t>NULL</t>
        </is>
      </c>
      <c r="G1229" t="inlineStr">
        <is>
          <t>NULL</t>
        </is>
      </c>
      <c r="H1229" t="inlineStr">
        <is>
          <t>NULL</t>
        </is>
      </c>
      <c r="I1229" t="inlineStr">
        <is>
          <t>NULL</t>
        </is>
      </c>
      <c r="J1229" t="inlineStr">
        <is>
          <t>NULL</t>
        </is>
      </c>
      <c r="K1229" t="inlineStr">
        <is>
          <t xml:space="preserve"> NO!  	 c_time1列源备映射错误，源端为time None位	期望更改为text	实际备端为time None位</t>
        </is>
      </c>
    </row>
    <row r="1230">
      <c r="B1230" t="inlineStr">
        <is>
          <t>NULL</t>
        </is>
      </c>
      <c r="C1230" t="inlineStr">
        <is>
          <t>NULL</t>
        </is>
      </c>
      <c r="D1230" t="inlineStr">
        <is>
          <t>NULL</t>
        </is>
      </c>
      <c r="E1230" t="inlineStr">
        <is>
          <t>NULL</t>
        </is>
      </c>
      <c r="F1230" t="inlineStr">
        <is>
          <t>NULL</t>
        </is>
      </c>
      <c r="G1230" t="inlineStr">
        <is>
          <t>NULL</t>
        </is>
      </c>
      <c r="H1230" t="inlineStr">
        <is>
          <t>NULL</t>
        </is>
      </c>
      <c r="I1230" t="inlineStr">
        <is>
          <t>NULL</t>
        </is>
      </c>
      <c r="J1230" t="inlineStr">
        <is>
          <t>NULL</t>
        </is>
      </c>
      <c r="K1230" t="inlineStr">
        <is>
          <t xml:space="preserve"> NO!  	 c_time2列源备映射错误，源端为time None位	期望更改为text	实际备端为time None位</t>
        </is>
      </c>
    </row>
    <row r="1231">
      <c r="B1231" t="inlineStr">
        <is>
          <t>NULL</t>
        </is>
      </c>
      <c r="C1231" t="inlineStr">
        <is>
          <t>NULL</t>
        </is>
      </c>
      <c r="D1231" t="inlineStr">
        <is>
          <t>NULL</t>
        </is>
      </c>
      <c r="E1231" t="inlineStr">
        <is>
          <t>NULL</t>
        </is>
      </c>
      <c r="F1231" t="inlineStr">
        <is>
          <t>NULL</t>
        </is>
      </c>
      <c r="G1231" t="inlineStr">
        <is>
          <t>NULL</t>
        </is>
      </c>
      <c r="H1231" t="inlineStr">
        <is>
          <t>NULL</t>
        </is>
      </c>
      <c r="I1231" t="inlineStr">
        <is>
          <t>NULL</t>
        </is>
      </c>
      <c r="J1231" t="inlineStr">
        <is>
          <t>NULL</t>
        </is>
      </c>
      <c r="K1231" t="inlineStr">
        <is>
          <t xml:space="preserve"> NO!  	 c_time3列源备映射错误，源端为time None位	期望更改为text	实际备端为time None位</t>
        </is>
      </c>
    </row>
    <row r="1232">
      <c r="B1232" t="inlineStr">
        <is>
          <t>NULL</t>
        </is>
      </c>
      <c r="C1232" t="inlineStr">
        <is>
          <t>NULL</t>
        </is>
      </c>
      <c r="D1232" t="inlineStr">
        <is>
          <t>NULL</t>
        </is>
      </c>
      <c r="E1232" t="inlineStr">
        <is>
          <t>NULL</t>
        </is>
      </c>
      <c r="F1232" t="inlineStr">
        <is>
          <t>NULL</t>
        </is>
      </c>
      <c r="G1232" t="inlineStr">
        <is>
          <t>NULL</t>
        </is>
      </c>
      <c r="H1232" t="inlineStr">
        <is>
          <t>NULL</t>
        </is>
      </c>
      <c r="I1232" t="inlineStr">
        <is>
          <t>NULL</t>
        </is>
      </c>
      <c r="J1232" t="inlineStr">
        <is>
          <t>NULL</t>
        </is>
      </c>
      <c r="K1232" t="inlineStr">
        <is>
          <t xml:space="preserve"> NO!  	 c_time4列源备映射错误，源端为time None位	期望更改为text	实际备端为time None位</t>
        </is>
      </c>
    </row>
    <row r="1233">
      <c r="B1233" t="inlineStr">
        <is>
          <t>NULL</t>
        </is>
      </c>
      <c r="C1233" t="inlineStr">
        <is>
          <t>NULL</t>
        </is>
      </c>
      <c r="D1233" t="inlineStr">
        <is>
          <t>NULL</t>
        </is>
      </c>
      <c r="E1233" t="inlineStr">
        <is>
          <t>NULL</t>
        </is>
      </c>
      <c r="F1233" t="inlineStr">
        <is>
          <t>NULL</t>
        </is>
      </c>
      <c r="G1233" t="inlineStr">
        <is>
          <t>NULL</t>
        </is>
      </c>
      <c r="H1233" t="inlineStr">
        <is>
          <t>NULL</t>
        </is>
      </c>
      <c r="I1233" t="inlineStr">
        <is>
          <t>NULL</t>
        </is>
      </c>
      <c r="J1233" t="inlineStr">
        <is>
          <t>NULL</t>
        </is>
      </c>
      <c r="K1233" t="inlineStr">
        <is>
          <t xml:space="preserve"> NO!  	 c_time5列源备映射错误，源端为time None位	期望更改为text	实际备端为time None位</t>
        </is>
      </c>
    </row>
    <row r="1234">
      <c r="B1234" t="inlineStr">
        <is>
          <t>NULL</t>
        </is>
      </c>
      <c r="C1234" t="inlineStr">
        <is>
          <t>NULL</t>
        </is>
      </c>
      <c r="D1234" t="inlineStr">
        <is>
          <t>NULL</t>
        </is>
      </c>
      <c r="E1234" t="inlineStr">
        <is>
          <t>NULL</t>
        </is>
      </c>
      <c r="F1234" t="inlineStr">
        <is>
          <t>NULL</t>
        </is>
      </c>
      <c r="G1234" t="inlineStr">
        <is>
          <t>NULL</t>
        </is>
      </c>
      <c r="H1234" t="inlineStr">
        <is>
          <t>NULL</t>
        </is>
      </c>
      <c r="I1234" t="inlineStr">
        <is>
          <t>NULL</t>
        </is>
      </c>
      <c r="J1234" t="inlineStr">
        <is>
          <t>NULL</t>
        </is>
      </c>
      <c r="K1234" t="inlineStr">
        <is>
          <t xml:space="preserve"> NO!  	 c_time6列源备映射错误，源端为time None位	期望更改为text	实际备端为time None位</t>
        </is>
      </c>
    </row>
    <row r="1235">
      <c r="B1235" t="inlineStr">
        <is>
          <t>NULL</t>
        </is>
      </c>
      <c r="C1235" t="inlineStr">
        <is>
          <t>NULL</t>
        </is>
      </c>
      <c r="D1235" t="inlineStr">
        <is>
          <t>NULL</t>
        </is>
      </c>
      <c r="E1235" t="inlineStr">
        <is>
          <t>NULL</t>
        </is>
      </c>
      <c r="F1235" t="inlineStr">
        <is>
          <t>NULL</t>
        </is>
      </c>
      <c r="G1235" t="inlineStr">
        <is>
          <t>NULL</t>
        </is>
      </c>
      <c r="H1235" t="inlineStr">
        <is>
          <t>NULL</t>
        </is>
      </c>
      <c r="I1235" t="inlineStr">
        <is>
          <t>NULL</t>
        </is>
      </c>
      <c r="J1235" t="inlineStr">
        <is>
          <t>NULL</t>
        </is>
      </c>
      <c r="K1235" t="inlineStr">
        <is>
          <t xml:space="preserve"> NO!  	 c_time列源备映射错误，源端为time None位	期望更改为text	实际备端为time None位</t>
        </is>
      </c>
    </row>
    <row r="1236">
      <c r="K1236" t="inlineStr">
        <is>
          <t>~ 空表</t>
        </is>
      </c>
    </row>
    <row r="1237">
      <c r="A1237" t="inlineStr">
        <is>
          <t>info_int_dml_batch1_pk_irp2</t>
        </is>
      </c>
      <c r="K1237" t="inlineStr">
        <is>
          <t>[0;34m info_int_dml_batch1_pk_irp2 [0m源备字段数相同，源端字段：20 	备端字段20</t>
        </is>
      </c>
      <c r="W1237" s="17">
        <f>HYPERLINK("#2026041919hbase0!EB2","NO 源备存在差异，共180个")</f>
        <v/>
      </c>
      <c r="X1237">
        <f>A1237</f>
        <v/>
      </c>
    </row>
    <row r="1238">
      <c r="B1238" t="inlineStr">
        <is>
          <t>YES</t>
        </is>
      </c>
      <c r="C1238" t="inlineStr">
        <is>
          <t>NULL</t>
        </is>
      </c>
      <c r="D1238" t="inlineStr">
        <is>
          <t>NULL</t>
        </is>
      </c>
      <c r="E1238" t="inlineStr">
        <is>
          <t>NULL</t>
        </is>
      </c>
      <c r="F1238" t="inlineStr">
        <is>
          <t>NULL</t>
        </is>
      </c>
      <c r="G1238" t="inlineStr">
        <is>
          <t>NULL</t>
        </is>
      </c>
      <c r="H1238" t="inlineStr">
        <is>
          <t>NULL</t>
        </is>
      </c>
      <c r="I1238" t="inlineStr">
        <is>
          <t>YES!PK__info_int__3213E83FB78BC635</t>
        </is>
      </c>
      <c r="J1238" t="inlineStr">
        <is>
          <t>YES! 主键相关索引</t>
        </is>
      </c>
      <c r="K1238" t="inlineStr">
        <is>
          <t xml:space="preserve"> NO!  	 id列源备映射错误，源端为int None位	期望更改为text	实际备端为int None位</t>
        </is>
      </c>
    </row>
    <row r="1239">
      <c r="B1239" t="inlineStr">
        <is>
          <t>NULL</t>
        </is>
      </c>
      <c r="C1239" t="inlineStr">
        <is>
          <t>NULL</t>
        </is>
      </c>
      <c r="D1239" t="inlineStr">
        <is>
          <t>NULL</t>
        </is>
      </c>
      <c r="E1239" t="inlineStr">
        <is>
          <t>NULL</t>
        </is>
      </c>
      <c r="F1239" t="inlineStr">
        <is>
          <t>NULL</t>
        </is>
      </c>
      <c r="G1239" t="inlineStr">
        <is>
          <t>NULL</t>
        </is>
      </c>
      <c r="H1239" t="inlineStr">
        <is>
          <t>NULL</t>
        </is>
      </c>
      <c r="I1239" t="inlineStr">
        <is>
          <t>NULL</t>
        </is>
      </c>
      <c r="J1239" t="inlineStr">
        <is>
          <t>NULL</t>
        </is>
      </c>
      <c r="K1239" t="inlineStr">
        <is>
          <t xml:space="preserve"> NO!  	 c_tinyint列源备映射错误，源端为tinyint None位	期望更改为text	实际备端为tinyint None位</t>
        </is>
      </c>
    </row>
    <row r="1240">
      <c r="B1240" t="inlineStr">
        <is>
          <t>NULL</t>
        </is>
      </c>
      <c r="C1240" t="inlineStr">
        <is>
          <t>NULL</t>
        </is>
      </c>
      <c r="D1240" t="inlineStr">
        <is>
          <t>NULL</t>
        </is>
      </c>
      <c r="E1240" t="inlineStr">
        <is>
          <t>NULL</t>
        </is>
      </c>
      <c r="F1240" t="inlineStr">
        <is>
          <t>NULL</t>
        </is>
      </c>
      <c r="G1240" t="inlineStr">
        <is>
          <t>NULL</t>
        </is>
      </c>
      <c r="H1240" t="inlineStr">
        <is>
          <t>NULL</t>
        </is>
      </c>
      <c r="I1240" t="inlineStr">
        <is>
          <t>NULL</t>
        </is>
      </c>
      <c r="J1240" t="inlineStr">
        <is>
          <t>NULL</t>
        </is>
      </c>
      <c r="K1240" t="inlineStr">
        <is>
          <t xml:space="preserve"> NO!  	 c_smallint列源备映射错误，源端为smallint None位	期望更改为text	实际备端为smallint None位</t>
        </is>
      </c>
    </row>
    <row r="1241">
      <c r="B1241" t="inlineStr">
        <is>
          <t>NULL</t>
        </is>
      </c>
      <c r="C1241" t="inlineStr">
        <is>
          <t>NULL</t>
        </is>
      </c>
      <c r="D1241" t="inlineStr">
        <is>
          <t>NULL</t>
        </is>
      </c>
      <c r="E1241" t="inlineStr">
        <is>
          <t>NULL</t>
        </is>
      </c>
      <c r="F1241" t="inlineStr">
        <is>
          <t>NULL</t>
        </is>
      </c>
      <c r="G1241" t="inlineStr">
        <is>
          <t>NULL</t>
        </is>
      </c>
      <c r="H1241" t="inlineStr">
        <is>
          <t>NULL</t>
        </is>
      </c>
      <c r="I1241" t="inlineStr">
        <is>
          <t>NULL</t>
        </is>
      </c>
      <c r="J1241" t="inlineStr">
        <is>
          <t>NULL</t>
        </is>
      </c>
      <c r="K1241" t="inlineStr">
        <is>
          <t xml:space="preserve"> NO!  	 c_int列源备映射错误，源端为int None位	期望更改为text	实际备端为int None位</t>
        </is>
      </c>
    </row>
    <row r="1242">
      <c r="B1242" t="inlineStr">
        <is>
          <t>NULL</t>
        </is>
      </c>
      <c r="C1242" t="inlineStr">
        <is>
          <t>NULL</t>
        </is>
      </c>
      <c r="D1242" t="inlineStr">
        <is>
          <t>NULL</t>
        </is>
      </c>
      <c r="E1242" t="inlineStr">
        <is>
          <t>NULL</t>
        </is>
      </c>
      <c r="F1242" t="inlineStr">
        <is>
          <t>NULL</t>
        </is>
      </c>
      <c r="G1242" t="inlineStr">
        <is>
          <t>NULL</t>
        </is>
      </c>
      <c r="H1242" t="inlineStr">
        <is>
          <t>NULL</t>
        </is>
      </c>
      <c r="I1242" t="inlineStr">
        <is>
          <t>NULL</t>
        </is>
      </c>
      <c r="J1242" t="inlineStr">
        <is>
          <t>NULL</t>
        </is>
      </c>
      <c r="K1242" t="inlineStr">
        <is>
          <t xml:space="preserve"> NO!  	 c_bigint列源备映射错误，源端为bigint None位	期望更改为text	实际备端为bigint None位</t>
        </is>
      </c>
    </row>
    <row r="1243">
      <c r="B1243" t="inlineStr">
        <is>
          <t>NULL</t>
        </is>
      </c>
      <c r="C1243" t="inlineStr">
        <is>
          <t>NULL</t>
        </is>
      </c>
      <c r="D1243" t="inlineStr">
        <is>
          <t>NULL</t>
        </is>
      </c>
      <c r="E1243" t="inlineStr">
        <is>
          <t>NULL</t>
        </is>
      </c>
      <c r="F1243" t="inlineStr">
        <is>
          <t>NULL</t>
        </is>
      </c>
      <c r="G1243" t="inlineStr">
        <is>
          <t>NULL</t>
        </is>
      </c>
      <c r="H1243" t="inlineStr">
        <is>
          <t>NULL</t>
        </is>
      </c>
      <c r="I1243" t="inlineStr">
        <is>
          <t>NULL</t>
        </is>
      </c>
      <c r="J1243" t="inlineStr">
        <is>
          <t>NULL</t>
        </is>
      </c>
      <c r="K1243" t="inlineStr">
        <is>
          <t xml:space="preserve"> NO!  	 c_decimal列源备映射错误，源端为decimal None位	期望更改为text	实际备端为decimal None位</t>
        </is>
      </c>
    </row>
    <row r="1244">
      <c r="B1244" t="inlineStr">
        <is>
          <t>NULL</t>
        </is>
      </c>
      <c r="C1244" t="inlineStr">
        <is>
          <t>NULL</t>
        </is>
      </c>
      <c r="D1244" t="inlineStr">
        <is>
          <t>NULL</t>
        </is>
      </c>
      <c r="E1244" t="inlineStr">
        <is>
          <t>NULL</t>
        </is>
      </c>
      <c r="F1244" t="inlineStr">
        <is>
          <t>NULL</t>
        </is>
      </c>
      <c r="G1244" t="inlineStr">
        <is>
          <t>NULL</t>
        </is>
      </c>
      <c r="H1244" t="inlineStr">
        <is>
          <t>NULL</t>
        </is>
      </c>
      <c r="I1244" t="inlineStr">
        <is>
          <t>NULL</t>
        </is>
      </c>
      <c r="J1244" t="inlineStr">
        <is>
          <t>NULL</t>
        </is>
      </c>
      <c r="K1244" t="inlineStr">
        <is>
          <t xml:space="preserve"> NO!  	 c_decimal38列源备映射错误，源端为decimal None位	期望更改为text	实际备端为decimal None位</t>
        </is>
      </c>
    </row>
    <row r="1245">
      <c r="B1245" t="inlineStr">
        <is>
          <t>NULL</t>
        </is>
      </c>
      <c r="C1245" t="inlineStr">
        <is>
          <t>NULL</t>
        </is>
      </c>
      <c r="D1245" t="inlineStr">
        <is>
          <t>NULL</t>
        </is>
      </c>
      <c r="E1245" t="inlineStr">
        <is>
          <t>NULL</t>
        </is>
      </c>
      <c r="F1245" t="inlineStr">
        <is>
          <t>NULL</t>
        </is>
      </c>
      <c r="G1245" t="inlineStr">
        <is>
          <t>NULL</t>
        </is>
      </c>
      <c r="H1245" t="inlineStr">
        <is>
          <t>NULL</t>
        </is>
      </c>
      <c r="I1245" t="inlineStr">
        <is>
          <t>NULL</t>
        </is>
      </c>
      <c r="J1245" t="inlineStr">
        <is>
          <t>NULL</t>
        </is>
      </c>
      <c r="K1245" t="inlineStr">
        <is>
          <t xml:space="preserve"> NO!  	 c_decimal38_38列源备映射错误，源端为decimal None位	期望更改为text	实际备端为decimal None位</t>
        </is>
      </c>
    </row>
    <row r="1246">
      <c r="B1246" t="inlineStr">
        <is>
          <t>NULL</t>
        </is>
      </c>
      <c r="C1246" t="inlineStr">
        <is>
          <t>NULL</t>
        </is>
      </c>
      <c r="D1246" t="inlineStr">
        <is>
          <t>NULL</t>
        </is>
      </c>
      <c r="E1246" t="inlineStr">
        <is>
          <t>NULL</t>
        </is>
      </c>
      <c r="F1246" t="inlineStr">
        <is>
          <t>NULL</t>
        </is>
      </c>
      <c r="G1246" t="inlineStr">
        <is>
          <t>NULL</t>
        </is>
      </c>
      <c r="H1246" t="inlineStr">
        <is>
          <t>NULL</t>
        </is>
      </c>
      <c r="I1246" t="inlineStr">
        <is>
          <t>NULL</t>
        </is>
      </c>
      <c r="J1246" t="inlineStr">
        <is>
          <t>NULL</t>
        </is>
      </c>
      <c r="K1246" t="inlineStr">
        <is>
          <t xml:space="preserve"> NO!  	 c_decimal38_10列源备映射错误，源端为decimal None位	期望更改为text	实际备端为decimal None位</t>
        </is>
      </c>
    </row>
    <row r="1247">
      <c r="B1247" t="inlineStr">
        <is>
          <t>NULL</t>
        </is>
      </c>
      <c r="C1247" t="inlineStr">
        <is>
          <t>NULL</t>
        </is>
      </c>
      <c r="D1247" t="inlineStr">
        <is>
          <t>NULL</t>
        </is>
      </c>
      <c r="E1247" t="inlineStr">
        <is>
          <t>NULL</t>
        </is>
      </c>
      <c r="F1247" t="inlineStr">
        <is>
          <t>NULL</t>
        </is>
      </c>
      <c r="G1247" t="inlineStr">
        <is>
          <t>NULL</t>
        </is>
      </c>
      <c r="H1247" t="inlineStr">
        <is>
          <t>NULL</t>
        </is>
      </c>
      <c r="I1247" t="inlineStr">
        <is>
          <t>NULL</t>
        </is>
      </c>
      <c r="J1247" t="inlineStr">
        <is>
          <t>NULL</t>
        </is>
      </c>
      <c r="K1247" t="inlineStr">
        <is>
          <t xml:space="preserve"> NO!  	 c_decimal19_4列源备映射错误，源端为decimal None位	期望更改为text	实际备端为decimal None位</t>
        </is>
      </c>
    </row>
    <row r="1248">
      <c r="B1248" t="inlineStr">
        <is>
          <t>NULL</t>
        </is>
      </c>
      <c r="C1248" t="inlineStr">
        <is>
          <t>NULL</t>
        </is>
      </c>
      <c r="D1248" t="inlineStr">
        <is>
          <t>NULL</t>
        </is>
      </c>
      <c r="E1248" t="inlineStr">
        <is>
          <t>NULL</t>
        </is>
      </c>
      <c r="F1248" t="inlineStr">
        <is>
          <t>NULL</t>
        </is>
      </c>
      <c r="G1248" t="inlineStr">
        <is>
          <t>NULL</t>
        </is>
      </c>
      <c r="H1248" t="inlineStr">
        <is>
          <t>NULL</t>
        </is>
      </c>
      <c r="I1248" t="inlineStr">
        <is>
          <t>NULL</t>
        </is>
      </c>
      <c r="J1248" t="inlineStr">
        <is>
          <t>NULL</t>
        </is>
      </c>
      <c r="K1248" t="inlineStr">
        <is>
          <t xml:space="preserve"> NO!  	 c_numeric列源备映射错误，源端为numeric None位	期望更改为text	实际备端为numeric None位</t>
        </is>
      </c>
    </row>
    <row r="1249">
      <c r="B1249" t="inlineStr">
        <is>
          <t>NULL</t>
        </is>
      </c>
      <c r="C1249" t="inlineStr">
        <is>
          <t>NULL</t>
        </is>
      </c>
      <c r="D1249" t="inlineStr">
        <is>
          <t>NULL</t>
        </is>
      </c>
      <c r="E1249" t="inlineStr">
        <is>
          <t>NULL</t>
        </is>
      </c>
      <c r="F1249" t="inlineStr">
        <is>
          <t>NULL</t>
        </is>
      </c>
      <c r="G1249" t="inlineStr">
        <is>
          <t>NULL</t>
        </is>
      </c>
      <c r="H1249" t="inlineStr">
        <is>
          <t>NULL</t>
        </is>
      </c>
      <c r="I1249" t="inlineStr">
        <is>
          <t>NULL</t>
        </is>
      </c>
      <c r="J1249" t="inlineStr">
        <is>
          <t>NULL</t>
        </is>
      </c>
      <c r="K1249" t="inlineStr">
        <is>
          <t xml:space="preserve"> NO!  	 c_numeric38列源备映射错误，源端为numeric None位	期望更改为text	实际备端为numeric None位</t>
        </is>
      </c>
    </row>
    <row r="1250">
      <c r="B1250" t="inlineStr">
        <is>
          <t>NULL</t>
        </is>
      </c>
      <c r="C1250" t="inlineStr">
        <is>
          <t>NULL</t>
        </is>
      </c>
      <c r="D1250" t="inlineStr">
        <is>
          <t>NULL</t>
        </is>
      </c>
      <c r="E1250" t="inlineStr">
        <is>
          <t>NULL</t>
        </is>
      </c>
      <c r="F1250" t="inlineStr">
        <is>
          <t>NULL</t>
        </is>
      </c>
      <c r="G1250" t="inlineStr">
        <is>
          <t>NULL</t>
        </is>
      </c>
      <c r="H1250" t="inlineStr">
        <is>
          <t>NULL</t>
        </is>
      </c>
      <c r="I1250" t="inlineStr">
        <is>
          <t>NULL</t>
        </is>
      </c>
      <c r="J1250" t="inlineStr">
        <is>
          <t>NULL</t>
        </is>
      </c>
      <c r="K1250" t="inlineStr">
        <is>
          <t xml:space="preserve"> NO!  	 c_numeric38_38列源备映射错误，源端为numeric None位	期望更改为text	实际备端为numeric None位</t>
        </is>
      </c>
    </row>
    <row r="1251">
      <c r="B1251" t="inlineStr">
        <is>
          <t>NULL</t>
        </is>
      </c>
      <c r="C1251" t="inlineStr">
        <is>
          <t>NULL</t>
        </is>
      </c>
      <c r="D1251" t="inlineStr">
        <is>
          <t>NULL</t>
        </is>
      </c>
      <c r="E1251" t="inlineStr">
        <is>
          <t>NULL</t>
        </is>
      </c>
      <c r="F1251" t="inlineStr">
        <is>
          <t>NULL</t>
        </is>
      </c>
      <c r="G1251" t="inlineStr">
        <is>
          <t>NULL</t>
        </is>
      </c>
      <c r="H1251" t="inlineStr">
        <is>
          <t>NULL</t>
        </is>
      </c>
      <c r="I1251" t="inlineStr">
        <is>
          <t>NULL</t>
        </is>
      </c>
      <c r="J1251" t="inlineStr">
        <is>
          <t>NULL</t>
        </is>
      </c>
      <c r="K1251" t="inlineStr">
        <is>
          <t xml:space="preserve"> NO!  	 c_numeric38_10列源备映射错误，源端为numeric None位	期望更改为text	实际备端为numeric None位</t>
        </is>
      </c>
    </row>
    <row r="1252">
      <c r="B1252" t="inlineStr">
        <is>
          <t>NULL</t>
        </is>
      </c>
      <c r="C1252" t="inlineStr">
        <is>
          <t>NULL</t>
        </is>
      </c>
      <c r="D1252" t="inlineStr">
        <is>
          <t>NULL</t>
        </is>
      </c>
      <c r="E1252" t="inlineStr">
        <is>
          <t>NULL</t>
        </is>
      </c>
      <c r="F1252" t="inlineStr">
        <is>
          <t>NULL</t>
        </is>
      </c>
      <c r="G1252" t="inlineStr">
        <is>
          <t>NULL</t>
        </is>
      </c>
      <c r="H1252" t="inlineStr">
        <is>
          <t>NULL</t>
        </is>
      </c>
      <c r="I1252" t="inlineStr">
        <is>
          <t>NULL</t>
        </is>
      </c>
      <c r="J1252" t="inlineStr">
        <is>
          <t>NULL</t>
        </is>
      </c>
      <c r="K1252" t="inlineStr">
        <is>
          <t xml:space="preserve"> NO!  	 c_numeric18_2列源备映射错误，源端为numeric None位	期望更改为text	实际备端为numeric None位</t>
        </is>
      </c>
    </row>
    <row r="1253">
      <c r="B1253" t="inlineStr">
        <is>
          <t>NULL</t>
        </is>
      </c>
      <c r="C1253" t="inlineStr">
        <is>
          <t>NULL</t>
        </is>
      </c>
      <c r="D1253" t="inlineStr">
        <is>
          <t>NULL</t>
        </is>
      </c>
      <c r="E1253" t="inlineStr">
        <is>
          <t>NULL</t>
        </is>
      </c>
      <c r="F1253" t="inlineStr">
        <is>
          <t>NULL</t>
        </is>
      </c>
      <c r="G1253" t="inlineStr">
        <is>
          <t>NULL</t>
        </is>
      </c>
      <c r="H1253" t="inlineStr">
        <is>
          <t>NULL</t>
        </is>
      </c>
      <c r="I1253" t="inlineStr">
        <is>
          <t>NULL</t>
        </is>
      </c>
      <c r="J1253" t="inlineStr">
        <is>
          <t>NULL</t>
        </is>
      </c>
      <c r="K1253" t="inlineStr">
        <is>
          <t xml:space="preserve"> NO!  	 c_float列源备映射错误，源端为float None位	期望更改为text	实际备端为float None位</t>
        </is>
      </c>
    </row>
    <row r="1254">
      <c r="B1254" t="inlineStr">
        <is>
          <t>NULL</t>
        </is>
      </c>
      <c r="C1254" t="inlineStr">
        <is>
          <t>NULL</t>
        </is>
      </c>
      <c r="D1254" t="inlineStr">
        <is>
          <t>NULL</t>
        </is>
      </c>
      <c r="E1254" t="inlineStr">
        <is>
          <t>NULL</t>
        </is>
      </c>
      <c r="F1254" t="inlineStr">
        <is>
          <t>NULL</t>
        </is>
      </c>
      <c r="G1254" t="inlineStr">
        <is>
          <t>NULL</t>
        </is>
      </c>
      <c r="H1254" t="inlineStr">
        <is>
          <t>NULL</t>
        </is>
      </c>
      <c r="I1254" t="inlineStr">
        <is>
          <t>NULL</t>
        </is>
      </c>
      <c r="J1254" t="inlineStr">
        <is>
          <t>NULL</t>
        </is>
      </c>
      <c r="K1254" t="inlineStr">
        <is>
          <t xml:space="preserve"> NO!  	 c_real列源备映射错误，源端为real None位	期望更改为text	实际备端为real None位</t>
        </is>
      </c>
    </row>
    <row r="1255">
      <c r="B1255" t="inlineStr">
        <is>
          <t>NULL</t>
        </is>
      </c>
      <c r="C1255" t="inlineStr">
        <is>
          <t>NULL</t>
        </is>
      </c>
      <c r="D1255" t="inlineStr">
        <is>
          <t>NULL</t>
        </is>
      </c>
      <c r="E1255" t="inlineStr">
        <is>
          <t>NULL</t>
        </is>
      </c>
      <c r="F1255" t="inlineStr">
        <is>
          <t>NULL</t>
        </is>
      </c>
      <c r="G1255" t="inlineStr">
        <is>
          <t>NULL</t>
        </is>
      </c>
      <c r="H1255" t="inlineStr">
        <is>
          <t>NULL</t>
        </is>
      </c>
      <c r="I1255" t="inlineStr">
        <is>
          <t>NULL</t>
        </is>
      </c>
      <c r="J1255" t="inlineStr">
        <is>
          <t>NULL</t>
        </is>
      </c>
      <c r="K1255" t="inlineStr">
        <is>
          <t xml:space="preserve"> NO!  	 c_money列源备映射错误，源端为money None位	期望更改为text	实际备端为money None位</t>
        </is>
      </c>
    </row>
    <row r="1256">
      <c r="B1256" t="inlineStr">
        <is>
          <t>NULL</t>
        </is>
      </c>
      <c r="C1256" t="inlineStr">
        <is>
          <t>NULL</t>
        </is>
      </c>
      <c r="D1256" t="inlineStr">
        <is>
          <t>NULL</t>
        </is>
      </c>
      <c r="E1256" t="inlineStr">
        <is>
          <t>NULL</t>
        </is>
      </c>
      <c r="F1256" t="inlineStr">
        <is>
          <t>NULL</t>
        </is>
      </c>
      <c r="G1256" t="inlineStr">
        <is>
          <t>NULL</t>
        </is>
      </c>
      <c r="H1256" t="inlineStr">
        <is>
          <t>NULL</t>
        </is>
      </c>
      <c r="I1256" t="inlineStr">
        <is>
          <t>NULL</t>
        </is>
      </c>
      <c r="J1256" t="inlineStr">
        <is>
          <t>NULL</t>
        </is>
      </c>
      <c r="K1256" t="inlineStr">
        <is>
          <t xml:space="preserve"> NO!  	 c_smallmoney列源备映射错误，源端为smallmoney None位	期望更改为text	实际备端为smallmoney None位</t>
        </is>
      </c>
    </row>
    <row r="1257">
      <c r="B1257" t="inlineStr">
        <is>
          <t>NULL</t>
        </is>
      </c>
      <c r="C1257" t="inlineStr">
        <is>
          <t>NULL</t>
        </is>
      </c>
      <c r="D1257" t="inlineStr">
        <is>
          <t>NULL</t>
        </is>
      </c>
      <c r="E1257" t="inlineStr">
        <is>
          <t>NULL</t>
        </is>
      </c>
      <c r="F1257" t="inlineStr">
        <is>
          <t>NULL</t>
        </is>
      </c>
      <c r="G1257" t="inlineStr">
        <is>
          <t>NULL</t>
        </is>
      </c>
      <c r="H1257" t="inlineStr">
        <is>
          <t>NULL</t>
        </is>
      </c>
      <c r="I1257" t="inlineStr">
        <is>
          <t>NULL</t>
        </is>
      </c>
      <c r="J1257" t="inlineStr">
        <is>
          <t>NULL</t>
        </is>
      </c>
      <c r="K1257" t="inlineStr">
        <is>
          <t xml:space="preserve"> NO!  	 c_bit列源备映射错误，源端为bit None位	期望更改为text	实际备端为bit None位</t>
        </is>
      </c>
    </row>
    <row r="1258">
      <c r="A1258" t="inlineStr">
        <is>
          <t>info_varchar_dml_single_pk_urp</t>
        </is>
      </c>
      <c r="K1258" t="inlineStr">
        <is>
          <t>[0;34m info_varchar_dml_single_pk_urp [0m源备字段数相同，源端字段：4 	备端字段4</t>
        </is>
      </c>
      <c r="W1258" t="inlineStr">
        <is>
          <t>YES 源备无差异</t>
        </is>
      </c>
      <c r="X1258">
        <f>A1258</f>
        <v/>
      </c>
    </row>
    <row r="1259">
      <c r="B1259" t="inlineStr">
        <is>
          <t>YES</t>
        </is>
      </c>
      <c r="C1259" t="inlineStr">
        <is>
          <t>NULL</t>
        </is>
      </c>
      <c r="D1259" t="inlineStr">
        <is>
          <t>NULL</t>
        </is>
      </c>
      <c r="E1259" t="inlineStr">
        <is>
          <t>NULL</t>
        </is>
      </c>
      <c r="F1259" t="inlineStr">
        <is>
          <t>NULL</t>
        </is>
      </c>
      <c r="G1259" t="inlineStr">
        <is>
          <t>NULL</t>
        </is>
      </c>
      <c r="H1259" t="inlineStr">
        <is>
          <t>NULL</t>
        </is>
      </c>
      <c r="I1259" t="inlineStr">
        <is>
          <t>YES!PK__info_var__3213E83FE921C7C3</t>
        </is>
      </c>
      <c r="J1259" t="inlineStr">
        <is>
          <t>YES! 主键相关索引</t>
        </is>
      </c>
      <c r="K1259" t="inlineStr">
        <is>
          <t xml:space="preserve"> NO!  	 id列源备映射错误，源端为int None位	期望更改为text	实际备端为int None位</t>
        </is>
      </c>
    </row>
    <row r="1260">
      <c r="B1260" t="inlineStr">
        <is>
          <t>NULL</t>
        </is>
      </c>
      <c r="C1260" t="inlineStr">
        <is>
          <t>NULL</t>
        </is>
      </c>
      <c r="D1260" t="inlineStr">
        <is>
          <t>NULL</t>
        </is>
      </c>
      <c r="E1260" t="inlineStr">
        <is>
          <t>NULL</t>
        </is>
      </c>
      <c r="F1260" t="inlineStr">
        <is>
          <t>NULL</t>
        </is>
      </c>
      <c r="G1260" t="inlineStr">
        <is>
          <t>NULL</t>
        </is>
      </c>
      <c r="H1260" t="inlineStr">
        <is>
          <t>NULL</t>
        </is>
      </c>
      <c r="I1260" t="inlineStr">
        <is>
          <t>NULL</t>
        </is>
      </c>
      <c r="J1260" t="inlineStr">
        <is>
          <t>NULL</t>
        </is>
      </c>
      <c r="K1260" t="inlineStr">
        <is>
          <t xml:space="preserve"> NO!  	 c_varchar列源备映射错误，源端为varchar 1位	期望更改为text	实际备端为varchar 1位</t>
        </is>
      </c>
    </row>
    <row r="1261">
      <c r="B1261" t="inlineStr">
        <is>
          <t>NULL</t>
        </is>
      </c>
      <c r="C1261" t="inlineStr">
        <is>
          <t>NULL</t>
        </is>
      </c>
      <c r="D1261" t="inlineStr">
        <is>
          <t>NULL</t>
        </is>
      </c>
      <c r="E1261" t="inlineStr">
        <is>
          <t>NULL</t>
        </is>
      </c>
      <c r="F1261" t="inlineStr">
        <is>
          <t>NULL</t>
        </is>
      </c>
      <c r="G1261" t="inlineStr">
        <is>
          <t>NULL</t>
        </is>
      </c>
      <c r="H1261" t="inlineStr">
        <is>
          <t>NULL</t>
        </is>
      </c>
      <c r="I1261" t="inlineStr">
        <is>
          <t>NULL</t>
        </is>
      </c>
      <c r="J1261" t="inlineStr">
        <is>
          <t>NULL</t>
        </is>
      </c>
      <c r="K1261" t="inlineStr">
        <is>
          <t xml:space="preserve"> NO!  	 c_varchar50列源备映射错误，源端为varchar 50位	期望更改为text	实际备端为varchar 50位</t>
        </is>
      </c>
    </row>
    <row r="1262">
      <c r="B1262" t="inlineStr">
        <is>
          <t>NULL</t>
        </is>
      </c>
      <c r="C1262" t="inlineStr">
        <is>
          <t>NULL</t>
        </is>
      </c>
      <c r="D1262" t="inlineStr">
        <is>
          <t>NULL</t>
        </is>
      </c>
      <c r="E1262" t="inlineStr">
        <is>
          <t>NULL</t>
        </is>
      </c>
      <c r="F1262" t="inlineStr">
        <is>
          <t>NULL</t>
        </is>
      </c>
      <c r="G1262" t="inlineStr">
        <is>
          <t>NULL</t>
        </is>
      </c>
      <c r="H1262" t="inlineStr">
        <is>
          <t>NULL</t>
        </is>
      </c>
      <c r="I1262" t="inlineStr">
        <is>
          <t>NULL</t>
        </is>
      </c>
      <c r="J1262" t="inlineStr">
        <is>
          <t>NULL</t>
        </is>
      </c>
      <c r="K1262" t="inlineStr">
        <is>
          <t xml:space="preserve"> NO!  	 c_varchar200列源备映射错误，源端为varchar 200位	期望更改为text	实际备端为varchar 200位</t>
        </is>
      </c>
    </row>
    <row r="1263">
      <c r="A1263" t="inlineStr">
        <is>
          <t>info_uniqueidentifier_dml_single_pk</t>
        </is>
      </c>
      <c r="K1263" t="inlineStr">
        <is>
          <t>[0;34m info_uniqueidentifier_dml_single_pk [0m源备字段数相同，源端字段：2 	备端字段2</t>
        </is>
      </c>
      <c r="W1263" t="inlineStr">
        <is>
          <t>YES 源备无差异</t>
        </is>
      </c>
      <c r="X1263">
        <f>A1263</f>
        <v/>
      </c>
    </row>
    <row r="1264">
      <c r="B1264" t="inlineStr">
        <is>
          <t>YES</t>
        </is>
      </c>
      <c r="C1264" t="inlineStr">
        <is>
          <t>NULL</t>
        </is>
      </c>
      <c r="D1264" t="inlineStr">
        <is>
          <t>NULL</t>
        </is>
      </c>
      <c r="E1264" t="inlineStr">
        <is>
          <t>NULL</t>
        </is>
      </c>
      <c r="F1264" t="inlineStr">
        <is>
          <t>NULL</t>
        </is>
      </c>
      <c r="G1264" t="inlineStr">
        <is>
          <t>NULL</t>
        </is>
      </c>
      <c r="H1264" t="inlineStr">
        <is>
          <t>NULL</t>
        </is>
      </c>
      <c r="I1264" t="inlineStr">
        <is>
          <t>YES!PK__info_uni__3213E83F55362878</t>
        </is>
      </c>
      <c r="J1264" t="inlineStr">
        <is>
          <t>YES! 主键相关索引</t>
        </is>
      </c>
      <c r="K1264" t="inlineStr">
        <is>
          <t xml:space="preserve"> NO!  	 id列源备映射错误，源端为int None位	期望更改为text	实际备端为int None位</t>
        </is>
      </c>
    </row>
    <row r="1265">
      <c r="B1265" t="inlineStr">
        <is>
          <t>NULL</t>
        </is>
      </c>
      <c r="C1265" t="inlineStr">
        <is>
          <t>NULL</t>
        </is>
      </c>
      <c r="D1265" t="inlineStr">
        <is>
          <t>NULL</t>
        </is>
      </c>
      <c r="E1265" t="inlineStr">
        <is>
          <t>NULL</t>
        </is>
      </c>
      <c r="F1265" t="inlineStr">
        <is>
          <t>NULL</t>
        </is>
      </c>
      <c r="G1265" t="inlineStr">
        <is>
          <t>NULL</t>
        </is>
      </c>
      <c r="H1265" t="inlineStr">
        <is>
          <t>NULL</t>
        </is>
      </c>
      <c r="I1265" t="inlineStr">
        <is>
          <t>NULL</t>
        </is>
      </c>
      <c r="J1265" t="inlineStr">
        <is>
          <t>NULL</t>
        </is>
      </c>
      <c r="K1265" t="inlineStr">
        <is>
          <t xml:space="preserve"> NO!  	 c_uniqueidentifier列源备映射错误，源端为uniqueidentifier None位	期望更改为text	实际备端为uniqueidentifier None位</t>
        </is>
      </c>
    </row>
    <row r="1266">
      <c r="A1266" t="inlineStr">
        <is>
          <t>info_geography_dml_single_pk_drp</t>
        </is>
      </c>
      <c r="K1266" t="inlineStr">
        <is>
          <t>[0;34m info_geography_dml_single_pk_drp [0m源备字段数相同，源端字段：2 	备端字段2</t>
        </is>
      </c>
      <c r="W1266" s="17">
        <f>HYPERLINK("#2026041919hbase0!EC2","NO 源备存在差异，共2个")</f>
        <v/>
      </c>
      <c r="X1266">
        <f>A1266</f>
        <v/>
      </c>
    </row>
    <row r="1267">
      <c r="B1267" t="inlineStr">
        <is>
          <t>YES</t>
        </is>
      </c>
      <c r="C1267" t="inlineStr">
        <is>
          <t>NULL</t>
        </is>
      </c>
      <c r="D1267" t="inlineStr">
        <is>
          <t>NULL</t>
        </is>
      </c>
      <c r="E1267" t="inlineStr">
        <is>
          <t>NULL</t>
        </is>
      </c>
      <c r="F1267" t="inlineStr">
        <is>
          <t>NULL</t>
        </is>
      </c>
      <c r="G1267" t="inlineStr">
        <is>
          <t>NULL</t>
        </is>
      </c>
      <c r="H1267" t="inlineStr">
        <is>
          <t>NULL</t>
        </is>
      </c>
      <c r="I1267" t="inlineStr">
        <is>
          <t>YES!PK__info_geo__3213E83F64C7416D</t>
        </is>
      </c>
      <c r="J1267" t="inlineStr">
        <is>
          <t>YES! 主键相关索引</t>
        </is>
      </c>
      <c r="K1267" t="inlineStr">
        <is>
          <t xml:space="preserve"> NO!  	 id列源备映射错误，源端为int None位	期望更改为text	实际备端为int None位</t>
        </is>
      </c>
    </row>
    <row r="1268">
      <c r="B1268" t="inlineStr">
        <is>
          <t>NULL</t>
        </is>
      </c>
      <c r="C1268" t="inlineStr">
        <is>
          <t>NULL</t>
        </is>
      </c>
      <c r="D1268" t="inlineStr">
        <is>
          <t>NULL</t>
        </is>
      </c>
      <c r="E1268" t="inlineStr">
        <is>
          <t>NULL</t>
        </is>
      </c>
      <c r="F1268" t="inlineStr">
        <is>
          <t>NULL</t>
        </is>
      </c>
      <c r="G1268" t="inlineStr">
        <is>
          <t>NULL</t>
        </is>
      </c>
      <c r="H1268" t="inlineStr">
        <is>
          <t>NULL</t>
        </is>
      </c>
      <c r="I1268" t="inlineStr">
        <is>
          <t>NULL</t>
        </is>
      </c>
      <c r="J1268" t="inlineStr">
        <is>
          <t>NULL</t>
        </is>
      </c>
      <c r="K1268" t="inlineStr">
        <is>
          <t xml:space="preserve"> NO!  	 c_geography列源备映射错误，源端为geography -1位	期望更改为text	实际备端为geography -1位</t>
        </is>
      </c>
    </row>
    <row r="1269">
      <c r="A1269" t="inlineStr">
        <is>
          <t>info_varchar_dml_single_pk_drp</t>
        </is>
      </c>
      <c r="K1269" t="inlineStr">
        <is>
          <t>[0;34m info_varchar_dml_single_pk_drp [0m源备字段数相同，源端字段：4 	备端字段4</t>
        </is>
      </c>
      <c r="W1269" t="inlineStr">
        <is>
          <t>YES 源备无差异</t>
        </is>
      </c>
      <c r="X1269">
        <f>A1269</f>
        <v/>
      </c>
    </row>
    <row r="1270">
      <c r="B1270" t="inlineStr">
        <is>
          <t>YES</t>
        </is>
      </c>
      <c r="C1270" t="inlineStr">
        <is>
          <t>NULL</t>
        </is>
      </c>
      <c r="D1270" t="inlineStr">
        <is>
          <t>NULL</t>
        </is>
      </c>
      <c r="E1270" t="inlineStr">
        <is>
          <t>NULL</t>
        </is>
      </c>
      <c r="F1270" t="inlineStr">
        <is>
          <t>NULL</t>
        </is>
      </c>
      <c r="G1270" t="inlineStr">
        <is>
          <t>NULL</t>
        </is>
      </c>
      <c r="H1270" t="inlineStr">
        <is>
          <t>NULL</t>
        </is>
      </c>
      <c r="I1270" t="inlineStr">
        <is>
          <t>YES!PK__info_var__3213E83F623193E8</t>
        </is>
      </c>
      <c r="J1270" t="inlineStr">
        <is>
          <t>YES! 主键相关索引</t>
        </is>
      </c>
      <c r="K1270" t="inlineStr">
        <is>
          <t xml:space="preserve"> NO!  	 id列源备映射错误，源端为int None位	期望更改为text	实际备端为int None位</t>
        </is>
      </c>
    </row>
    <row r="1271">
      <c r="B1271" t="inlineStr">
        <is>
          <t>NULL</t>
        </is>
      </c>
      <c r="C1271" t="inlineStr">
        <is>
          <t>NULL</t>
        </is>
      </c>
      <c r="D1271" t="inlineStr">
        <is>
          <t>NULL</t>
        </is>
      </c>
      <c r="E1271" t="inlineStr">
        <is>
          <t>NULL</t>
        </is>
      </c>
      <c r="F1271" t="inlineStr">
        <is>
          <t>NULL</t>
        </is>
      </c>
      <c r="G1271" t="inlineStr">
        <is>
          <t>NULL</t>
        </is>
      </c>
      <c r="H1271" t="inlineStr">
        <is>
          <t>NULL</t>
        </is>
      </c>
      <c r="I1271" t="inlineStr">
        <is>
          <t>NULL</t>
        </is>
      </c>
      <c r="J1271" t="inlineStr">
        <is>
          <t>NULL</t>
        </is>
      </c>
      <c r="K1271" t="inlineStr">
        <is>
          <t xml:space="preserve"> NO!  	 c_varchar列源备映射错误，源端为varchar 1位	期望更改为text	实际备端为varchar 1位</t>
        </is>
      </c>
    </row>
    <row r="1272">
      <c r="B1272" t="inlineStr">
        <is>
          <t>NULL</t>
        </is>
      </c>
      <c r="C1272" t="inlineStr">
        <is>
          <t>NULL</t>
        </is>
      </c>
      <c r="D1272" t="inlineStr">
        <is>
          <t>NULL</t>
        </is>
      </c>
      <c r="E1272" t="inlineStr">
        <is>
          <t>NULL</t>
        </is>
      </c>
      <c r="F1272" t="inlineStr">
        <is>
          <t>NULL</t>
        </is>
      </c>
      <c r="G1272" t="inlineStr">
        <is>
          <t>NULL</t>
        </is>
      </c>
      <c r="H1272" t="inlineStr">
        <is>
          <t>NULL</t>
        </is>
      </c>
      <c r="I1272" t="inlineStr">
        <is>
          <t>NULL</t>
        </is>
      </c>
      <c r="J1272" t="inlineStr">
        <is>
          <t>NULL</t>
        </is>
      </c>
      <c r="K1272" t="inlineStr">
        <is>
          <t xml:space="preserve"> NO!  	 c_varchar50列源备映射错误，源端为varchar 50位	期望更改为text	实际备端为varchar 50位</t>
        </is>
      </c>
    </row>
    <row r="1273">
      <c r="B1273" t="inlineStr">
        <is>
          <t>NULL</t>
        </is>
      </c>
      <c r="C1273" t="inlineStr">
        <is>
          <t>NULL</t>
        </is>
      </c>
      <c r="D1273" t="inlineStr">
        <is>
          <t>NULL</t>
        </is>
      </c>
      <c r="E1273" t="inlineStr">
        <is>
          <t>NULL</t>
        </is>
      </c>
      <c r="F1273" t="inlineStr">
        <is>
          <t>NULL</t>
        </is>
      </c>
      <c r="G1273" t="inlineStr">
        <is>
          <t>NULL</t>
        </is>
      </c>
      <c r="H1273" t="inlineStr">
        <is>
          <t>NULL</t>
        </is>
      </c>
      <c r="I1273" t="inlineStr">
        <is>
          <t>NULL</t>
        </is>
      </c>
      <c r="J1273" t="inlineStr">
        <is>
          <t>NULL</t>
        </is>
      </c>
      <c r="K1273" t="inlineStr">
        <is>
          <t xml:space="preserve"> NO!  	 c_varchar200列源备映射错误，源端为varchar 200位	期望更改为text	实际备端为varchar 200位</t>
        </is>
      </c>
    </row>
    <row r="1274">
      <c r="A1274" t="inlineStr">
        <is>
          <t>info_datetime2_dml_single_pk</t>
        </is>
      </c>
      <c r="K1274" t="inlineStr">
        <is>
          <t>[0;34m info_datetime2_dml_single_pk [0m源备字段数相同，源端字段：9 	备端字段9</t>
        </is>
      </c>
      <c r="W1274" s="17">
        <f>HYPERLINK("#2026041919hbase0!ED2","NO 源备存在差异，共1个")</f>
        <v/>
      </c>
      <c r="X1274">
        <f>A1274</f>
        <v/>
      </c>
    </row>
    <row r="1275">
      <c r="B1275" t="inlineStr">
        <is>
          <t>YES</t>
        </is>
      </c>
      <c r="C1275" t="inlineStr">
        <is>
          <t>NULL</t>
        </is>
      </c>
      <c r="D1275" t="inlineStr">
        <is>
          <t>NULL</t>
        </is>
      </c>
      <c r="E1275" t="inlineStr">
        <is>
          <t>NULL</t>
        </is>
      </c>
      <c r="F1275" t="inlineStr">
        <is>
          <t>NULL</t>
        </is>
      </c>
      <c r="G1275" t="inlineStr">
        <is>
          <t>NULL</t>
        </is>
      </c>
      <c r="H1275" t="inlineStr">
        <is>
          <t>NULL</t>
        </is>
      </c>
      <c r="I1275" t="inlineStr">
        <is>
          <t>YES!PK__info_dat__3213E83F59A2FB93</t>
        </is>
      </c>
      <c r="J1275" t="inlineStr">
        <is>
          <t>YES! 主键相关索引</t>
        </is>
      </c>
      <c r="K1275" t="inlineStr">
        <is>
          <t xml:space="preserve"> NO!  	 id列源备映射错误，源端为int None位	期望更改为text	实际备端为int None位</t>
        </is>
      </c>
    </row>
    <row r="1276">
      <c r="B1276" t="inlineStr">
        <is>
          <t>NULL</t>
        </is>
      </c>
      <c r="C1276" t="inlineStr">
        <is>
          <t>NULL</t>
        </is>
      </c>
      <c r="D1276" t="inlineStr">
        <is>
          <t>NULL</t>
        </is>
      </c>
      <c r="E1276" t="inlineStr">
        <is>
          <t>NULL</t>
        </is>
      </c>
      <c r="F1276" t="inlineStr">
        <is>
          <t>NULL</t>
        </is>
      </c>
      <c r="G1276" t="inlineStr">
        <is>
          <t>NULL</t>
        </is>
      </c>
      <c r="H1276" t="inlineStr">
        <is>
          <t>NULL</t>
        </is>
      </c>
      <c r="I1276" t="inlineStr">
        <is>
          <t>NULL</t>
        </is>
      </c>
      <c r="J1276" t="inlineStr">
        <is>
          <t>NULL</t>
        </is>
      </c>
      <c r="K1276" t="inlineStr">
        <is>
          <t xml:space="preserve"> NO!  	 c_dt2_0列源备映射错误，源端为datetime2 None位	期望更改为text	实际备端为datetime2 None位</t>
        </is>
      </c>
    </row>
    <row r="1277">
      <c r="B1277" t="inlineStr">
        <is>
          <t>NULL</t>
        </is>
      </c>
      <c r="C1277" t="inlineStr">
        <is>
          <t>NULL</t>
        </is>
      </c>
      <c r="D1277" t="inlineStr">
        <is>
          <t>NULL</t>
        </is>
      </c>
      <c r="E1277" t="inlineStr">
        <is>
          <t>NULL</t>
        </is>
      </c>
      <c r="F1277" t="inlineStr">
        <is>
          <t>NULL</t>
        </is>
      </c>
      <c r="G1277" t="inlineStr">
        <is>
          <t>NULL</t>
        </is>
      </c>
      <c r="H1277" t="inlineStr">
        <is>
          <t>NULL</t>
        </is>
      </c>
      <c r="I1277" t="inlineStr">
        <is>
          <t>NULL</t>
        </is>
      </c>
      <c r="J1277" t="inlineStr">
        <is>
          <t>NULL</t>
        </is>
      </c>
      <c r="K1277" t="inlineStr">
        <is>
          <t xml:space="preserve"> NO!  	 c_dt2_1列源备映射错误，源端为datetime2 None位	期望更改为text	实际备端为datetime2 None位</t>
        </is>
      </c>
    </row>
    <row r="1278">
      <c r="B1278" t="inlineStr">
        <is>
          <t>NULL</t>
        </is>
      </c>
      <c r="C1278" t="inlineStr">
        <is>
          <t>NULL</t>
        </is>
      </c>
      <c r="D1278" t="inlineStr">
        <is>
          <t>NULL</t>
        </is>
      </c>
      <c r="E1278" t="inlineStr">
        <is>
          <t>NULL</t>
        </is>
      </c>
      <c r="F1278" t="inlineStr">
        <is>
          <t>NULL</t>
        </is>
      </c>
      <c r="G1278" t="inlineStr">
        <is>
          <t>NULL</t>
        </is>
      </c>
      <c r="H1278" t="inlineStr">
        <is>
          <t>NULL</t>
        </is>
      </c>
      <c r="I1278" t="inlineStr">
        <is>
          <t>NULL</t>
        </is>
      </c>
      <c r="J1278" t="inlineStr">
        <is>
          <t>NULL</t>
        </is>
      </c>
      <c r="K1278" t="inlineStr">
        <is>
          <t xml:space="preserve"> NO!  	 c_dt2_2列源备映射错误，源端为datetime2 None位	期望更改为text	实际备端为datetime2 None位</t>
        </is>
      </c>
    </row>
    <row r="1279">
      <c r="B1279" t="inlineStr">
        <is>
          <t>NULL</t>
        </is>
      </c>
      <c r="C1279" t="inlineStr">
        <is>
          <t>NULL</t>
        </is>
      </c>
      <c r="D1279" t="inlineStr">
        <is>
          <t>NULL</t>
        </is>
      </c>
      <c r="E1279" t="inlineStr">
        <is>
          <t>NULL</t>
        </is>
      </c>
      <c r="F1279" t="inlineStr">
        <is>
          <t>NULL</t>
        </is>
      </c>
      <c r="G1279" t="inlineStr">
        <is>
          <t>NULL</t>
        </is>
      </c>
      <c r="H1279" t="inlineStr">
        <is>
          <t>NULL</t>
        </is>
      </c>
      <c r="I1279" t="inlineStr">
        <is>
          <t>NULL</t>
        </is>
      </c>
      <c r="J1279" t="inlineStr">
        <is>
          <t>NULL</t>
        </is>
      </c>
      <c r="K1279" t="inlineStr">
        <is>
          <t xml:space="preserve"> NO!  	 c_dt2_3列源备映射错误，源端为datetime2 None位	期望更改为text	实际备端为datetime2 None位</t>
        </is>
      </c>
    </row>
    <row r="1280">
      <c r="B1280" t="inlineStr">
        <is>
          <t>NULL</t>
        </is>
      </c>
      <c r="C1280" t="inlineStr">
        <is>
          <t>NULL</t>
        </is>
      </c>
      <c r="D1280" t="inlineStr">
        <is>
          <t>NULL</t>
        </is>
      </c>
      <c r="E1280" t="inlineStr">
        <is>
          <t>NULL</t>
        </is>
      </c>
      <c r="F1280" t="inlineStr">
        <is>
          <t>NULL</t>
        </is>
      </c>
      <c r="G1280" t="inlineStr">
        <is>
          <t>NULL</t>
        </is>
      </c>
      <c r="H1280" t="inlineStr">
        <is>
          <t>NULL</t>
        </is>
      </c>
      <c r="I1280" t="inlineStr">
        <is>
          <t>NULL</t>
        </is>
      </c>
      <c r="J1280" t="inlineStr">
        <is>
          <t>NULL</t>
        </is>
      </c>
      <c r="K1280" t="inlineStr">
        <is>
          <t xml:space="preserve"> NO!  	 c_dt2_4列源备映射错误，源端为datetime2 None位	期望更改为text	实际备端为datetime2 None位</t>
        </is>
      </c>
    </row>
    <row r="1281">
      <c r="B1281" t="inlineStr">
        <is>
          <t>NULL</t>
        </is>
      </c>
      <c r="C1281" t="inlineStr">
        <is>
          <t>NULL</t>
        </is>
      </c>
      <c r="D1281" t="inlineStr">
        <is>
          <t>NULL</t>
        </is>
      </c>
      <c r="E1281" t="inlineStr">
        <is>
          <t>NULL</t>
        </is>
      </c>
      <c r="F1281" t="inlineStr">
        <is>
          <t>NULL</t>
        </is>
      </c>
      <c r="G1281" t="inlineStr">
        <is>
          <t>NULL</t>
        </is>
      </c>
      <c r="H1281" t="inlineStr">
        <is>
          <t>NULL</t>
        </is>
      </c>
      <c r="I1281" t="inlineStr">
        <is>
          <t>NULL</t>
        </is>
      </c>
      <c r="J1281" t="inlineStr">
        <is>
          <t>NULL</t>
        </is>
      </c>
      <c r="K1281" t="inlineStr">
        <is>
          <t xml:space="preserve"> NO!  	 c_dt2_5列源备映射错误，源端为datetime2 None位	期望更改为text	实际备端为datetime2 None位</t>
        </is>
      </c>
    </row>
    <row r="1282">
      <c r="B1282" t="inlineStr">
        <is>
          <t>NULL</t>
        </is>
      </c>
      <c r="C1282" t="inlineStr">
        <is>
          <t>NULL</t>
        </is>
      </c>
      <c r="D1282" t="inlineStr">
        <is>
          <t>NULL</t>
        </is>
      </c>
      <c r="E1282" t="inlineStr">
        <is>
          <t>NULL</t>
        </is>
      </c>
      <c r="F1282" t="inlineStr">
        <is>
          <t>NULL</t>
        </is>
      </c>
      <c r="G1282" t="inlineStr">
        <is>
          <t>NULL</t>
        </is>
      </c>
      <c r="H1282" t="inlineStr">
        <is>
          <t>NULL</t>
        </is>
      </c>
      <c r="I1282" t="inlineStr">
        <is>
          <t>NULL</t>
        </is>
      </c>
      <c r="J1282" t="inlineStr">
        <is>
          <t>NULL</t>
        </is>
      </c>
      <c r="K1282" t="inlineStr">
        <is>
          <t xml:space="preserve"> NO!  	 c_dt2_6列源备映射错误，源端为datetime2 None位	期望更改为text	实际备端为datetime2 None位</t>
        </is>
      </c>
    </row>
    <row r="1283">
      <c r="B1283" t="inlineStr">
        <is>
          <t>NULL</t>
        </is>
      </c>
      <c r="C1283" t="inlineStr">
        <is>
          <t>NULL</t>
        </is>
      </c>
      <c r="D1283" t="inlineStr">
        <is>
          <t>NULL</t>
        </is>
      </c>
      <c r="E1283" t="inlineStr">
        <is>
          <t>NULL</t>
        </is>
      </c>
      <c r="F1283" t="inlineStr">
        <is>
          <t>NULL</t>
        </is>
      </c>
      <c r="G1283" t="inlineStr">
        <is>
          <t>NULL</t>
        </is>
      </c>
      <c r="H1283" t="inlineStr">
        <is>
          <t>NULL</t>
        </is>
      </c>
      <c r="I1283" t="inlineStr">
        <is>
          <t>NULL</t>
        </is>
      </c>
      <c r="J1283" t="inlineStr">
        <is>
          <t>NULL</t>
        </is>
      </c>
      <c r="K1283" t="inlineStr">
        <is>
          <t xml:space="preserve"> NO!  	 c_dt2列源备映射错误，源端为datetime2 None位	期望更改为text	实际备端为datetime2 None位</t>
        </is>
      </c>
    </row>
    <row r="1284">
      <c r="A1284" t="inlineStr">
        <is>
          <t>info_time_dml_batch1_pk_drp2</t>
        </is>
      </c>
      <c r="K1284" t="inlineStr">
        <is>
          <t>[0;34m info_time_dml_batch1_pk_drp2 [0m源备字段数相同，源端字段：9 	备端字段9</t>
        </is>
      </c>
      <c r="W1284" s="17">
        <f>HYPERLINK("#2026041919hbase0!EE2","NO 源备存在差异，共9个")</f>
        <v/>
      </c>
      <c r="X1284">
        <f>A1284</f>
        <v/>
      </c>
    </row>
    <row r="1285">
      <c r="B1285" t="inlineStr">
        <is>
          <t>YES</t>
        </is>
      </c>
      <c r="C1285" t="inlineStr">
        <is>
          <t>NULL</t>
        </is>
      </c>
      <c r="D1285" t="inlineStr">
        <is>
          <t>NULL</t>
        </is>
      </c>
      <c r="E1285" t="inlineStr">
        <is>
          <t>NULL</t>
        </is>
      </c>
      <c r="F1285" t="inlineStr">
        <is>
          <t>NULL</t>
        </is>
      </c>
      <c r="G1285" t="inlineStr">
        <is>
          <t>NULL</t>
        </is>
      </c>
      <c r="H1285" t="inlineStr">
        <is>
          <t>NULL</t>
        </is>
      </c>
      <c r="I1285" t="inlineStr">
        <is>
          <t>YES!PK__info_tim__3213E83F8B2481D2</t>
        </is>
      </c>
      <c r="J1285" t="inlineStr">
        <is>
          <t>YES! 主键相关索引</t>
        </is>
      </c>
      <c r="K1285" t="inlineStr">
        <is>
          <t xml:space="preserve"> NO!  	 id列源备映射错误，源端为int None位	期望更改为text	实际备端为int None位</t>
        </is>
      </c>
    </row>
    <row r="1286">
      <c r="B1286" t="inlineStr">
        <is>
          <t>NULL</t>
        </is>
      </c>
      <c r="C1286" t="inlineStr">
        <is>
          <t>NULL</t>
        </is>
      </c>
      <c r="D1286" t="inlineStr">
        <is>
          <t>NULL</t>
        </is>
      </c>
      <c r="E1286" t="inlineStr">
        <is>
          <t>NULL</t>
        </is>
      </c>
      <c r="F1286" t="inlineStr">
        <is>
          <t>NULL</t>
        </is>
      </c>
      <c r="G1286" t="inlineStr">
        <is>
          <t>NULL</t>
        </is>
      </c>
      <c r="H1286" t="inlineStr">
        <is>
          <t>NULL</t>
        </is>
      </c>
      <c r="I1286" t="inlineStr">
        <is>
          <t>NULL</t>
        </is>
      </c>
      <c r="J1286" t="inlineStr">
        <is>
          <t>NULL</t>
        </is>
      </c>
      <c r="K1286" t="inlineStr">
        <is>
          <t xml:space="preserve"> NO!  	 c_time0列源备映射错误，源端为time None位	期望更改为text	实际备端为time None位</t>
        </is>
      </c>
    </row>
    <row r="1287">
      <c r="B1287" t="inlineStr">
        <is>
          <t>NULL</t>
        </is>
      </c>
      <c r="C1287" t="inlineStr">
        <is>
          <t>NULL</t>
        </is>
      </c>
      <c r="D1287" t="inlineStr">
        <is>
          <t>NULL</t>
        </is>
      </c>
      <c r="E1287" t="inlineStr">
        <is>
          <t>NULL</t>
        </is>
      </c>
      <c r="F1287" t="inlineStr">
        <is>
          <t>NULL</t>
        </is>
      </c>
      <c r="G1287" t="inlineStr">
        <is>
          <t>NULL</t>
        </is>
      </c>
      <c r="H1287" t="inlineStr">
        <is>
          <t>NULL</t>
        </is>
      </c>
      <c r="I1287" t="inlineStr">
        <is>
          <t>NULL</t>
        </is>
      </c>
      <c r="J1287" t="inlineStr">
        <is>
          <t>NULL</t>
        </is>
      </c>
      <c r="K1287" t="inlineStr">
        <is>
          <t xml:space="preserve"> NO!  	 c_time1列源备映射错误，源端为time None位	期望更改为text	实际备端为time None位</t>
        </is>
      </c>
    </row>
    <row r="1288">
      <c r="B1288" t="inlineStr">
        <is>
          <t>NULL</t>
        </is>
      </c>
      <c r="C1288" t="inlineStr">
        <is>
          <t>NULL</t>
        </is>
      </c>
      <c r="D1288" t="inlineStr">
        <is>
          <t>NULL</t>
        </is>
      </c>
      <c r="E1288" t="inlineStr">
        <is>
          <t>NULL</t>
        </is>
      </c>
      <c r="F1288" t="inlineStr">
        <is>
          <t>NULL</t>
        </is>
      </c>
      <c r="G1288" t="inlineStr">
        <is>
          <t>NULL</t>
        </is>
      </c>
      <c r="H1288" t="inlineStr">
        <is>
          <t>NULL</t>
        </is>
      </c>
      <c r="I1288" t="inlineStr">
        <is>
          <t>NULL</t>
        </is>
      </c>
      <c r="J1288" t="inlineStr">
        <is>
          <t>NULL</t>
        </is>
      </c>
      <c r="K1288" t="inlineStr">
        <is>
          <t xml:space="preserve"> NO!  	 c_time2列源备映射错误，源端为time None位	期望更改为text	实际备端为time None位</t>
        </is>
      </c>
    </row>
    <row r="1289">
      <c r="B1289" t="inlineStr">
        <is>
          <t>NULL</t>
        </is>
      </c>
      <c r="C1289" t="inlineStr">
        <is>
          <t>NULL</t>
        </is>
      </c>
      <c r="D1289" t="inlineStr">
        <is>
          <t>NULL</t>
        </is>
      </c>
      <c r="E1289" t="inlineStr">
        <is>
          <t>NULL</t>
        </is>
      </c>
      <c r="F1289" t="inlineStr">
        <is>
          <t>NULL</t>
        </is>
      </c>
      <c r="G1289" t="inlineStr">
        <is>
          <t>NULL</t>
        </is>
      </c>
      <c r="H1289" t="inlineStr">
        <is>
          <t>NULL</t>
        </is>
      </c>
      <c r="I1289" t="inlineStr">
        <is>
          <t>NULL</t>
        </is>
      </c>
      <c r="J1289" t="inlineStr">
        <is>
          <t>NULL</t>
        </is>
      </c>
      <c r="K1289" t="inlineStr">
        <is>
          <t xml:space="preserve"> NO!  	 c_time3列源备映射错误，源端为time None位	期望更改为text	实际备端为time None位</t>
        </is>
      </c>
    </row>
    <row r="1290">
      <c r="B1290" t="inlineStr">
        <is>
          <t>NULL</t>
        </is>
      </c>
      <c r="C1290" t="inlineStr">
        <is>
          <t>NULL</t>
        </is>
      </c>
      <c r="D1290" t="inlineStr">
        <is>
          <t>NULL</t>
        </is>
      </c>
      <c r="E1290" t="inlineStr">
        <is>
          <t>NULL</t>
        </is>
      </c>
      <c r="F1290" t="inlineStr">
        <is>
          <t>NULL</t>
        </is>
      </c>
      <c r="G1290" t="inlineStr">
        <is>
          <t>NULL</t>
        </is>
      </c>
      <c r="H1290" t="inlineStr">
        <is>
          <t>NULL</t>
        </is>
      </c>
      <c r="I1290" t="inlineStr">
        <is>
          <t>NULL</t>
        </is>
      </c>
      <c r="J1290" t="inlineStr">
        <is>
          <t>NULL</t>
        </is>
      </c>
      <c r="K1290" t="inlineStr">
        <is>
          <t xml:space="preserve"> NO!  	 c_time4列源备映射错误，源端为time None位	期望更改为text	实际备端为time None位</t>
        </is>
      </c>
    </row>
    <row r="1291">
      <c r="B1291" t="inlineStr">
        <is>
          <t>NULL</t>
        </is>
      </c>
      <c r="C1291" t="inlineStr">
        <is>
          <t>NULL</t>
        </is>
      </c>
      <c r="D1291" t="inlineStr">
        <is>
          <t>NULL</t>
        </is>
      </c>
      <c r="E1291" t="inlineStr">
        <is>
          <t>NULL</t>
        </is>
      </c>
      <c r="F1291" t="inlineStr">
        <is>
          <t>NULL</t>
        </is>
      </c>
      <c r="G1291" t="inlineStr">
        <is>
          <t>NULL</t>
        </is>
      </c>
      <c r="H1291" t="inlineStr">
        <is>
          <t>NULL</t>
        </is>
      </c>
      <c r="I1291" t="inlineStr">
        <is>
          <t>NULL</t>
        </is>
      </c>
      <c r="J1291" t="inlineStr">
        <is>
          <t>NULL</t>
        </is>
      </c>
      <c r="K1291" t="inlineStr">
        <is>
          <t xml:space="preserve"> NO!  	 c_time5列源备映射错误，源端为time None位	期望更改为text	实际备端为time None位</t>
        </is>
      </c>
    </row>
    <row r="1292">
      <c r="B1292" t="inlineStr">
        <is>
          <t>NULL</t>
        </is>
      </c>
      <c r="C1292" t="inlineStr">
        <is>
          <t>NULL</t>
        </is>
      </c>
      <c r="D1292" t="inlineStr">
        <is>
          <t>NULL</t>
        </is>
      </c>
      <c r="E1292" t="inlineStr">
        <is>
          <t>NULL</t>
        </is>
      </c>
      <c r="F1292" t="inlineStr">
        <is>
          <t>NULL</t>
        </is>
      </c>
      <c r="G1292" t="inlineStr">
        <is>
          <t>NULL</t>
        </is>
      </c>
      <c r="H1292" t="inlineStr">
        <is>
          <t>NULL</t>
        </is>
      </c>
      <c r="I1292" t="inlineStr">
        <is>
          <t>NULL</t>
        </is>
      </c>
      <c r="J1292" t="inlineStr">
        <is>
          <t>NULL</t>
        </is>
      </c>
      <c r="K1292" t="inlineStr">
        <is>
          <t xml:space="preserve"> NO!  	 c_time6列源备映射错误，源端为time None位	期望更改为text	实际备端为time None位</t>
        </is>
      </c>
    </row>
    <row r="1293">
      <c r="B1293" t="inlineStr">
        <is>
          <t>NULL</t>
        </is>
      </c>
      <c r="C1293" t="inlineStr">
        <is>
          <t>NULL</t>
        </is>
      </c>
      <c r="D1293" t="inlineStr">
        <is>
          <t>NULL</t>
        </is>
      </c>
      <c r="E1293" t="inlineStr">
        <is>
          <t>NULL</t>
        </is>
      </c>
      <c r="F1293" t="inlineStr">
        <is>
          <t>NULL</t>
        </is>
      </c>
      <c r="G1293" t="inlineStr">
        <is>
          <t>NULL</t>
        </is>
      </c>
      <c r="H1293" t="inlineStr">
        <is>
          <t>NULL</t>
        </is>
      </c>
      <c r="I1293" t="inlineStr">
        <is>
          <t>NULL</t>
        </is>
      </c>
      <c r="J1293" t="inlineStr">
        <is>
          <t>NULL</t>
        </is>
      </c>
      <c r="K1293" t="inlineStr">
        <is>
          <t xml:space="preserve"> NO!  	 c_time列源备映射错误，源端为time None位	期望更改为text	实际备端为time None位</t>
        </is>
      </c>
    </row>
    <row r="1294">
      <c r="A1294" t="inlineStr">
        <is>
          <t>info_varchar_dml_batch1_pk_urp1</t>
        </is>
      </c>
      <c r="K1294" t="inlineStr">
        <is>
          <t>[0;34m info_varchar_dml_batch1_pk_urp1 [0m源备字段数相同，源端字段：4 	备端字段4</t>
        </is>
      </c>
      <c r="W1294" t="inlineStr">
        <is>
          <t>YES 源备无差异</t>
        </is>
      </c>
      <c r="X1294">
        <f>A1294</f>
        <v/>
      </c>
    </row>
    <row r="1295">
      <c r="B1295" t="inlineStr">
        <is>
          <t>YES</t>
        </is>
      </c>
      <c r="C1295" t="inlineStr">
        <is>
          <t>NULL</t>
        </is>
      </c>
      <c r="D1295" t="inlineStr">
        <is>
          <t>NULL</t>
        </is>
      </c>
      <c r="E1295" t="inlineStr">
        <is>
          <t>NULL</t>
        </is>
      </c>
      <c r="F1295" t="inlineStr">
        <is>
          <t>NULL</t>
        </is>
      </c>
      <c r="G1295" t="inlineStr">
        <is>
          <t>NULL</t>
        </is>
      </c>
      <c r="H1295" t="inlineStr">
        <is>
          <t>NULL</t>
        </is>
      </c>
      <c r="I1295" t="inlineStr">
        <is>
          <t>YES!PK__info_var__3213E83F14E721FC</t>
        </is>
      </c>
      <c r="J1295" t="inlineStr">
        <is>
          <t>YES! 主键相关索引</t>
        </is>
      </c>
      <c r="K1295" t="inlineStr">
        <is>
          <t xml:space="preserve"> NO!  	 id列源备映射错误，源端为int None位	期望更改为text	实际备端为int None位</t>
        </is>
      </c>
    </row>
    <row r="1296">
      <c r="B1296" t="inlineStr">
        <is>
          <t>NULL</t>
        </is>
      </c>
      <c r="C1296" t="inlineStr">
        <is>
          <t>NULL</t>
        </is>
      </c>
      <c r="D1296" t="inlineStr">
        <is>
          <t>NULL</t>
        </is>
      </c>
      <c r="E1296" t="inlineStr">
        <is>
          <t>NULL</t>
        </is>
      </c>
      <c r="F1296" t="inlineStr">
        <is>
          <t>NULL</t>
        </is>
      </c>
      <c r="G1296" t="inlineStr">
        <is>
          <t>NULL</t>
        </is>
      </c>
      <c r="H1296" t="inlineStr">
        <is>
          <t>NULL</t>
        </is>
      </c>
      <c r="I1296" t="inlineStr">
        <is>
          <t>NULL</t>
        </is>
      </c>
      <c r="J1296" t="inlineStr">
        <is>
          <t>NULL</t>
        </is>
      </c>
      <c r="K1296" t="inlineStr">
        <is>
          <t xml:space="preserve"> NO!  	 c_varchar列源备映射错误，源端为varchar 1位	期望更改为text	实际备端为varchar 1位</t>
        </is>
      </c>
    </row>
    <row r="1297">
      <c r="B1297" t="inlineStr">
        <is>
          <t>NULL</t>
        </is>
      </c>
      <c r="C1297" t="inlineStr">
        <is>
          <t>NULL</t>
        </is>
      </c>
      <c r="D1297" t="inlineStr">
        <is>
          <t>NULL</t>
        </is>
      </c>
      <c r="E1297" t="inlineStr">
        <is>
          <t>NULL</t>
        </is>
      </c>
      <c r="F1297" t="inlineStr">
        <is>
          <t>NULL</t>
        </is>
      </c>
      <c r="G1297" t="inlineStr">
        <is>
          <t>NULL</t>
        </is>
      </c>
      <c r="H1297" t="inlineStr">
        <is>
          <t>NULL</t>
        </is>
      </c>
      <c r="I1297" t="inlineStr">
        <is>
          <t>NULL</t>
        </is>
      </c>
      <c r="J1297" t="inlineStr">
        <is>
          <t>NULL</t>
        </is>
      </c>
      <c r="K1297" t="inlineStr">
        <is>
          <t xml:space="preserve"> NO!  	 c_varchar20列源备映射错误，源端为varchar 20位	期望更改为text	实际备端为varchar 20位</t>
        </is>
      </c>
    </row>
    <row r="1298">
      <c r="B1298" t="inlineStr">
        <is>
          <t>NULL</t>
        </is>
      </c>
      <c r="C1298" t="inlineStr">
        <is>
          <t>NULL</t>
        </is>
      </c>
      <c r="D1298" t="inlineStr">
        <is>
          <t>NULL</t>
        </is>
      </c>
      <c r="E1298" t="inlineStr">
        <is>
          <t>NULL</t>
        </is>
      </c>
      <c r="F1298" t="inlineStr">
        <is>
          <t>NULL</t>
        </is>
      </c>
      <c r="G1298" t="inlineStr">
        <is>
          <t>NULL</t>
        </is>
      </c>
      <c r="H1298" t="inlineStr">
        <is>
          <t>NULL</t>
        </is>
      </c>
      <c r="I1298" t="inlineStr">
        <is>
          <t>NULL</t>
        </is>
      </c>
      <c r="J1298" t="inlineStr">
        <is>
          <t>NULL</t>
        </is>
      </c>
      <c r="K1298" t="inlineStr">
        <is>
          <t xml:space="preserve"> NO!  	 c_varchar7000列源备映射错误，源端为varchar 7000位	期望更改为text	实际备端为varchar 7000位</t>
        </is>
      </c>
    </row>
    <row r="1299">
      <c r="A1299" t="inlineStr">
        <is>
          <t>info_geography_dml_single_pk</t>
        </is>
      </c>
      <c r="K1299" t="inlineStr">
        <is>
          <t>[0;34m info_geography_dml_single_pk [0m源备字段数相同，源端字段：2 	备端字段2</t>
        </is>
      </c>
      <c r="W1299" t="inlineStr">
        <is>
          <t>YES 源备无差异</t>
        </is>
      </c>
      <c r="X1299">
        <f>A1299</f>
        <v/>
      </c>
    </row>
    <row r="1300">
      <c r="B1300" t="inlineStr">
        <is>
          <t>YES</t>
        </is>
      </c>
      <c r="C1300" t="inlineStr">
        <is>
          <t>NULL</t>
        </is>
      </c>
      <c r="D1300" t="inlineStr">
        <is>
          <t>NULL</t>
        </is>
      </c>
      <c r="E1300" t="inlineStr">
        <is>
          <t>NULL</t>
        </is>
      </c>
      <c r="F1300" t="inlineStr">
        <is>
          <t>NULL</t>
        </is>
      </c>
      <c r="G1300" t="inlineStr">
        <is>
          <t>NULL</t>
        </is>
      </c>
      <c r="H1300" t="inlineStr">
        <is>
          <t>NULL</t>
        </is>
      </c>
      <c r="I1300" t="inlineStr">
        <is>
          <t>YES!PK__info_geo__3213E83F6C9EF284</t>
        </is>
      </c>
      <c r="J1300" t="inlineStr">
        <is>
          <t>YES! 主键相关索引</t>
        </is>
      </c>
      <c r="K1300" t="inlineStr">
        <is>
          <t xml:space="preserve"> NO!  	 id列源备映射错误，源端为int None位	期望更改为text	实际备端为int None位</t>
        </is>
      </c>
    </row>
    <row r="1301">
      <c r="B1301" t="inlineStr">
        <is>
          <t>NULL</t>
        </is>
      </c>
      <c r="C1301" t="inlineStr">
        <is>
          <t>NULL</t>
        </is>
      </c>
      <c r="D1301" t="inlineStr">
        <is>
          <t>NULL</t>
        </is>
      </c>
      <c r="E1301" t="inlineStr">
        <is>
          <t>NULL</t>
        </is>
      </c>
      <c r="F1301" t="inlineStr">
        <is>
          <t>NULL</t>
        </is>
      </c>
      <c r="G1301" t="inlineStr">
        <is>
          <t>NULL</t>
        </is>
      </c>
      <c r="H1301" t="inlineStr">
        <is>
          <t>NULL</t>
        </is>
      </c>
      <c r="I1301" t="inlineStr">
        <is>
          <t>NULL</t>
        </is>
      </c>
      <c r="J1301" t="inlineStr">
        <is>
          <t>NULL</t>
        </is>
      </c>
      <c r="K1301" t="inlineStr">
        <is>
          <t xml:space="preserve"> NO!  	 c_geography列源备映射错误，源端为geography -1位	期望更改为text	实际备端为geography -1位</t>
        </is>
      </c>
    </row>
    <row r="1302">
      <c r="A1302" t="inlineStr">
        <is>
          <t>info_nvarchar_dml_batch2_pk_irp2</t>
        </is>
      </c>
      <c r="K1302" t="inlineStr">
        <is>
          <t>[0;34m info_nvarchar_dml_batch2_pk_irp2 [0m源备字段数相同，源端字段：4 	备端字段4</t>
        </is>
      </c>
      <c r="W1302" t="inlineStr">
        <is>
          <t>YES 源备无差异</t>
        </is>
      </c>
      <c r="X1302">
        <f>A1302</f>
        <v/>
      </c>
    </row>
    <row r="1303">
      <c r="B1303" t="inlineStr">
        <is>
          <t>YES</t>
        </is>
      </c>
      <c r="C1303" t="inlineStr">
        <is>
          <t>NULL</t>
        </is>
      </c>
      <c r="D1303" t="inlineStr">
        <is>
          <t>NULL</t>
        </is>
      </c>
      <c r="E1303" t="inlineStr">
        <is>
          <t>NULL</t>
        </is>
      </c>
      <c r="F1303" t="inlineStr">
        <is>
          <t>NULL</t>
        </is>
      </c>
      <c r="G1303" t="inlineStr">
        <is>
          <t>NULL</t>
        </is>
      </c>
      <c r="H1303" t="inlineStr">
        <is>
          <t>NULL</t>
        </is>
      </c>
      <c r="I1303" t="inlineStr">
        <is>
          <t>YES!PK__info_nva__3213E83FC38A60D2</t>
        </is>
      </c>
      <c r="J1303" t="inlineStr">
        <is>
          <t>YES! 主键相关索引</t>
        </is>
      </c>
      <c r="K1303" t="inlineStr">
        <is>
          <t xml:space="preserve"> NO!  	 id列源备映射错误，源端为int None位	期望更改为text	实际备端为int None位</t>
        </is>
      </c>
    </row>
    <row r="1304">
      <c r="B1304" t="inlineStr">
        <is>
          <t>NULL</t>
        </is>
      </c>
      <c r="C1304" t="inlineStr">
        <is>
          <t>NULL</t>
        </is>
      </c>
      <c r="D1304" t="inlineStr">
        <is>
          <t>NULL</t>
        </is>
      </c>
      <c r="E1304" t="inlineStr">
        <is>
          <t>NULL</t>
        </is>
      </c>
      <c r="F1304" t="inlineStr">
        <is>
          <t>NULL</t>
        </is>
      </c>
      <c r="G1304" t="inlineStr">
        <is>
          <t>NULL</t>
        </is>
      </c>
      <c r="H1304" t="inlineStr">
        <is>
          <t>NULL</t>
        </is>
      </c>
      <c r="I1304" t="inlineStr">
        <is>
          <t>NULL</t>
        </is>
      </c>
      <c r="J1304" t="inlineStr">
        <is>
          <t>NULL</t>
        </is>
      </c>
      <c r="K1304" t="inlineStr">
        <is>
          <t xml:space="preserve"> NO!  	 c_nvarchar列源备映射错误，源端为nvarchar 2位	期望更改为text	实际备端为nvarchar 2位</t>
        </is>
      </c>
    </row>
    <row r="1305">
      <c r="B1305" t="inlineStr">
        <is>
          <t>NULL</t>
        </is>
      </c>
      <c r="C1305" t="inlineStr">
        <is>
          <t>NULL</t>
        </is>
      </c>
      <c r="D1305" t="inlineStr">
        <is>
          <t>NULL</t>
        </is>
      </c>
      <c r="E1305" t="inlineStr">
        <is>
          <t>NULL</t>
        </is>
      </c>
      <c r="F1305" t="inlineStr">
        <is>
          <t>NULL</t>
        </is>
      </c>
      <c r="G1305" t="inlineStr">
        <is>
          <t>NULL</t>
        </is>
      </c>
      <c r="H1305" t="inlineStr">
        <is>
          <t>NULL</t>
        </is>
      </c>
      <c r="I1305" t="inlineStr">
        <is>
          <t>NULL</t>
        </is>
      </c>
      <c r="J1305" t="inlineStr">
        <is>
          <t>NULL</t>
        </is>
      </c>
      <c r="K1305" t="inlineStr">
        <is>
          <t xml:space="preserve"> NO!  	 c_nvarchar20列源备映射错误，源端为nvarchar 40位	期望更改为text	实际备端为nvarchar 40位</t>
        </is>
      </c>
    </row>
    <row r="1306">
      <c r="B1306" t="inlineStr">
        <is>
          <t>NULL</t>
        </is>
      </c>
      <c r="C1306" t="inlineStr">
        <is>
          <t>NULL</t>
        </is>
      </c>
      <c r="D1306" t="inlineStr">
        <is>
          <t>NULL</t>
        </is>
      </c>
      <c r="E1306" t="inlineStr">
        <is>
          <t>NULL</t>
        </is>
      </c>
      <c r="F1306" t="inlineStr">
        <is>
          <t>NULL</t>
        </is>
      </c>
      <c r="G1306" t="inlineStr">
        <is>
          <t>NULL</t>
        </is>
      </c>
      <c r="H1306" t="inlineStr">
        <is>
          <t>NULL</t>
        </is>
      </c>
      <c r="I1306" t="inlineStr">
        <is>
          <t>NULL</t>
        </is>
      </c>
      <c r="J1306" t="inlineStr">
        <is>
          <t>NULL</t>
        </is>
      </c>
      <c r="K1306" t="inlineStr">
        <is>
          <t xml:space="preserve"> NO!  	 c_nvarchar3500列源备映射错误，源端为nvarchar 7000位	期望更改为text	实际备端为nvarchar 7000位</t>
        </is>
      </c>
    </row>
    <row r="1307">
      <c r="A1307" t="inlineStr">
        <is>
          <t>info_time_dml_batch1_pk</t>
        </is>
      </c>
      <c r="K1307" t="inlineStr">
        <is>
          <t>[0;34m info_time_dml_batch1_pk [0m源备字段数相同，源端字段：9 	备端字段9</t>
        </is>
      </c>
      <c r="W1307" s="17">
        <f>HYPERLINK("#2026041919hbase0!EF2","NO 源备存在差异，共8个")</f>
        <v/>
      </c>
      <c r="X1307">
        <f>A1307</f>
        <v/>
      </c>
    </row>
    <row r="1308">
      <c r="B1308" t="inlineStr">
        <is>
          <t>YES</t>
        </is>
      </c>
      <c r="C1308" t="inlineStr">
        <is>
          <t>NULL</t>
        </is>
      </c>
      <c r="D1308" t="inlineStr">
        <is>
          <t>NULL</t>
        </is>
      </c>
      <c r="E1308" t="inlineStr">
        <is>
          <t>NULL</t>
        </is>
      </c>
      <c r="F1308" t="inlineStr">
        <is>
          <t>NULL</t>
        </is>
      </c>
      <c r="G1308" t="inlineStr">
        <is>
          <t>NULL</t>
        </is>
      </c>
      <c r="H1308" t="inlineStr">
        <is>
          <t>NULL</t>
        </is>
      </c>
      <c r="I1308" t="inlineStr">
        <is>
          <t>YES!PK__info_tim__3213E83F1D9C477F</t>
        </is>
      </c>
      <c r="J1308" t="inlineStr">
        <is>
          <t>YES! 主键相关索引</t>
        </is>
      </c>
      <c r="K1308" t="inlineStr">
        <is>
          <t xml:space="preserve"> NO!  	 id列源备映射错误，源端为int None位	期望更改为text	实际备端为int None位</t>
        </is>
      </c>
    </row>
    <row r="1309">
      <c r="B1309" t="inlineStr">
        <is>
          <t>NULL</t>
        </is>
      </c>
      <c r="C1309" t="inlineStr">
        <is>
          <t>NULL</t>
        </is>
      </c>
      <c r="D1309" t="inlineStr">
        <is>
          <t>NULL</t>
        </is>
      </c>
      <c r="E1309" t="inlineStr">
        <is>
          <t>NULL</t>
        </is>
      </c>
      <c r="F1309" t="inlineStr">
        <is>
          <t>NULL</t>
        </is>
      </c>
      <c r="G1309" t="inlineStr">
        <is>
          <t>NULL</t>
        </is>
      </c>
      <c r="H1309" t="inlineStr">
        <is>
          <t>NULL</t>
        </is>
      </c>
      <c r="I1309" t="inlineStr">
        <is>
          <t>NULL</t>
        </is>
      </c>
      <c r="J1309" t="inlineStr">
        <is>
          <t>NULL</t>
        </is>
      </c>
      <c r="K1309" t="inlineStr">
        <is>
          <t xml:space="preserve"> NO!  	 c_time0列源备映射错误，源端为time None位	期望更改为text	实际备端为time None位</t>
        </is>
      </c>
    </row>
    <row r="1310">
      <c r="B1310" t="inlineStr">
        <is>
          <t>NULL</t>
        </is>
      </c>
      <c r="C1310" t="inlineStr">
        <is>
          <t>NULL</t>
        </is>
      </c>
      <c r="D1310" t="inlineStr">
        <is>
          <t>NULL</t>
        </is>
      </c>
      <c r="E1310" t="inlineStr">
        <is>
          <t>NULL</t>
        </is>
      </c>
      <c r="F1310" t="inlineStr">
        <is>
          <t>NULL</t>
        </is>
      </c>
      <c r="G1310" t="inlineStr">
        <is>
          <t>NULL</t>
        </is>
      </c>
      <c r="H1310" t="inlineStr">
        <is>
          <t>NULL</t>
        </is>
      </c>
      <c r="I1310" t="inlineStr">
        <is>
          <t>NULL</t>
        </is>
      </c>
      <c r="J1310" t="inlineStr">
        <is>
          <t>NULL</t>
        </is>
      </c>
      <c r="K1310" t="inlineStr">
        <is>
          <t xml:space="preserve"> NO!  	 c_time1列源备映射错误，源端为time None位	期望更改为text	实际备端为time None位</t>
        </is>
      </c>
    </row>
    <row r="1311">
      <c r="B1311" t="inlineStr">
        <is>
          <t>NULL</t>
        </is>
      </c>
      <c r="C1311" t="inlineStr">
        <is>
          <t>NULL</t>
        </is>
      </c>
      <c r="D1311" t="inlineStr">
        <is>
          <t>NULL</t>
        </is>
      </c>
      <c r="E1311" t="inlineStr">
        <is>
          <t>NULL</t>
        </is>
      </c>
      <c r="F1311" t="inlineStr">
        <is>
          <t>NULL</t>
        </is>
      </c>
      <c r="G1311" t="inlineStr">
        <is>
          <t>NULL</t>
        </is>
      </c>
      <c r="H1311" t="inlineStr">
        <is>
          <t>NULL</t>
        </is>
      </c>
      <c r="I1311" t="inlineStr">
        <is>
          <t>NULL</t>
        </is>
      </c>
      <c r="J1311" t="inlineStr">
        <is>
          <t>NULL</t>
        </is>
      </c>
      <c r="K1311" t="inlineStr">
        <is>
          <t xml:space="preserve"> NO!  	 c_time2列源备映射错误，源端为time None位	期望更改为text	实际备端为time None位</t>
        </is>
      </c>
    </row>
    <row r="1312">
      <c r="B1312" t="inlineStr">
        <is>
          <t>NULL</t>
        </is>
      </c>
      <c r="C1312" t="inlineStr">
        <is>
          <t>NULL</t>
        </is>
      </c>
      <c r="D1312" t="inlineStr">
        <is>
          <t>NULL</t>
        </is>
      </c>
      <c r="E1312" t="inlineStr">
        <is>
          <t>NULL</t>
        </is>
      </c>
      <c r="F1312" t="inlineStr">
        <is>
          <t>NULL</t>
        </is>
      </c>
      <c r="G1312" t="inlineStr">
        <is>
          <t>NULL</t>
        </is>
      </c>
      <c r="H1312" t="inlineStr">
        <is>
          <t>NULL</t>
        </is>
      </c>
      <c r="I1312" t="inlineStr">
        <is>
          <t>NULL</t>
        </is>
      </c>
      <c r="J1312" t="inlineStr">
        <is>
          <t>NULL</t>
        </is>
      </c>
      <c r="K1312" t="inlineStr">
        <is>
          <t xml:space="preserve"> NO!  	 c_time3列源备映射错误，源端为time None位	期望更改为text	实际备端为time None位</t>
        </is>
      </c>
    </row>
    <row r="1313">
      <c r="B1313" t="inlineStr">
        <is>
          <t>NULL</t>
        </is>
      </c>
      <c r="C1313" t="inlineStr">
        <is>
          <t>NULL</t>
        </is>
      </c>
      <c r="D1313" t="inlineStr">
        <is>
          <t>NULL</t>
        </is>
      </c>
      <c r="E1313" t="inlineStr">
        <is>
          <t>NULL</t>
        </is>
      </c>
      <c r="F1313" t="inlineStr">
        <is>
          <t>NULL</t>
        </is>
      </c>
      <c r="G1313" t="inlineStr">
        <is>
          <t>NULL</t>
        </is>
      </c>
      <c r="H1313" t="inlineStr">
        <is>
          <t>NULL</t>
        </is>
      </c>
      <c r="I1313" t="inlineStr">
        <is>
          <t>NULL</t>
        </is>
      </c>
      <c r="J1313" t="inlineStr">
        <is>
          <t>NULL</t>
        </is>
      </c>
      <c r="K1313" t="inlineStr">
        <is>
          <t xml:space="preserve"> NO!  	 c_time4列源备映射错误，源端为time None位	期望更改为text	实际备端为time None位</t>
        </is>
      </c>
    </row>
    <row r="1314">
      <c r="B1314" t="inlineStr">
        <is>
          <t>NULL</t>
        </is>
      </c>
      <c r="C1314" t="inlineStr">
        <is>
          <t>NULL</t>
        </is>
      </c>
      <c r="D1314" t="inlineStr">
        <is>
          <t>NULL</t>
        </is>
      </c>
      <c r="E1314" t="inlineStr">
        <is>
          <t>NULL</t>
        </is>
      </c>
      <c r="F1314" t="inlineStr">
        <is>
          <t>NULL</t>
        </is>
      </c>
      <c r="G1314" t="inlineStr">
        <is>
          <t>NULL</t>
        </is>
      </c>
      <c r="H1314" t="inlineStr">
        <is>
          <t>NULL</t>
        </is>
      </c>
      <c r="I1314" t="inlineStr">
        <is>
          <t>NULL</t>
        </is>
      </c>
      <c r="J1314" t="inlineStr">
        <is>
          <t>NULL</t>
        </is>
      </c>
      <c r="K1314" t="inlineStr">
        <is>
          <t xml:space="preserve"> NO!  	 c_time5列源备映射错误，源端为time None位	期望更改为text	实际备端为time None位</t>
        </is>
      </c>
    </row>
    <row r="1315">
      <c r="B1315" t="inlineStr">
        <is>
          <t>NULL</t>
        </is>
      </c>
      <c r="C1315" t="inlineStr">
        <is>
          <t>NULL</t>
        </is>
      </c>
      <c r="D1315" t="inlineStr">
        <is>
          <t>NULL</t>
        </is>
      </c>
      <c r="E1315" t="inlineStr">
        <is>
          <t>NULL</t>
        </is>
      </c>
      <c r="F1315" t="inlineStr">
        <is>
          <t>NULL</t>
        </is>
      </c>
      <c r="G1315" t="inlineStr">
        <is>
          <t>NULL</t>
        </is>
      </c>
      <c r="H1315" t="inlineStr">
        <is>
          <t>NULL</t>
        </is>
      </c>
      <c r="I1315" t="inlineStr">
        <is>
          <t>NULL</t>
        </is>
      </c>
      <c r="J1315" t="inlineStr">
        <is>
          <t>NULL</t>
        </is>
      </c>
      <c r="K1315" t="inlineStr">
        <is>
          <t xml:space="preserve"> NO!  	 c_time6列源备映射错误，源端为time None位	期望更改为text	实际备端为time None位</t>
        </is>
      </c>
    </row>
    <row r="1316">
      <c r="B1316" t="inlineStr">
        <is>
          <t>NULL</t>
        </is>
      </c>
      <c r="C1316" t="inlineStr">
        <is>
          <t>NULL</t>
        </is>
      </c>
      <c r="D1316" t="inlineStr">
        <is>
          <t>NULL</t>
        </is>
      </c>
      <c r="E1316" t="inlineStr">
        <is>
          <t>NULL</t>
        </is>
      </c>
      <c r="F1316" t="inlineStr">
        <is>
          <t>NULL</t>
        </is>
      </c>
      <c r="G1316" t="inlineStr">
        <is>
          <t>NULL</t>
        </is>
      </c>
      <c r="H1316" t="inlineStr">
        <is>
          <t>NULL</t>
        </is>
      </c>
      <c r="I1316" t="inlineStr">
        <is>
          <t>NULL</t>
        </is>
      </c>
      <c r="J1316" t="inlineStr">
        <is>
          <t>NULL</t>
        </is>
      </c>
      <c r="K1316" t="inlineStr">
        <is>
          <t xml:space="preserve"> NO!  	 c_time列源备映射错误，源端为time None位	期望更改为text	实际备端为time None位</t>
        </is>
      </c>
    </row>
    <row r="1317">
      <c r="A1317" t="inlineStr">
        <is>
          <t>info_sdt_dml_batch1_pk_irp1</t>
        </is>
      </c>
      <c r="K1317" t="inlineStr">
        <is>
          <t>[0;34m info_sdt_dml_batch1_pk_irp1 [0m源备字段数相同，源端字段：2 	备端字段2</t>
        </is>
      </c>
      <c r="W1317" s="17">
        <f>HYPERLINK("#2026041919hbase0!EG2","NO 源备存在差异，共13个")</f>
        <v/>
      </c>
      <c r="X1317">
        <f>A1317</f>
        <v/>
      </c>
    </row>
    <row r="1318">
      <c r="B1318" t="inlineStr">
        <is>
          <t>YES</t>
        </is>
      </c>
      <c r="C1318" t="inlineStr">
        <is>
          <t>NULL</t>
        </is>
      </c>
      <c r="D1318" t="inlineStr">
        <is>
          <t>NULL</t>
        </is>
      </c>
      <c r="E1318" t="inlineStr">
        <is>
          <t>NULL</t>
        </is>
      </c>
      <c r="F1318" t="inlineStr">
        <is>
          <t>NULL</t>
        </is>
      </c>
      <c r="G1318" t="inlineStr">
        <is>
          <t>NULL</t>
        </is>
      </c>
      <c r="H1318" t="inlineStr">
        <is>
          <t>NULL</t>
        </is>
      </c>
      <c r="I1318" t="inlineStr">
        <is>
          <t>YES!PK__info_sdt__3213E83F27AA8810</t>
        </is>
      </c>
      <c r="J1318" t="inlineStr">
        <is>
          <t>YES! 主键相关索引</t>
        </is>
      </c>
      <c r="K1318" t="inlineStr">
        <is>
          <t xml:space="preserve"> NO!  	 id列源备映射错误，源端为int None位	期望更改为text	实际备端为int None位</t>
        </is>
      </c>
    </row>
    <row r="1319">
      <c r="B1319" t="inlineStr">
        <is>
          <t>NULL</t>
        </is>
      </c>
      <c r="C1319" t="inlineStr">
        <is>
          <t>NULL</t>
        </is>
      </c>
      <c r="D1319" t="inlineStr">
        <is>
          <t>NULL</t>
        </is>
      </c>
      <c r="E1319" t="inlineStr">
        <is>
          <t>NULL</t>
        </is>
      </c>
      <c r="F1319" t="inlineStr">
        <is>
          <t>NULL</t>
        </is>
      </c>
      <c r="G1319" t="inlineStr">
        <is>
          <t>NULL</t>
        </is>
      </c>
      <c r="H1319" t="inlineStr">
        <is>
          <t>NULL</t>
        </is>
      </c>
      <c r="I1319" t="inlineStr">
        <is>
          <t>NULL</t>
        </is>
      </c>
      <c r="J1319" t="inlineStr">
        <is>
          <t>NULL</t>
        </is>
      </c>
      <c r="K1319" t="inlineStr">
        <is>
          <t xml:space="preserve"> NO!  	 c_sdt列源备映射错误，源端为smalldatetime None位	期望更改为text	实际备端为smalldatetime None位</t>
        </is>
      </c>
    </row>
    <row r="1320">
      <c r="A1320" t="inlineStr">
        <is>
          <t>info_sdt_dml_batch1_pk_irp2</t>
        </is>
      </c>
      <c r="K1320" t="inlineStr">
        <is>
          <t>[0;34m info_sdt_dml_batch1_pk_irp2 [0m源备字段数相同，源端字段：2 	备端字段2</t>
        </is>
      </c>
      <c r="W1320" s="17">
        <f>HYPERLINK("#2026041919hbase0!EH2","NO 源备存在差异，共48个")</f>
        <v/>
      </c>
      <c r="X1320">
        <f>A1320</f>
        <v/>
      </c>
    </row>
    <row r="1321">
      <c r="B1321" t="inlineStr">
        <is>
          <t>YES</t>
        </is>
      </c>
      <c r="C1321" t="inlineStr">
        <is>
          <t>NULL</t>
        </is>
      </c>
      <c r="D1321" t="inlineStr">
        <is>
          <t>NULL</t>
        </is>
      </c>
      <c r="E1321" t="inlineStr">
        <is>
          <t>NULL</t>
        </is>
      </c>
      <c r="F1321" t="inlineStr">
        <is>
          <t>NULL</t>
        </is>
      </c>
      <c r="G1321" t="inlineStr">
        <is>
          <t>NULL</t>
        </is>
      </c>
      <c r="H1321" t="inlineStr">
        <is>
          <t>NULL</t>
        </is>
      </c>
      <c r="I1321" t="inlineStr">
        <is>
          <t>YES!PK__info_sdt__3213E83F3E3AC71F</t>
        </is>
      </c>
      <c r="J1321" t="inlineStr">
        <is>
          <t>YES! 主键相关索引</t>
        </is>
      </c>
      <c r="K1321" t="inlineStr">
        <is>
          <t xml:space="preserve"> NO!  	 id列源备映射错误，源端为int None位	期望更改为text	实际备端为int None位</t>
        </is>
      </c>
    </row>
    <row r="1322">
      <c r="B1322" t="inlineStr">
        <is>
          <t>NULL</t>
        </is>
      </c>
      <c r="C1322" t="inlineStr">
        <is>
          <t>NULL</t>
        </is>
      </c>
      <c r="D1322" t="inlineStr">
        <is>
          <t>NULL</t>
        </is>
      </c>
      <c r="E1322" t="inlineStr">
        <is>
          <t>NULL</t>
        </is>
      </c>
      <c r="F1322" t="inlineStr">
        <is>
          <t>NULL</t>
        </is>
      </c>
      <c r="G1322" t="inlineStr">
        <is>
          <t>NULL</t>
        </is>
      </c>
      <c r="H1322" t="inlineStr">
        <is>
          <t>NULL</t>
        </is>
      </c>
      <c r="I1322" t="inlineStr">
        <is>
          <t>NULL</t>
        </is>
      </c>
      <c r="J1322" t="inlineStr">
        <is>
          <t>NULL</t>
        </is>
      </c>
      <c r="K1322" t="inlineStr">
        <is>
          <t xml:space="preserve"> NO!  	 c_sdt列源备映射错误，源端为smalldatetime None位	期望更改为text	实际备端为smalldatetime None位</t>
        </is>
      </c>
    </row>
    <row r="1323">
      <c r="A1323" t="inlineStr">
        <is>
          <t>info_int_dml_batch2_pk_irp2</t>
        </is>
      </c>
      <c r="K1323" t="inlineStr">
        <is>
          <t>[0;34m info_int_dml_batch2_pk_irp2 [0m源备字段数相同，源端字段：20 	备端字段20</t>
        </is>
      </c>
      <c r="W1323" s="17">
        <f>HYPERLINK("#2026041919hbase0!EI2","NO 源备存在差异，共90个")</f>
        <v/>
      </c>
      <c r="X1323">
        <f>A1323</f>
        <v/>
      </c>
    </row>
    <row r="1324">
      <c r="B1324" t="inlineStr">
        <is>
          <t>YES</t>
        </is>
      </c>
      <c r="C1324" t="inlineStr">
        <is>
          <t>NULL</t>
        </is>
      </c>
      <c r="D1324" t="inlineStr">
        <is>
          <t>NULL</t>
        </is>
      </c>
      <c r="E1324" t="inlineStr">
        <is>
          <t>NULL</t>
        </is>
      </c>
      <c r="F1324" t="inlineStr">
        <is>
          <t>NULL</t>
        </is>
      </c>
      <c r="G1324" t="inlineStr">
        <is>
          <t>NULL</t>
        </is>
      </c>
      <c r="H1324" t="inlineStr">
        <is>
          <t>NULL</t>
        </is>
      </c>
      <c r="I1324" t="inlineStr">
        <is>
          <t>YES!PK__info_int__3213E83F5A31D2CC</t>
        </is>
      </c>
      <c r="J1324" t="inlineStr">
        <is>
          <t>YES! 主键相关索引</t>
        </is>
      </c>
      <c r="K1324" t="inlineStr">
        <is>
          <t xml:space="preserve"> NO!  	 id列源备映射错误，源端为int None位	期望更改为text	实际备端为int None位</t>
        </is>
      </c>
    </row>
    <row r="1325">
      <c r="B1325" t="inlineStr">
        <is>
          <t>NULL</t>
        </is>
      </c>
      <c r="C1325" t="inlineStr">
        <is>
          <t>NULL</t>
        </is>
      </c>
      <c r="D1325" t="inlineStr">
        <is>
          <t>NULL</t>
        </is>
      </c>
      <c r="E1325" t="inlineStr">
        <is>
          <t>NULL</t>
        </is>
      </c>
      <c r="F1325" t="inlineStr">
        <is>
          <t>NULL</t>
        </is>
      </c>
      <c r="G1325" t="inlineStr">
        <is>
          <t>NULL</t>
        </is>
      </c>
      <c r="H1325" t="inlineStr">
        <is>
          <t>NULL</t>
        </is>
      </c>
      <c r="I1325" t="inlineStr">
        <is>
          <t>NULL</t>
        </is>
      </c>
      <c r="J1325" t="inlineStr">
        <is>
          <t>NULL</t>
        </is>
      </c>
      <c r="K1325" t="inlineStr">
        <is>
          <t xml:space="preserve"> NO!  	 c_tinyint列源备映射错误，源端为tinyint None位	期望更改为text	实际备端为tinyint None位</t>
        </is>
      </c>
    </row>
    <row r="1326">
      <c r="B1326" t="inlineStr">
        <is>
          <t>NULL</t>
        </is>
      </c>
      <c r="C1326" t="inlineStr">
        <is>
          <t>NULL</t>
        </is>
      </c>
      <c r="D1326" t="inlineStr">
        <is>
          <t>NULL</t>
        </is>
      </c>
      <c r="E1326" t="inlineStr">
        <is>
          <t>NULL</t>
        </is>
      </c>
      <c r="F1326" t="inlineStr">
        <is>
          <t>NULL</t>
        </is>
      </c>
      <c r="G1326" t="inlineStr">
        <is>
          <t>NULL</t>
        </is>
      </c>
      <c r="H1326" t="inlineStr">
        <is>
          <t>NULL</t>
        </is>
      </c>
      <c r="I1326" t="inlineStr">
        <is>
          <t>NULL</t>
        </is>
      </c>
      <c r="J1326" t="inlineStr">
        <is>
          <t>NULL</t>
        </is>
      </c>
      <c r="K1326" t="inlineStr">
        <is>
          <t xml:space="preserve"> NO!  	 c_smallint列源备映射错误，源端为smallint None位	期望更改为text	实际备端为smallint None位</t>
        </is>
      </c>
    </row>
    <row r="1327">
      <c r="B1327" t="inlineStr">
        <is>
          <t>NULL</t>
        </is>
      </c>
      <c r="C1327" t="inlineStr">
        <is>
          <t>NULL</t>
        </is>
      </c>
      <c r="D1327" t="inlineStr">
        <is>
          <t>NULL</t>
        </is>
      </c>
      <c r="E1327" t="inlineStr">
        <is>
          <t>NULL</t>
        </is>
      </c>
      <c r="F1327" t="inlineStr">
        <is>
          <t>NULL</t>
        </is>
      </c>
      <c r="G1327" t="inlineStr">
        <is>
          <t>NULL</t>
        </is>
      </c>
      <c r="H1327" t="inlineStr">
        <is>
          <t>NULL</t>
        </is>
      </c>
      <c r="I1327" t="inlineStr">
        <is>
          <t>NULL</t>
        </is>
      </c>
      <c r="J1327" t="inlineStr">
        <is>
          <t>NULL</t>
        </is>
      </c>
      <c r="K1327" t="inlineStr">
        <is>
          <t xml:space="preserve"> NO!  	 c_int列源备映射错误，源端为int None位	期望更改为text	实际备端为int None位</t>
        </is>
      </c>
    </row>
    <row r="1328">
      <c r="B1328" t="inlineStr">
        <is>
          <t>NULL</t>
        </is>
      </c>
      <c r="C1328" t="inlineStr">
        <is>
          <t>NULL</t>
        </is>
      </c>
      <c r="D1328" t="inlineStr">
        <is>
          <t>NULL</t>
        </is>
      </c>
      <c r="E1328" t="inlineStr">
        <is>
          <t>NULL</t>
        </is>
      </c>
      <c r="F1328" t="inlineStr">
        <is>
          <t>NULL</t>
        </is>
      </c>
      <c r="G1328" t="inlineStr">
        <is>
          <t>NULL</t>
        </is>
      </c>
      <c r="H1328" t="inlineStr">
        <is>
          <t>NULL</t>
        </is>
      </c>
      <c r="I1328" t="inlineStr">
        <is>
          <t>NULL</t>
        </is>
      </c>
      <c r="J1328" t="inlineStr">
        <is>
          <t>NULL</t>
        </is>
      </c>
      <c r="K1328" t="inlineStr">
        <is>
          <t xml:space="preserve"> NO!  	 c_bigint列源备映射错误，源端为bigint None位	期望更改为text	实际备端为bigint None位</t>
        </is>
      </c>
    </row>
    <row r="1329">
      <c r="B1329" t="inlineStr">
        <is>
          <t>NULL</t>
        </is>
      </c>
      <c r="C1329" t="inlineStr">
        <is>
          <t>NULL</t>
        </is>
      </c>
      <c r="D1329" t="inlineStr">
        <is>
          <t>NULL</t>
        </is>
      </c>
      <c r="E1329" t="inlineStr">
        <is>
          <t>NULL</t>
        </is>
      </c>
      <c r="F1329" t="inlineStr">
        <is>
          <t>NULL</t>
        </is>
      </c>
      <c r="G1329" t="inlineStr">
        <is>
          <t>NULL</t>
        </is>
      </c>
      <c r="H1329" t="inlineStr">
        <is>
          <t>NULL</t>
        </is>
      </c>
      <c r="I1329" t="inlineStr">
        <is>
          <t>NULL</t>
        </is>
      </c>
      <c r="J1329" t="inlineStr">
        <is>
          <t>NULL</t>
        </is>
      </c>
      <c r="K1329" t="inlineStr">
        <is>
          <t xml:space="preserve"> NO!  	 c_decimal列源备映射错误，源端为decimal None位	期望更改为text	实际备端为decimal None位</t>
        </is>
      </c>
    </row>
    <row r="1330">
      <c r="B1330" t="inlineStr">
        <is>
          <t>NULL</t>
        </is>
      </c>
      <c r="C1330" t="inlineStr">
        <is>
          <t>NULL</t>
        </is>
      </c>
      <c r="D1330" t="inlineStr">
        <is>
          <t>NULL</t>
        </is>
      </c>
      <c r="E1330" t="inlineStr">
        <is>
          <t>NULL</t>
        </is>
      </c>
      <c r="F1330" t="inlineStr">
        <is>
          <t>NULL</t>
        </is>
      </c>
      <c r="G1330" t="inlineStr">
        <is>
          <t>NULL</t>
        </is>
      </c>
      <c r="H1330" t="inlineStr">
        <is>
          <t>NULL</t>
        </is>
      </c>
      <c r="I1330" t="inlineStr">
        <is>
          <t>NULL</t>
        </is>
      </c>
      <c r="J1330" t="inlineStr">
        <is>
          <t>NULL</t>
        </is>
      </c>
      <c r="K1330" t="inlineStr">
        <is>
          <t xml:space="preserve"> NO!  	 c_decimal38列源备映射错误，源端为decimal None位	期望更改为text	实际备端为decimal None位</t>
        </is>
      </c>
    </row>
    <row r="1331">
      <c r="B1331" t="inlineStr">
        <is>
          <t>NULL</t>
        </is>
      </c>
      <c r="C1331" t="inlineStr">
        <is>
          <t>NULL</t>
        </is>
      </c>
      <c r="D1331" t="inlineStr">
        <is>
          <t>NULL</t>
        </is>
      </c>
      <c r="E1331" t="inlineStr">
        <is>
          <t>NULL</t>
        </is>
      </c>
      <c r="F1331" t="inlineStr">
        <is>
          <t>NULL</t>
        </is>
      </c>
      <c r="G1331" t="inlineStr">
        <is>
          <t>NULL</t>
        </is>
      </c>
      <c r="H1331" t="inlineStr">
        <is>
          <t>NULL</t>
        </is>
      </c>
      <c r="I1331" t="inlineStr">
        <is>
          <t>NULL</t>
        </is>
      </c>
      <c r="J1331" t="inlineStr">
        <is>
          <t>NULL</t>
        </is>
      </c>
      <c r="K1331" t="inlineStr">
        <is>
          <t xml:space="preserve"> NO!  	 c_decimal38_38列源备映射错误，源端为decimal None位	期望更改为text	实际备端为decimal None位</t>
        </is>
      </c>
    </row>
    <row r="1332">
      <c r="B1332" t="inlineStr">
        <is>
          <t>NULL</t>
        </is>
      </c>
      <c r="C1332" t="inlineStr">
        <is>
          <t>NULL</t>
        </is>
      </c>
      <c r="D1332" t="inlineStr">
        <is>
          <t>NULL</t>
        </is>
      </c>
      <c r="E1332" t="inlineStr">
        <is>
          <t>NULL</t>
        </is>
      </c>
      <c r="F1332" t="inlineStr">
        <is>
          <t>NULL</t>
        </is>
      </c>
      <c r="G1332" t="inlineStr">
        <is>
          <t>NULL</t>
        </is>
      </c>
      <c r="H1332" t="inlineStr">
        <is>
          <t>NULL</t>
        </is>
      </c>
      <c r="I1332" t="inlineStr">
        <is>
          <t>NULL</t>
        </is>
      </c>
      <c r="J1332" t="inlineStr">
        <is>
          <t>NULL</t>
        </is>
      </c>
      <c r="K1332" t="inlineStr">
        <is>
          <t xml:space="preserve"> NO!  	 c_decimal38_10列源备映射错误，源端为decimal None位	期望更改为text	实际备端为decimal None位</t>
        </is>
      </c>
    </row>
    <row r="1333">
      <c r="B1333" t="inlineStr">
        <is>
          <t>NULL</t>
        </is>
      </c>
      <c r="C1333" t="inlineStr">
        <is>
          <t>NULL</t>
        </is>
      </c>
      <c r="D1333" t="inlineStr">
        <is>
          <t>NULL</t>
        </is>
      </c>
      <c r="E1333" t="inlineStr">
        <is>
          <t>NULL</t>
        </is>
      </c>
      <c r="F1333" t="inlineStr">
        <is>
          <t>NULL</t>
        </is>
      </c>
      <c r="G1333" t="inlineStr">
        <is>
          <t>NULL</t>
        </is>
      </c>
      <c r="H1333" t="inlineStr">
        <is>
          <t>NULL</t>
        </is>
      </c>
      <c r="I1333" t="inlineStr">
        <is>
          <t>NULL</t>
        </is>
      </c>
      <c r="J1333" t="inlineStr">
        <is>
          <t>NULL</t>
        </is>
      </c>
      <c r="K1333" t="inlineStr">
        <is>
          <t xml:space="preserve"> NO!  	 c_decimal19_4列源备映射错误，源端为decimal None位	期望更改为text	实际备端为decimal None位</t>
        </is>
      </c>
    </row>
    <row r="1334">
      <c r="B1334" t="inlineStr">
        <is>
          <t>NULL</t>
        </is>
      </c>
      <c r="C1334" t="inlineStr">
        <is>
          <t>NULL</t>
        </is>
      </c>
      <c r="D1334" t="inlineStr">
        <is>
          <t>NULL</t>
        </is>
      </c>
      <c r="E1334" t="inlineStr">
        <is>
          <t>NULL</t>
        </is>
      </c>
      <c r="F1334" t="inlineStr">
        <is>
          <t>NULL</t>
        </is>
      </c>
      <c r="G1334" t="inlineStr">
        <is>
          <t>NULL</t>
        </is>
      </c>
      <c r="H1334" t="inlineStr">
        <is>
          <t>NULL</t>
        </is>
      </c>
      <c r="I1334" t="inlineStr">
        <is>
          <t>NULL</t>
        </is>
      </c>
      <c r="J1334" t="inlineStr">
        <is>
          <t>NULL</t>
        </is>
      </c>
      <c r="K1334" t="inlineStr">
        <is>
          <t xml:space="preserve"> NO!  	 c_numeric列源备映射错误，源端为numeric None位	期望更改为text	实际备端为numeric None位</t>
        </is>
      </c>
    </row>
    <row r="1335">
      <c r="B1335" t="inlineStr">
        <is>
          <t>NULL</t>
        </is>
      </c>
      <c r="C1335" t="inlineStr">
        <is>
          <t>NULL</t>
        </is>
      </c>
      <c r="D1335" t="inlineStr">
        <is>
          <t>NULL</t>
        </is>
      </c>
      <c r="E1335" t="inlineStr">
        <is>
          <t>NULL</t>
        </is>
      </c>
      <c r="F1335" t="inlineStr">
        <is>
          <t>NULL</t>
        </is>
      </c>
      <c r="G1335" t="inlineStr">
        <is>
          <t>NULL</t>
        </is>
      </c>
      <c r="H1335" t="inlineStr">
        <is>
          <t>NULL</t>
        </is>
      </c>
      <c r="I1335" t="inlineStr">
        <is>
          <t>NULL</t>
        </is>
      </c>
      <c r="J1335" t="inlineStr">
        <is>
          <t>NULL</t>
        </is>
      </c>
      <c r="K1335" t="inlineStr">
        <is>
          <t xml:space="preserve"> NO!  	 c_numeric38列源备映射错误，源端为numeric None位	期望更改为text	实际备端为numeric None位</t>
        </is>
      </c>
    </row>
    <row r="1336">
      <c r="B1336" t="inlineStr">
        <is>
          <t>NULL</t>
        </is>
      </c>
      <c r="C1336" t="inlineStr">
        <is>
          <t>NULL</t>
        </is>
      </c>
      <c r="D1336" t="inlineStr">
        <is>
          <t>NULL</t>
        </is>
      </c>
      <c r="E1336" t="inlineStr">
        <is>
          <t>NULL</t>
        </is>
      </c>
      <c r="F1336" t="inlineStr">
        <is>
          <t>NULL</t>
        </is>
      </c>
      <c r="G1336" t="inlineStr">
        <is>
          <t>NULL</t>
        </is>
      </c>
      <c r="H1336" t="inlineStr">
        <is>
          <t>NULL</t>
        </is>
      </c>
      <c r="I1336" t="inlineStr">
        <is>
          <t>NULL</t>
        </is>
      </c>
      <c r="J1336" t="inlineStr">
        <is>
          <t>NULL</t>
        </is>
      </c>
      <c r="K1336" t="inlineStr">
        <is>
          <t xml:space="preserve"> NO!  	 c_numeric38_38列源备映射错误，源端为numeric None位	期望更改为text	实际备端为numeric None位</t>
        </is>
      </c>
    </row>
    <row r="1337">
      <c r="B1337" t="inlineStr">
        <is>
          <t>NULL</t>
        </is>
      </c>
      <c r="C1337" t="inlineStr">
        <is>
          <t>NULL</t>
        </is>
      </c>
      <c r="D1337" t="inlineStr">
        <is>
          <t>NULL</t>
        </is>
      </c>
      <c r="E1337" t="inlineStr">
        <is>
          <t>NULL</t>
        </is>
      </c>
      <c r="F1337" t="inlineStr">
        <is>
          <t>NULL</t>
        </is>
      </c>
      <c r="G1337" t="inlineStr">
        <is>
          <t>NULL</t>
        </is>
      </c>
      <c r="H1337" t="inlineStr">
        <is>
          <t>NULL</t>
        </is>
      </c>
      <c r="I1337" t="inlineStr">
        <is>
          <t>NULL</t>
        </is>
      </c>
      <c r="J1337" t="inlineStr">
        <is>
          <t>NULL</t>
        </is>
      </c>
      <c r="K1337" t="inlineStr">
        <is>
          <t xml:space="preserve"> NO!  	 c_numeric38_10列源备映射错误，源端为numeric None位	期望更改为text	实际备端为numeric None位</t>
        </is>
      </c>
    </row>
    <row r="1338">
      <c r="B1338" t="inlineStr">
        <is>
          <t>NULL</t>
        </is>
      </c>
      <c r="C1338" t="inlineStr">
        <is>
          <t>NULL</t>
        </is>
      </c>
      <c r="D1338" t="inlineStr">
        <is>
          <t>NULL</t>
        </is>
      </c>
      <c r="E1338" t="inlineStr">
        <is>
          <t>NULL</t>
        </is>
      </c>
      <c r="F1338" t="inlineStr">
        <is>
          <t>NULL</t>
        </is>
      </c>
      <c r="G1338" t="inlineStr">
        <is>
          <t>NULL</t>
        </is>
      </c>
      <c r="H1338" t="inlineStr">
        <is>
          <t>NULL</t>
        </is>
      </c>
      <c r="I1338" t="inlineStr">
        <is>
          <t>NULL</t>
        </is>
      </c>
      <c r="J1338" t="inlineStr">
        <is>
          <t>NULL</t>
        </is>
      </c>
      <c r="K1338" t="inlineStr">
        <is>
          <t xml:space="preserve"> NO!  	 c_numeric18_2列源备映射错误，源端为numeric None位	期望更改为text	实际备端为numeric None位</t>
        </is>
      </c>
    </row>
    <row r="1339">
      <c r="B1339" t="inlineStr">
        <is>
          <t>NULL</t>
        </is>
      </c>
      <c r="C1339" t="inlineStr">
        <is>
          <t>NULL</t>
        </is>
      </c>
      <c r="D1339" t="inlineStr">
        <is>
          <t>NULL</t>
        </is>
      </c>
      <c r="E1339" t="inlineStr">
        <is>
          <t>NULL</t>
        </is>
      </c>
      <c r="F1339" t="inlineStr">
        <is>
          <t>NULL</t>
        </is>
      </c>
      <c r="G1339" t="inlineStr">
        <is>
          <t>NULL</t>
        </is>
      </c>
      <c r="H1339" t="inlineStr">
        <is>
          <t>NULL</t>
        </is>
      </c>
      <c r="I1339" t="inlineStr">
        <is>
          <t>NULL</t>
        </is>
      </c>
      <c r="J1339" t="inlineStr">
        <is>
          <t>NULL</t>
        </is>
      </c>
      <c r="K1339" t="inlineStr">
        <is>
          <t xml:space="preserve"> NO!  	 c_float列源备映射错误，源端为float None位	期望更改为text	实际备端为float None位</t>
        </is>
      </c>
    </row>
    <row r="1340">
      <c r="B1340" t="inlineStr">
        <is>
          <t>NULL</t>
        </is>
      </c>
      <c r="C1340" t="inlineStr">
        <is>
          <t>NULL</t>
        </is>
      </c>
      <c r="D1340" t="inlineStr">
        <is>
          <t>NULL</t>
        </is>
      </c>
      <c r="E1340" t="inlineStr">
        <is>
          <t>NULL</t>
        </is>
      </c>
      <c r="F1340" t="inlineStr">
        <is>
          <t>NULL</t>
        </is>
      </c>
      <c r="G1340" t="inlineStr">
        <is>
          <t>NULL</t>
        </is>
      </c>
      <c r="H1340" t="inlineStr">
        <is>
          <t>NULL</t>
        </is>
      </c>
      <c r="I1340" t="inlineStr">
        <is>
          <t>NULL</t>
        </is>
      </c>
      <c r="J1340" t="inlineStr">
        <is>
          <t>NULL</t>
        </is>
      </c>
      <c r="K1340" t="inlineStr">
        <is>
          <t xml:space="preserve"> NO!  	 c_real列源备映射错误，源端为real None位	期望更改为text	实际备端为real None位</t>
        </is>
      </c>
    </row>
    <row r="1341">
      <c r="B1341" t="inlineStr">
        <is>
          <t>NULL</t>
        </is>
      </c>
      <c r="C1341" t="inlineStr">
        <is>
          <t>NULL</t>
        </is>
      </c>
      <c r="D1341" t="inlineStr">
        <is>
          <t>NULL</t>
        </is>
      </c>
      <c r="E1341" t="inlineStr">
        <is>
          <t>NULL</t>
        </is>
      </c>
      <c r="F1341" t="inlineStr">
        <is>
          <t>NULL</t>
        </is>
      </c>
      <c r="G1341" t="inlineStr">
        <is>
          <t>NULL</t>
        </is>
      </c>
      <c r="H1341" t="inlineStr">
        <is>
          <t>NULL</t>
        </is>
      </c>
      <c r="I1341" t="inlineStr">
        <is>
          <t>NULL</t>
        </is>
      </c>
      <c r="J1341" t="inlineStr">
        <is>
          <t>NULL</t>
        </is>
      </c>
      <c r="K1341" t="inlineStr">
        <is>
          <t xml:space="preserve"> NO!  	 c_money列源备映射错误，源端为money None位	期望更改为text	实际备端为money None位</t>
        </is>
      </c>
    </row>
    <row r="1342">
      <c r="B1342" t="inlineStr">
        <is>
          <t>NULL</t>
        </is>
      </c>
      <c r="C1342" t="inlineStr">
        <is>
          <t>NULL</t>
        </is>
      </c>
      <c r="D1342" t="inlineStr">
        <is>
          <t>NULL</t>
        </is>
      </c>
      <c r="E1342" t="inlineStr">
        <is>
          <t>NULL</t>
        </is>
      </c>
      <c r="F1342" t="inlineStr">
        <is>
          <t>NULL</t>
        </is>
      </c>
      <c r="G1342" t="inlineStr">
        <is>
          <t>NULL</t>
        </is>
      </c>
      <c r="H1342" t="inlineStr">
        <is>
          <t>NULL</t>
        </is>
      </c>
      <c r="I1342" t="inlineStr">
        <is>
          <t>NULL</t>
        </is>
      </c>
      <c r="J1342" t="inlineStr">
        <is>
          <t>NULL</t>
        </is>
      </c>
      <c r="K1342" t="inlineStr">
        <is>
          <t xml:space="preserve"> NO!  	 c_smallmoney列源备映射错误，源端为smallmoney None位	期望更改为text	实际备端为smallmoney None位</t>
        </is>
      </c>
    </row>
    <row r="1343">
      <c r="B1343" t="inlineStr">
        <is>
          <t>NULL</t>
        </is>
      </c>
      <c r="C1343" t="inlineStr">
        <is>
          <t>NULL</t>
        </is>
      </c>
      <c r="D1343" t="inlineStr">
        <is>
          <t>NULL</t>
        </is>
      </c>
      <c r="E1343" t="inlineStr">
        <is>
          <t>NULL</t>
        </is>
      </c>
      <c r="F1343" t="inlineStr">
        <is>
          <t>NULL</t>
        </is>
      </c>
      <c r="G1343" t="inlineStr">
        <is>
          <t>NULL</t>
        </is>
      </c>
      <c r="H1343" t="inlineStr">
        <is>
          <t>NULL</t>
        </is>
      </c>
      <c r="I1343" t="inlineStr">
        <is>
          <t>NULL</t>
        </is>
      </c>
      <c r="J1343" t="inlineStr">
        <is>
          <t>NULL</t>
        </is>
      </c>
      <c r="K1343" t="inlineStr">
        <is>
          <t xml:space="preserve"> NO!  	 c_bit列源备映射错误，源端为bit None位	期望更改为text	实际备端为bit None位</t>
        </is>
      </c>
    </row>
    <row r="1344">
      <c r="A1344" t="inlineStr">
        <is>
          <t>info_int_dml_batch2_pk_irp1</t>
        </is>
      </c>
      <c r="K1344" t="inlineStr">
        <is>
          <t>[0;34m info_int_dml_batch2_pk_irp1 [0m源备字段数相同，源端字段：20 	备端字段20</t>
        </is>
      </c>
      <c r="W1344" s="17">
        <f>HYPERLINK("#2026041919hbase0!EJ2","NO 源备存在差异，共20个")</f>
        <v/>
      </c>
      <c r="X1344">
        <f>A1344</f>
        <v/>
      </c>
    </row>
    <row r="1345">
      <c r="B1345" t="inlineStr">
        <is>
          <t>YES</t>
        </is>
      </c>
      <c r="C1345" t="inlineStr">
        <is>
          <t>NULL</t>
        </is>
      </c>
      <c r="D1345" t="inlineStr">
        <is>
          <t>NULL</t>
        </is>
      </c>
      <c r="E1345" t="inlineStr">
        <is>
          <t>NULL</t>
        </is>
      </c>
      <c r="F1345" t="inlineStr">
        <is>
          <t>NULL</t>
        </is>
      </c>
      <c r="G1345" t="inlineStr">
        <is>
          <t>NULL</t>
        </is>
      </c>
      <c r="H1345" t="inlineStr">
        <is>
          <t>NULL</t>
        </is>
      </c>
      <c r="I1345" t="inlineStr">
        <is>
          <t>YES!PK__info_int__3213E83FB362AEC0</t>
        </is>
      </c>
      <c r="J1345" t="inlineStr">
        <is>
          <t>YES! 主键相关索引</t>
        </is>
      </c>
      <c r="K1345" t="inlineStr">
        <is>
          <t xml:space="preserve"> NO!  	 id列源备映射错误，源端为int None位	期望更改为text	实际备端为int None位</t>
        </is>
      </c>
    </row>
    <row r="1346">
      <c r="B1346" t="inlineStr">
        <is>
          <t>NULL</t>
        </is>
      </c>
      <c r="C1346" t="inlineStr">
        <is>
          <t>NULL</t>
        </is>
      </c>
      <c r="D1346" t="inlineStr">
        <is>
          <t>NULL</t>
        </is>
      </c>
      <c r="E1346" t="inlineStr">
        <is>
          <t>NULL</t>
        </is>
      </c>
      <c r="F1346" t="inlineStr">
        <is>
          <t>NULL</t>
        </is>
      </c>
      <c r="G1346" t="inlineStr">
        <is>
          <t>NULL</t>
        </is>
      </c>
      <c r="H1346" t="inlineStr">
        <is>
          <t>NULL</t>
        </is>
      </c>
      <c r="I1346" t="inlineStr">
        <is>
          <t>NULL</t>
        </is>
      </c>
      <c r="J1346" t="inlineStr">
        <is>
          <t>NULL</t>
        </is>
      </c>
      <c r="K1346" t="inlineStr">
        <is>
          <t xml:space="preserve"> NO!  	 c_tinyint列源备映射错误，源端为tinyint None位	期望更改为text	实际备端为tinyint None位</t>
        </is>
      </c>
    </row>
    <row r="1347">
      <c r="B1347" t="inlineStr">
        <is>
          <t>NULL</t>
        </is>
      </c>
      <c r="C1347" t="inlineStr">
        <is>
          <t>NULL</t>
        </is>
      </c>
      <c r="D1347" t="inlineStr">
        <is>
          <t>NULL</t>
        </is>
      </c>
      <c r="E1347" t="inlineStr">
        <is>
          <t>NULL</t>
        </is>
      </c>
      <c r="F1347" t="inlineStr">
        <is>
          <t>NULL</t>
        </is>
      </c>
      <c r="G1347" t="inlineStr">
        <is>
          <t>NULL</t>
        </is>
      </c>
      <c r="H1347" t="inlineStr">
        <is>
          <t>NULL</t>
        </is>
      </c>
      <c r="I1347" t="inlineStr">
        <is>
          <t>NULL</t>
        </is>
      </c>
      <c r="J1347" t="inlineStr">
        <is>
          <t>NULL</t>
        </is>
      </c>
      <c r="K1347" t="inlineStr">
        <is>
          <t xml:space="preserve"> NO!  	 c_smallint列源备映射错误，源端为smallint None位	期望更改为text	实际备端为smallint None位</t>
        </is>
      </c>
    </row>
    <row r="1348">
      <c r="B1348" t="inlineStr">
        <is>
          <t>NULL</t>
        </is>
      </c>
      <c r="C1348" t="inlineStr">
        <is>
          <t>NULL</t>
        </is>
      </c>
      <c r="D1348" t="inlineStr">
        <is>
          <t>NULL</t>
        </is>
      </c>
      <c r="E1348" t="inlineStr">
        <is>
          <t>NULL</t>
        </is>
      </c>
      <c r="F1348" t="inlineStr">
        <is>
          <t>NULL</t>
        </is>
      </c>
      <c r="G1348" t="inlineStr">
        <is>
          <t>NULL</t>
        </is>
      </c>
      <c r="H1348" t="inlineStr">
        <is>
          <t>NULL</t>
        </is>
      </c>
      <c r="I1348" t="inlineStr">
        <is>
          <t>NULL</t>
        </is>
      </c>
      <c r="J1348" t="inlineStr">
        <is>
          <t>NULL</t>
        </is>
      </c>
      <c r="K1348" t="inlineStr">
        <is>
          <t xml:space="preserve"> NO!  	 c_int列源备映射错误，源端为int None位	期望更改为text	实际备端为int None位</t>
        </is>
      </c>
    </row>
    <row r="1349">
      <c r="B1349" t="inlineStr">
        <is>
          <t>NULL</t>
        </is>
      </c>
      <c r="C1349" t="inlineStr">
        <is>
          <t>NULL</t>
        </is>
      </c>
      <c r="D1349" t="inlineStr">
        <is>
          <t>NULL</t>
        </is>
      </c>
      <c r="E1349" t="inlineStr">
        <is>
          <t>NULL</t>
        </is>
      </c>
      <c r="F1349" t="inlineStr">
        <is>
          <t>NULL</t>
        </is>
      </c>
      <c r="G1349" t="inlineStr">
        <is>
          <t>NULL</t>
        </is>
      </c>
      <c r="H1349" t="inlineStr">
        <is>
          <t>NULL</t>
        </is>
      </c>
      <c r="I1349" t="inlineStr">
        <is>
          <t>NULL</t>
        </is>
      </c>
      <c r="J1349" t="inlineStr">
        <is>
          <t>NULL</t>
        </is>
      </c>
      <c r="K1349" t="inlineStr">
        <is>
          <t xml:space="preserve"> NO!  	 c_bigint列源备映射错误，源端为bigint None位	期望更改为text	实际备端为bigint None位</t>
        </is>
      </c>
    </row>
    <row r="1350">
      <c r="B1350" t="inlineStr">
        <is>
          <t>NULL</t>
        </is>
      </c>
      <c r="C1350" t="inlineStr">
        <is>
          <t>NULL</t>
        </is>
      </c>
      <c r="D1350" t="inlineStr">
        <is>
          <t>NULL</t>
        </is>
      </c>
      <c r="E1350" t="inlineStr">
        <is>
          <t>NULL</t>
        </is>
      </c>
      <c r="F1350" t="inlineStr">
        <is>
          <t>NULL</t>
        </is>
      </c>
      <c r="G1350" t="inlineStr">
        <is>
          <t>NULL</t>
        </is>
      </c>
      <c r="H1350" t="inlineStr">
        <is>
          <t>NULL</t>
        </is>
      </c>
      <c r="I1350" t="inlineStr">
        <is>
          <t>NULL</t>
        </is>
      </c>
      <c r="J1350" t="inlineStr">
        <is>
          <t>NULL</t>
        </is>
      </c>
      <c r="K1350" t="inlineStr">
        <is>
          <t xml:space="preserve"> NO!  	 c_decimal列源备映射错误，源端为decimal None位	期望更改为text	实际备端为decimal None位</t>
        </is>
      </c>
    </row>
    <row r="1351">
      <c r="B1351" t="inlineStr">
        <is>
          <t>NULL</t>
        </is>
      </c>
      <c r="C1351" t="inlineStr">
        <is>
          <t>NULL</t>
        </is>
      </c>
      <c r="D1351" t="inlineStr">
        <is>
          <t>NULL</t>
        </is>
      </c>
      <c r="E1351" t="inlineStr">
        <is>
          <t>NULL</t>
        </is>
      </c>
      <c r="F1351" t="inlineStr">
        <is>
          <t>NULL</t>
        </is>
      </c>
      <c r="G1351" t="inlineStr">
        <is>
          <t>NULL</t>
        </is>
      </c>
      <c r="H1351" t="inlineStr">
        <is>
          <t>NULL</t>
        </is>
      </c>
      <c r="I1351" t="inlineStr">
        <is>
          <t>NULL</t>
        </is>
      </c>
      <c r="J1351" t="inlineStr">
        <is>
          <t>NULL</t>
        </is>
      </c>
      <c r="K1351" t="inlineStr">
        <is>
          <t xml:space="preserve"> NO!  	 c_decimal38列源备映射错误，源端为decimal None位	期望更改为text	实际备端为decimal None位</t>
        </is>
      </c>
    </row>
    <row r="1352">
      <c r="B1352" t="inlineStr">
        <is>
          <t>NULL</t>
        </is>
      </c>
      <c r="C1352" t="inlineStr">
        <is>
          <t>NULL</t>
        </is>
      </c>
      <c r="D1352" t="inlineStr">
        <is>
          <t>NULL</t>
        </is>
      </c>
      <c r="E1352" t="inlineStr">
        <is>
          <t>NULL</t>
        </is>
      </c>
      <c r="F1352" t="inlineStr">
        <is>
          <t>NULL</t>
        </is>
      </c>
      <c r="G1352" t="inlineStr">
        <is>
          <t>NULL</t>
        </is>
      </c>
      <c r="H1352" t="inlineStr">
        <is>
          <t>NULL</t>
        </is>
      </c>
      <c r="I1352" t="inlineStr">
        <is>
          <t>NULL</t>
        </is>
      </c>
      <c r="J1352" t="inlineStr">
        <is>
          <t>NULL</t>
        </is>
      </c>
      <c r="K1352" t="inlineStr">
        <is>
          <t xml:space="preserve"> NO!  	 c_decimal38_38列源备映射错误，源端为decimal None位	期望更改为text	实际备端为decimal None位</t>
        </is>
      </c>
    </row>
    <row r="1353">
      <c r="B1353" t="inlineStr">
        <is>
          <t>NULL</t>
        </is>
      </c>
      <c r="C1353" t="inlineStr">
        <is>
          <t>NULL</t>
        </is>
      </c>
      <c r="D1353" t="inlineStr">
        <is>
          <t>NULL</t>
        </is>
      </c>
      <c r="E1353" t="inlineStr">
        <is>
          <t>NULL</t>
        </is>
      </c>
      <c r="F1353" t="inlineStr">
        <is>
          <t>NULL</t>
        </is>
      </c>
      <c r="G1353" t="inlineStr">
        <is>
          <t>NULL</t>
        </is>
      </c>
      <c r="H1353" t="inlineStr">
        <is>
          <t>NULL</t>
        </is>
      </c>
      <c r="I1353" t="inlineStr">
        <is>
          <t>NULL</t>
        </is>
      </c>
      <c r="J1353" t="inlineStr">
        <is>
          <t>NULL</t>
        </is>
      </c>
      <c r="K1353" t="inlineStr">
        <is>
          <t xml:space="preserve"> NO!  	 c_decimal38_10列源备映射错误，源端为decimal None位	期望更改为text	实际备端为decimal None位</t>
        </is>
      </c>
    </row>
    <row r="1354">
      <c r="B1354" t="inlineStr">
        <is>
          <t>NULL</t>
        </is>
      </c>
      <c r="C1354" t="inlineStr">
        <is>
          <t>NULL</t>
        </is>
      </c>
      <c r="D1354" t="inlineStr">
        <is>
          <t>NULL</t>
        </is>
      </c>
      <c r="E1354" t="inlineStr">
        <is>
          <t>NULL</t>
        </is>
      </c>
      <c r="F1354" t="inlineStr">
        <is>
          <t>NULL</t>
        </is>
      </c>
      <c r="G1354" t="inlineStr">
        <is>
          <t>NULL</t>
        </is>
      </c>
      <c r="H1354" t="inlineStr">
        <is>
          <t>NULL</t>
        </is>
      </c>
      <c r="I1354" t="inlineStr">
        <is>
          <t>NULL</t>
        </is>
      </c>
      <c r="J1354" t="inlineStr">
        <is>
          <t>NULL</t>
        </is>
      </c>
      <c r="K1354" t="inlineStr">
        <is>
          <t xml:space="preserve"> NO!  	 c_decimal19_4列源备映射错误，源端为decimal None位	期望更改为text	实际备端为decimal None位</t>
        </is>
      </c>
    </row>
    <row r="1355">
      <c r="B1355" t="inlineStr">
        <is>
          <t>NULL</t>
        </is>
      </c>
      <c r="C1355" t="inlineStr">
        <is>
          <t>NULL</t>
        </is>
      </c>
      <c r="D1355" t="inlineStr">
        <is>
          <t>NULL</t>
        </is>
      </c>
      <c r="E1355" t="inlineStr">
        <is>
          <t>NULL</t>
        </is>
      </c>
      <c r="F1355" t="inlineStr">
        <is>
          <t>NULL</t>
        </is>
      </c>
      <c r="G1355" t="inlineStr">
        <is>
          <t>NULL</t>
        </is>
      </c>
      <c r="H1355" t="inlineStr">
        <is>
          <t>NULL</t>
        </is>
      </c>
      <c r="I1355" t="inlineStr">
        <is>
          <t>NULL</t>
        </is>
      </c>
      <c r="J1355" t="inlineStr">
        <is>
          <t>NULL</t>
        </is>
      </c>
      <c r="K1355" t="inlineStr">
        <is>
          <t xml:space="preserve"> NO!  	 c_numeric列源备映射错误，源端为numeric None位	期望更改为text	实际备端为numeric None位</t>
        </is>
      </c>
    </row>
    <row r="1356">
      <c r="B1356" t="inlineStr">
        <is>
          <t>NULL</t>
        </is>
      </c>
      <c r="C1356" t="inlineStr">
        <is>
          <t>NULL</t>
        </is>
      </c>
      <c r="D1356" t="inlineStr">
        <is>
          <t>NULL</t>
        </is>
      </c>
      <c r="E1356" t="inlineStr">
        <is>
          <t>NULL</t>
        </is>
      </c>
      <c r="F1356" t="inlineStr">
        <is>
          <t>NULL</t>
        </is>
      </c>
      <c r="G1356" t="inlineStr">
        <is>
          <t>NULL</t>
        </is>
      </c>
      <c r="H1356" t="inlineStr">
        <is>
          <t>NULL</t>
        </is>
      </c>
      <c r="I1356" t="inlineStr">
        <is>
          <t>NULL</t>
        </is>
      </c>
      <c r="J1356" t="inlineStr">
        <is>
          <t>NULL</t>
        </is>
      </c>
      <c r="K1356" t="inlineStr">
        <is>
          <t xml:space="preserve"> NO!  	 c_numeric38列源备映射错误，源端为numeric None位	期望更改为text	实际备端为numeric None位</t>
        </is>
      </c>
    </row>
    <row r="1357">
      <c r="B1357" t="inlineStr">
        <is>
          <t>NULL</t>
        </is>
      </c>
      <c r="C1357" t="inlineStr">
        <is>
          <t>NULL</t>
        </is>
      </c>
      <c r="D1357" t="inlineStr">
        <is>
          <t>NULL</t>
        </is>
      </c>
      <c r="E1357" t="inlineStr">
        <is>
          <t>NULL</t>
        </is>
      </c>
      <c r="F1357" t="inlineStr">
        <is>
          <t>NULL</t>
        </is>
      </c>
      <c r="G1357" t="inlineStr">
        <is>
          <t>NULL</t>
        </is>
      </c>
      <c r="H1357" t="inlineStr">
        <is>
          <t>NULL</t>
        </is>
      </c>
      <c r="I1357" t="inlineStr">
        <is>
          <t>NULL</t>
        </is>
      </c>
      <c r="J1357" t="inlineStr">
        <is>
          <t>NULL</t>
        </is>
      </c>
      <c r="K1357" t="inlineStr">
        <is>
          <t xml:space="preserve"> NO!  	 c_numeric38_38列源备映射错误，源端为numeric None位	期望更改为text	实际备端为numeric None位</t>
        </is>
      </c>
    </row>
    <row r="1358">
      <c r="B1358" t="inlineStr">
        <is>
          <t>NULL</t>
        </is>
      </c>
      <c r="C1358" t="inlineStr">
        <is>
          <t>NULL</t>
        </is>
      </c>
      <c r="D1358" t="inlineStr">
        <is>
          <t>NULL</t>
        </is>
      </c>
      <c r="E1358" t="inlineStr">
        <is>
          <t>NULL</t>
        </is>
      </c>
      <c r="F1358" t="inlineStr">
        <is>
          <t>NULL</t>
        </is>
      </c>
      <c r="G1358" t="inlineStr">
        <is>
          <t>NULL</t>
        </is>
      </c>
      <c r="H1358" t="inlineStr">
        <is>
          <t>NULL</t>
        </is>
      </c>
      <c r="I1358" t="inlineStr">
        <is>
          <t>NULL</t>
        </is>
      </c>
      <c r="J1358" t="inlineStr">
        <is>
          <t>NULL</t>
        </is>
      </c>
      <c r="K1358" t="inlineStr">
        <is>
          <t xml:space="preserve"> NO!  	 c_numeric38_10列源备映射错误，源端为numeric None位	期望更改为text	实际备端为numeric None位</t>
        </is>
      </c>
    </row>
    <row r="1359">
      <c r="B1359" t="inlineStr">
        <is>
          <t>NULL</t>
        </is>
      </c>
      <c r="C1359" t="inlineStr">
        <is>
          <t>NULL</t>
        </is>
      </c>
      <c r="D1359" t="inlineStr">
        <is>
          <t>NULL</t>
        </is>
      </c>
      <c r="E1359" t="inlineStr">
        <is>
          <t>NULL</t>
        </is>
      </c>
      <c r="F1359" t="inlineStr">
        <is>
          <t>NULL</t>
        </is>
      </c>
      <c r="G1359" t="inlineStr">
        <is>
          <t>NULL</t>
        </is>
      </c>
      <c r="H1359" t="inlineStr">
        <is>
          <t>NULL</t>
        </is>
      </c>
      <c r="I1359" t="inlineStr">
        <is>
          <t>NULL</t>
        </is>
      </c>
      <c r="J1359" t="inlineStr">
        <is>
          <t>NULL</t>
        </is>
      </c>
      <c r="K1359" t="inlineStr">
        <is>
          <t xml:space="preserve"> NO!  	 c_numeric18_2列源备映射错误，源端为numeric None位	期望更改为text	实际备端为numeric None位</t>
        </is>
      </c>
    </row>
    <row r="1360">
      <c r="B1360" t="inlineStr">
        <is>
          <t>NULL</t>
        </is>
      </c>
      <c r="C1360" t="inlineStr">
        <is>
          <t>NULL</t>
        </is>
      </c>
      <c r="D1360" t="inlineStr">
        <is>
          <t>NULL</t>
        </is>
      </c>
      <c r="E1360" t="inlineStr">
        <is>
          <t>NULL</t>
        </is>
      </c>
      <c r="F1360" t="inlineStr">
        <is>
          <t>NULL</t>
        </is>
      </c>
      <c r="G1360" t="inlineStr">
        <is>
          <t>NULL</t>
        </is>
      </c>
      <c r="H1360" t="inlineStr">
        <is>
          <t>NULL</t>
        </is>
      </c>
      <c r="I1360" t="inlineStr">
        <is>
          <t>NULL</t>
        </is>
      </c>
      <c r="J1360" t="inlineStr">
        <is>
          <t>NULL</t>
        </is>
      </c>
      <c r="K1360" t="inlineStr">
        <is>
          <t xml:space="preserve"> NO!  	 c_float列源备映射错误，源端为float None位	期望更改为text	实际备端为float None位</t>
        </is>
      </c>
    </row>
    <row r="1361">
      <c r="B1361" t="inlineStr">
        <is>
          <t>NULL</t>
        </is>
      </c>
      <c r="C1361" t="inlineStr">
        <is>
          <t>NULL</t>
        </is>
      </c>
      <c r="D1361" t="inlineStr">
        <is>
          <t>NULL</t>
        </is>
      </c>
      <c r="E1361" t="inlineStr">
        <is>
          <t>NULL</t>
        </is>
      </c>
      <c r="F1361" t="inlineStr">
        <is>
          <t>NULL</t>
        </is>
      </c>
      <c r="G1361" t="inlineStr">
        <is>
          <t>NULL</t>
        </is>
      </c>
      <c r="H1361" t="inlineStr">
        <is>
          <t>NULL</t>
        </is>
      </c>
      <c r="I1361" t="inlineStr">
        <is>
          <t>NULL</t>
        </is>
      </c>
      <c r="J1361" t="inlineStr">
        <is>
          <t>NULL</t>
        </is>
      </c>
      <c r="K1361" t="inlineStr">
        <is>
          <t xml:space="preserve"> NO!  	 c_real列源备映射错误，源端为real None位	期望更改为text	实际备端为real None位</t>
        </is>
      </c>
    </row>
    <row r="1362">
      <c r="B1362" t="inlineStr">
        <is>
          <t>NULL</t>
        </is>
      </c>
      <c r="C1362" t="inlineStr">
        <is>
          <t>NULL</t>
        </is>
      </c>
      <c r="D1362" t="inlineStr">
        <is>
          <t>NULL</t>
        </is>
      </c>
      <c r="E1362" t="inlineStr">
        <is>
          <t>NULL</t>
        </is>
      </c>
      <c r="F1362" t="inlineStr">
        <is>
          <t>NULL</t>
        </is>
      </c>
      <c r="G1362" t="inlineStr">
        <is>
          <t>NULL</t>
        </is>
      </c>
      <c r="H1362" t="inlineStr">
        <is>
          <t>NULL</t>
        </is>
      </c>
      <c r="I1362" t="inlineStr">
        <is>
          <t>NULL</t>
        </is>
      </c>
      <c r="J1362" t="inlineStr">
        <is>
          <t>NULL</t>
        </is>
      </c>
      <c r="K1362" t="inlineStr">
        <is>
          <t xml:space="preserve"> NO!  	 c_money列源备映射错误，源端为money None位	期望更改为text	实际备端为money None位</t>
        </is>
      </c>
    </row>
    <row r="1363">
      <c r="B1363" t="inlineStr">
        <is>
          <t>NULL</t>
        </is>
      </c>
      <c r="C1363" t="inlineStr">
        <is>
          <t>NULL</t>
        </is>
      </c>
      <c r="D1363" t="inlineStr">
        <is>
          <t>NULL</t>
        </is>
      </c>
      <c r="E1363" t="inlineStr">
        <is>
          <t>NULL</t>
        </is>
      </c>
      <c r="F1363" t="inlineStr">
        <is>
          <t>NULL</t>
        </is>
      </c>
      <c r="G1363" t="inlineStr">
        <is>
          <t>NULL</t>
        </is>
      </c>
      <c r="H1363" t="inlineStr">
        <is>
          <t>NULL</t>
        </is>
      </c>
      <c r="I1363" t="inlineStr">
        <is>
          <t>NULL</t>
        </is>
      </c>
      <c r="J1363" t="inlineStr">
        <is>
          <t>NULL</t>
        </is>
      </c>
      <c r="K1363" t="inlineStr">
        <is>
          <t xml:space="preserve"> NO!  	 c_smallmoney列源备映射错误，源端为smallmoney None位	期望更改为text	实际备端为smallmoney None位</t>
        </is>
      </c>
    </row>
    <row r="1364">
      <c r="B1364" t="inlineStr">
        <is>
          <t>NULL</t>
        </is>
      </c>
      <c r="C1364" t="inlineStr">
        <is>
          <t>NULL</t>
        </is>
      </c>
      <c r="D1364" t="inlineStr">
        <is>
          <t>NULL</t>
        </is>
      </c>
      <c r="E1364" t="inlineStr">
        <is>
          <t>NULL</t>
        </is>
      </c>
      <c r="F1364" t="inlineStr">
        <is>
          <t>NULL</t>
        </is>
      </c>
      <c r="G1364" t="inlineStr">
        <is>
          <t>NULL</t>
        </is>
      </c>
      <c r="H1364" t="inlineStr">
        <is>
          <t>NULL</t>
        </is>
      </c>
      <c r="I1364" t="inlineStr">
        <is>
          <t>NULL</t>
        </is>
      </c>
      <c r="J1364" t="inlineStr">
        <is>
          <t>NULL</t>
        </is>
      </c>
      <c r="K1364" t="inlineStr">
        <is>
          <t xml:space="preserve"> NO!  	 c_bit列源备映射错误，源端为bit None位	期望更改为text	实际备端为bit None位</t>
        </is>
      </c>
    </row>
    <row r="1365">
      <c r="A1365" t="inlineStr">
        <is>
          <t>info_varbinary_dml_batch2_pk_irp2</t>
        </is>
      </c>
      <c r="K1365" t="inlineStr">
        <is>
          <t>[0;34m info_varbinary_dml_batch2_pk_irp2 [0m源备字段数相同，源端字段：4 	备端字段4</t>
        </is>
      </c>
      <c r="W1365" s="17">
        <f>HYPERLINK("#2026041919hbase0!EK2","NO 源备存在差异，共23个")</f>
        <v/>
      </c>
      <c r="X1365">
        <f>A1365</f>
        <v/>
      </c>
    </row>
    <row r="1366">
      <c r="B1366" t="inlineStr">
        <is>
          <t>YES</t>
        </is>
      </c>
      <c r="C1366" t="inlineStr">
        <is>
          <t>NULL</t>
        </is>
      </c>
      <c r="D1366" t="inlineStr">
        <is>
          <t>NULL</t>
        </is>
      </c>
      <c r="E1366" t="inlineStr">
        <is>
          <t>NULL</t>
        </is>
      </c>
      <c r="F1366" t="inlineStr">
        <is>
          <t>NULL</t>
        </is>
      </c>
      <c r="G1366" t="inlineStr">
        <is>
          <t>NULL</t>
        </is>
      </c>
      <c r="H1366" t="inlineStr">
        <is>
          <t>NULL</t>
        </is>
      </c>
      <c r="I1366" t="inlineStr">
        <is>
          <t>YES!PK__info_var__3213E83F97235F76</t>
        </is>
      </c>
      <c r="J1366" t="inlineStr">
        <is>
          <t>YES! 主键相关索引</t>
        </is>
      </c>
      <c r="K1366" t="inlineStr">
        <is>
          <t xml:space="preserve"> NO!  	 id列源备映射错误，源端为int None位	期望更改为text	实际备端为int None位</t>
        </is>
      </c>
    </row>
    <row r="1367">
      <c r="B1367" t="inlineStr">
        <is>
          <t>NULL</t>
        </is>
      </c>
      <c r="C1367" t="inlineStr">
        <is>
          <t>NULL</t>
        </is>
      </c>
      <c r="D1367" t="inlineStr">
        <is>
          <t>NULL</t>
        </is>
      </c>
      <c r="E1367" t="inlineStr">
        <is>
          <t>NULL</t>
        </is>
      </c>
      <c r="F1367" t="inlineStr">
        <is>
          <t>NULL</t>
        </is>
      </c>
      <c r="G1367" t="inlineStr">
        <is>
          <t>NULL</t>
        </is>
      </c>
      <c r="H1367" t="inlineStr">
        <is>
          <t>NULL</t>
        </is>
      </c>
      <c r="I1367" t="inlineStr">
        <is>
          <t>NULL</t>
        </is>
      </c>
      <c r="J1367" t="inlineStr">
        <is>
          <t>NULL</t>
        </is>
      </c>
      <c r="K1367" t="inlineStr">
        <is>
          <t xml:space="preserve"> NO!  	 c_varbinary列源备映射错误，源端为varbinary 1位	期望更改为text	实际备端为varbinary 1位</t>
        </is>
      </c>
    </row>
    <row r="1368">
      <c r="B1368" t="inlineStr">
        <is>
          <t>NULL</t>
        </is>
      </c>
      <c r="C1368" t="inlineStr">
        <is>
          <t>NULL</t>
        </is>
      </c>
      <c r="D1368" t="inlineStr">
        <is>
          <t>NULL</t>
        </is>
      </c>
      <c r="E1368" t="inlineStr">
        <is>
          <t>NULL</t>
        </is>
      </c>
      <c r="F1368" t="inlineStr">
        <is>
          <t>NULL</t>
        </is>
      </c>
      <c r="G1368" t="inlineStr">
        <is>
          <t>NULL</t>
        </is>
      </c>
      <c r="H1368" t="inlineStr">
        <is>
          <t>NULL</t>
        </is>
      </c>
      <c r="I1368" t="inlineStr">
        <is>
          <t>NULL</t>
        </is>
      </c>
      <c r="J1368" t="inlineStr">
        <is>
          <t>NULL</t>
        </is>
      </c>
      <c r="K1368" t="inlineStr">
        <is>
          <t xml:space="preserve"> NO!  	 c_varbinary_100列源备映射错误，源端为varbinary 100位	期望更改为text	实际备端为varbinary 100位</t>
        </is>
      </c>
    </row>
    <row r="1369">
      <c r="B1369" t="inlineStr">
        <is>
          <t>NULL</t>
        </is>
      </c>
      <c r="C1369" t="inlineStr">
        <is>
          <t>NULL</t>
        </is>
      </c>
      <c r="D1369" t="inlineStr">
        <is>
          <t>NULL</t>
        </is>
      </c>
      <c r="E1369" t="inlineStr">
        <is>
          <t>NULL</t>
        </is>
      </c>
      <c r="F1369" t="inlineStr">
        <is>
          <t>NULL</t>
        </is>
      </c>
      <c r="G1369" t="inlineStr">
        <is>
          <t>NULL</t>
        </is>
      </c>
      <c r="H1369" t="inlineStr">
        <is>
          <t>NULL</t>
        </is>
      </c>
      <c r="I1369" t="inlineStr">
        <is>
          <t>NULL</t>
        </is>
      </c>
      <c r="J1369" t="inlineStr">
        <is>
          <t>NULL</t>
        </is>
      </c>
      <c r="K1369" t="inlineStr">
        <is>
          <t xml:space="preserve"> NO!  	 c_varbinary_200列源备映射错误，源端为varbinary 200位	期望更改为text	实际备端为varbinary 200位</t>
        </is>
      </c>
    </row>
    <row r="1370">
      <c r="A1370" t="inlineStr">
        <is>
          <t>info_datetimeoffset_dml_single_pk_irp</t>
        </is>
      </c>
      <c r="K1370" t="inlineStr">
        <is>
          <t>[0;34m info_datetimeoffset_dml_single_pk_irp [0m源备字段数相同，源端字段：9 	备端字段9</t>
        </is>
      </c>
      <c r="W1370" s="17">
        <f>HYPERLINK("#2026041919hbase0!EL2","NO 源备存在差异，共12个")</f>
        <v/>
      </c>
      <c r="X1370">
        <f>A1370</f>
        <v/>
      </c>
    </row>
    <row r="1371">
      <c r="B1371" t="inlineStr">
        <is>
          <t>YES</t>
        </is>
      </c>
      <c r="C1371" t="inlineStr">
        <is>
          <t>NULL</t>
        </is>
      </c>
      <c r="D1371" t="inlineStr">
        <is>
          <t>NULL</t>
        </is>
      </c>
      <c r="E1371" t="inlineStr">
        <is>
          <t>NULL</t>
        </is>
      </c>
      <c r="F1371" t="inlineStr">
        <is>
          <t>NULL</t>
        </is>
      </c>
      <c r="G1371" t="inlineStr">
        <is>
          <t>NULL</t>
        </is>
      </c>
      <c r="H1371" t="inlineStr">
        <is>
          <t>NULL</t>
        </is>
      </c>
      <c r="I1371" t="inlineStr">
        <is>
          <t>YES!PK__info_dat__3213E83FBF5274F1</t>
        </is>
      </c>
      <c r="J1371" t="inlineStr">
        <is>
          <t>YES! 主键相关索引</t>
        </is>
      </c>
      <c r="K1371" t="inlineStr">
        <is>
          <t xml:space="preserve"> NO!  	 id列源备映射错误，源端为int None位	期望更改为text	实际备端为int None位</t>
        </is>
      </c>
    </row>
    <row r="1372">
      <c r="B1372" t="inlineStr">
        <is>
          <t>NULL</t>
        </is>
      </c>
      <c r="C1372" t="inlineStr">
        <is>
          <t>NULL</t>
        </is>
      </c>
      <c r="D1372" t="inlineStr">
        <is>
          <t>NULL</t>
        </is>
      </c>
      <c r="E1372" t="inlineStr">
        <is>
          <t>NULL</t>
        </is>
      </c>
      <c r="F1372" t="inlineStr">
        <is>
          <t>NULL</t>
        </is>
      </c>
      <c r="G1372" t="inlineStr">
        <is>
          <t>NULL</t>
        </is>
      </c>
      <c r="H1372" t="inlineStr">
        <is>
          <t>NULL</t>
        </is>
      </c>
      <c r="I1372" t="inlineStr">
        <is>
          <t>NULL</t>
        </is>
      </c>
      <c r="J1372" t="inlineStr">
        <is>
          <t>NULL</t>
        </is>
      </c>
      <c r="K1372" t="inlineStr">
        <is>
          <t xml:space="preserve"> NO!  	 c_dtoffset_0列源备映射错误，源端为datetimeoffset None位	期望更改为text	实际备端为datetimeoffset None位</t>
        </is>
      </c>
    </row>
    <row r="1373">
      <c r="B1373" t="inlineStr">
        <is>
          <t>NULL</t>
        </is>
      </c>
      <c r="C1373" t="inlineStr">
        <is>
          <t>NULL</t>
        </is>
      </c>
      <c r="D1373" t="inlineStr">
        <is>
          <t>NULL</t>
        </is>
      </c>
      <c r="E1373" t="inlineStr">
        <is>
          <t>NULL</t>
        </is>
      </c>
      <c r="F1373" t="inlineStr">
        <is>
          <t>NULL</t>
        </is>
      </c>
      <c r="G1373" t="inlineStr">
        <is>
          <t>NULL</t>
        </is>
      </c>
      <c r="H1373" t="inlineStr">
        <is>
          <t>NULL</t>
        </is>
      </c>
      <c r="I1373" t="inlineStr">
        <is>
          <t>NULL</t>
        </is>
      </c>
      <c r="J1373" t="inlineStr">
        <is>
          <t>NULL</t>
        </is>
      </c>
      <c r="K1373" t="inlineStr">
        <is>
          <t xml:space="preserve"> NO!  	 c_dtoffset_1列源备映射错误，源端为datetimeoffset None位	期望更改为text	实际备端为datetimeoffset None位</t>
        </is>
      </c>
    </row>
    <row r="1374">
      <c r="B1374" t="inlineStr">
        <is>
          <t>NULL</t>
        </is>
      </c>
      <c r="C1374" t="inlineStr">
        <is>
          <t>NULL</t>
        </is>
      </c>
      <c r="D1374" t="inlineStr">
        <is>
          <t>NULL</t>
        </is>
      </c>
      <c r="E1374" t="inlineStr">
        <is>
          <t>NULL</t>
        </is>
      </c>
      <c r="F1374" t="inlineStr">
        <is>
          <t>NULL</t>
        </is>
      </c>
      <c r="G1374" t="inlineStr">
        <is>
          <t>NULL</t>
        </is>
      </c>
      <c r="H1374" t="inlineStr">
        <is>
          <t>NULL</t>
        </is>
      </c>
      <c r="I1374" t="inlineStr">
        <is>
          <t>NULL</t>
        </is>
      </c>
      <c r="J1374" t="inlineStr">
        <is>
          <t>NULL</t>
        </is>
      </c>
      <c r="K1374" t="inlineStr">
        <is>
          <t xml:space="preserve"> NO!  	 c_dtoffset_2列源备映射错误，源端为datetimeoffset None位	期望更改为text	实际备端为datetimeoffset None位</t>
        </is>
      </c>
    </row>
    <row r="1375">
      <c r="B1375" t="inlineStr">
        <is>
          <t>NULL</t>
        </is>
      </c>
      <c r="C1375" t="inlineStr">
        <is>
          <t>NULL</t>
        </is>
      </c>
      <c r="D1375" t="inlineStr">
        <is>
          <t>NULL</t>
        </is>
      </c>
      <c r="E1375" t="inlineStr">
        <is>
          <t>NULL</t>
        </is>
      </c>
      <c r="F1375" t="inlineStr">
        <is>
          <t>NULL</t>
        </is>
      </c>
      <c r="G1375" t="inlineStr">
        <is>
          <t>NULL</t>
        </is>
      </c>
      <c r="H1375" t="inlineStr">
        <is>
          <t>NULL</t>
        </is>
      </c>
      <c r="I1375" t="inlineStr">
        <is>
          <t>NULL</t>
        </is>
      </c>
      <c r="J1375" t="inlineStr">
        <is>
          <t>NULL</t>
        </is>
      </c>
      <c r="K1375" t="inlineStr">
        <is>
          <t xml:space="preserve"> NO!  	 c_dtoffset_3列源备映射错误，源端为datetimeoffset None位	期望更改为text	实际备端为datetimeoffset None位</t>
        </is>
      </c>
    </row>
    <row r="1376">
      <c r="B1376" t="inlineStr">
        <is>
          <t>NULL</t>
        </is>
      </c>
      <c r="C1376" t="inlineStr">
        <is>
          <t>NULL</t>
        </is>
      </c>
      <c r="D1376" t="inlineStr">
        <is>
          <t>NULL</t>
        </is>
      </c>
      <c r="E1376" t="inlineStr">
        <is>
          <t>NULL</t>
        </is>
      </c>
      <c r="F1376" t="inlineStr">
        <is>
          <t>NULL</t>
        </is>
      </c>
      <c r="G1376" t="inlineStr">
        <is>
          <t>NULL</t>
        </is>
      </c>
      <c r="H1376" t="inlineStr">
        <is>
          <t>NULL</t>
        </is>
      </c>
      <c r="I1376" t="inlineStr">
        <is>
          <t>NULL</t>
        </is>
      </c>
      <c r="J1376" t="inlineStr">
        <is>
          <t>NULL</t>
        </is>
      </c>
      <c r="K1376" t="inlineStr">
        <is>
          <t xml:space="preserve"> NO!  	 c_dtoffset_4列源备映射错误，源端为datetimeoffset None位	期望更改为text	实际备端为datetimeoffset None位</t>
        </is>
      </c>
    </row>
    <row r="1377">
      <c r="B1377" t="inlineStr">
        <is>
          <t>NULL</t>
        </is>
      </c>
      <c r="C1377" t="inlineStr">
        <is>
          <t>NULL</t>
        </is>
      </c>
      <c r="D1377" t="inlineStr">
        <is>
          <t>NULL</t>
        </is>
      </c>
      <c r="E1377" t="inlineStr">
        <is>
          <t>NULL</t>
        </is>
      </c>
      <c r="F1377" t="inlineStr">
        <is>
          <t>NULL</t>
        </is>
      </c>
      <c r="G1377" t="inlineStr">
        <is>
          <t>NULL</t>
        </is>
      </c>
      <c r="H1377" t="inlineStr">
        <is>
          <t>NULL</t>
        </is>
      </c>
      <c r="I1377" t="inlineStr">
        <is>
          <t>NULL</t>
        </is>
      </c>
      <c r="J1377" t="inlineStr">
        <is>
          <t>NULL</t>
        </is>
      </c>
      <c r="K1377" t="inlineStr">
        <is>
          <t xml:space="preserve"> NO!  	 c_dtoffset_5列源备映射错误，源端为datetimeoffset None位	期望更改为text	实际备端为datetimeoffset None位</t>
        </is>
      </c>
    </row>
    <row r="1378">
      <c r="B1378" t="inlineStr">
        <is>
          <t>NULL</t>
        </is>
      </c>
      <c r="C1378" t="inlineStr">
        <is>
          <t>NULL</t>
        </is>
      </c>
      <c r="D1378" t="inlineStr">
        <is>
          <t>NULL</t>
        </is>
      </c>
      <c r="E1378" t="inlineStr">
        <is>
          <t>NULL</t>
        </is>
      </c>
      <c r="F1378" t="inlineStr">
        <is>
          <t>NULL</t>
        </is>
      </c>
      <c r="G1378" t="inlineStr">
        <is>
          <t>NULL</t>
        </is>
      </c>
      <c r="H1378" t="inlineStr">
        <is>
          <t>NULL</t>
        </is>
      </c>
      <c r="I1378" t="inlineStr">
        <is>
          <t>NULL</t>
        </is>
      </c>
      <c r="J1378" t="inlineStr">
        <is>
          <t>NULL</t>
        </is>
      </c>
      <c r="K1378" t="inlineStr">
        <is>
          <t xml:space="preserve"> NO!  	 c_dtoffset_6列源备映射错误，源端为datetimeoffset None位	期望更改为text	实际备端为datetimeoffset None位</t>
        </is>
      </c>
    </row>
    <row r="1379">
      <c r="B1379" t="inlineStr">
        <is>
          <t>NULL</t>
        </is>
      </c>
      <c r="C1379" t="inlineStr">
        <is>
          <t>NULL</t>
        </is>
      </c>
      <c r="D1379" t="inlineStr">
        <is>
          <t>NULL</t>
        </is>
      </c>
      <c r="E1379" t="inlineStr">
        <is>
          <t>NULL</t>
        </is>
      </c>
      <c r="F1379" t="inlineStr">
        <is>
          <t>NULL</t>
        </is>
      </c>
      <c r="G1379" t="inlineStr">
        <is>
          <t>NULL</t>
        </is>
      </c>
      <c r="H1379" t="inlineStr">
        <is>
          <t>NULL</t>
        </is>
      </c>
      <c r="I1379" t="inlineStr">
        <is>
          <t>NULL</t>
        </is>
      </c>
      <c r="J1379" t="inlineStr">
        <is>
          <t>NULL</t>
        </is>
      </c>
      <c r="K1379" t="inlineStr">
        <is>
          <t xml:space="preserve"> NO!  	 c_dtoffset列源备映射错误，源端为datetimeoffset None位	期望更改为text	实际备端为datetimeoffset None位</t>
        </is>
      </c>
    </row>
    <row r="1380">
      <c r="A1380" t="inlineStr">
        <is>
          <t>info_varchar_dml_batch1_pk_urp2</t>
        </is>
      </c>
      <c r="K1380" t="inlineStr">
        <is>
          <t>[0;34m info_varchar_dml_batch1_pk_urp2 [0m源备字段数相同，源端字段：4 	备端字段4</t>
        </is>
      </c>
      <c r="W1380" t="inlineStr">
        <is>
          <t>YES 源备无差异</t>
        </is>
      </c>
      <c r="X1380">
        <f>A1380</f>
        <v/>
      </c>
    </row>
    <row r="1381">
      <c r="B1381" t="inlineStr">
        <is>
          <t>YES</t>
        </is>
      </c>
      <c r="C1381" t="inlineStr">
        <is>
          <t>NULL</t>
        </is>
      </c>
      <c r="D1381" t="inlineStr">
        <is>
          <t>NULL</t>
        </is>
      </c>
      <c r="E1381" t="inlineStr">
        <is>
          <t>NULL</t>
        </is>
      </c>
      <c r="F1381" t="inlineStr">
        <is>
          <t>NULL</t>
        </is>
      </c>
      <c r="G1381" t="inlineStr">
        <is>
          <t>NULL</t>
        </is>
      </c>
      <c r="H1381" t="inlineStr">
        <is>
          <t>NULL</t>
        </is>
      </c>
      <c r="I1381" t="inlineStr">
        <is>
          <t>YES!PK__info_var__3213E83F7FA058B2</t>
        </is>
      </c>
      <c r="J1381" t="inlineStr">
        <is>
          <t>YES! 主键相关索引</t>
        </is>
      </c>
      <c r="K1381" t="inlineStr">
        <is>
          <t xml:space="preserve"> NO!  	 id列源备映射错误，源端为int None位	期望更改为text	实际备端为int None位</t>
        </is>
      </c>
    </row>
    <row r="1382">
      <c r="B1382" t="inlineStr">
        <is>
          <t>NULL</t>
        </is>
      </c>
      <c r="C1382" t="inlineStr">
        <is>
          <t>NULL</t>
        </is>
      </c>
      <c r="D1382" t="inlineStr">
        <is>
          <t>NULL</t>
        </is>
      </c>
      <c r="E1382" t="inlineStr">
        <is>
          <t>NULL</t>
        </is>
      </c>
      <c r="F1382" t="inlineStr">
        <is>
          <t>NULL</t>
        </is>
      </c>
      <c r="G1382" t="inlineStr">
        <is>
          <t>NULL</t>
        </is>
      </c>
      <c r="H1382" t="inlineStr">
        <is>
          <t>NULL</t>
        </is>
      </c>
      <c r="I1382" t="inlineStr">
        <is>
          <t>NULL</t>
        </is>
      </c>
      <c r="J1382" t="inlineStr">
        <is>
          <t>NULL</t>
        </is>
      </c>
      <c r="K1382" t="inlineStr">
        <is>
          <t xml:space="preserve"> NO!  	 c_varchar列源备映射错误，源端为varchar 1位	期望更改为text	实际备端为varchar 1位</t>
        </is>
      </c>
    </row>
    <row r="1383">
      <c r="B1383" t="inlineStr">
        <is>
          <t>NULL</t>
        </is>
      </c>
      <c r="C1383" t="inlineStr">
        <is>
          <t>NULL</t>
        </is>
      </c>
      <c r="D1383" t="inlineStr">
        <is>
          <t>NULL</t>
        </is>
      </c>
      <c r="E1383" t="inlineStr">
        <is>
          <t>NULL</t>
        </is>
      </c>
      <c r="F1383" t="inlineStr">
        <is>
          <t>NULL</t>
        </is>
      </c>
      <c r="G1383" t="inlineStr">
        <is>
          <t>NULL</t>
        </is>
      </c>
      <c r="H1383" t="inlineStr">
        <is>
          <t>NULL</t>
        </is>
      </c>
      <c r="I1383" t="inlineStr">
        <is>
          <t>NULL</t>
        </is>
      </c>
      <c r="J1383" t="inlineStr">
        <is>
          <t>NULL</t>
        </is>
      </c>
      <c r="K1383" t="inlineStr">
        <is>
          <t xml:space="preserve"> NO!  	 c_varchar20列源备映射错误，源端为varchar 20位	期望更改为text	实际备端为varchar 20位</t>
        </is>
      </c>
    </row>
    <row r="1384">
      <c r="B1384" t="inlineStr">
        <is>
          <t>NULL</t>
        </is>
      </c>
      <c r="C1384" t="inlineStr">
        <is>
          <t>NULL</t>
        </is>
      </c>
      <c r="D1384" t="inlineStr">
        <is>
          <t>NULL</t>
        </is>
      </c>
      <c r="E1384" t="inlineStr">
        <is>
          <t>NULL</t>
        </is>
      </c>
      <c r="F1384" t="inlineStr">
        <is>
          <t>NULL</t>
        </is>
      </c>
      <c r="G1384" t="inlineStr">
        <is>
          <t>NULL</t>
        </is>
      </c>
      <c r="H1384" t="inlineStr">
        <is>
          <t>NULL</t>
        </is>
      </c>
      <c r="I1384" t="inlineStr">
        <is>
          <t>NULL</t>
        </is>
      </c>
      <c r="J1384" t="inlineStr">
        <is>
          <t>NULL</t>
        </is>
      </c>
      <c r="K1384" t="inlineStr">
        <is>
          <t xml:space="preserve"> NO!  	 c_varchar7000列源备映射错误，源端为varchar 7000位	期望更改为text	实际备端为varchar 7000位</t>
        </is>
      </c>
    </row>
    <row r="1385">
      <c r="A1385" t="inlineStr">
        <is>
          <t>info_varchar_dml_single_pk</t>
        </is>
      </c>
      <c r="K1385" t="inlineStr">
        <is>
          <t>[0;34m info_varchar_dml_single_pk [0m源备字段数相同，源端字段：4 	备端字段4</t>
        </is>
      </c>
      <c r="W1385" t="inlineStr">
        <is>
          <t>YES 源备无差异</t>
        </is>
      </c>
      <c r="X1385">
        <f>A1385</f>
        <v/>
      </c>
    </row>
    <row r="1386">
      <c r="B1386" t="inlineStr">
        <is>
          <t>YES</t>
        </is>
      </c>
      <c r="C1386" t="inlineStr">
        <is>
          <t>NULL</t>
        </is>
      </c>
      <c r="D1386" t="inlineStr">
        <is>
          <t>NULL</t>
        </is>
      </c>
      <c r="E1386" t="inlineStr">
        <is>
          <t>NULL</t>
        </is>
      </c>
      <c r="F1386" t="inlineStr">
        <is>
          <t>NULL</t>
        </is>
      </c>
      <c r="G1386" t="inlineStr">
        <is>
          <t>NULL</t>
        </is>
      </c>
      <c r="H1386" t="inlineStr">
        <is>
          <t>NULL</t>
        </is>
      </c>
      <c r="I1386" t="inlineStr">
        <is>
          <t>YES!PK__info_var__3213E83F7498166E</t>
        </is>
      </c>
      <c r="J1386" t="inlineStr">
        <is>
          <t>YES! 主键相关索引</t>
        </is>
      </c>
      <c r="K1386" t="inlineStr">
        <is>
          <t xml:space="preserve"> NO!  	 id列源备映射错误，源端为int None位	期望更改为text	实际备端为int None位</t>
        </is>
      </c>
    </row>
    <row r="1387">
      <c r="B1387" t="inlineStr">
        <is>
          <t>NULL</t>
        </is>
      </c>
      <c r="C1387" t="inlineStr">
        <is>
          <t>NULL</t>
        </is>
      </c>
      <c r="D1387" t="inlineStr">
        <is>
          <t>NULL</t>
        </is>
      </c>
      <c r="E1387" t="inlineStr">
        <is>
          <t>NULL</t>
        </is>
      </c>
      <c r="F1387" t="inlineStr">
        <is>
          <t>NULL</t>
        </is>
      </c>
      <c r="G1387" t="inlineStr">
        <is>
          <t>NULL</t>
        </is>
      </c>
      <c r="H1387" t="inlineStr">
        <is>
          <t>NULL</t>
        </is>
      </c>
      <c r="I1387" t="inlineStr">
        <is>
          <t>NULL</t>
        </is>
      </c>
      <c r="J1387" t="inlineStr">
        <is>
          <t>NULL</t>
        </is>
      </c>
      <c r="K1387" t="inlineStr">
        <is>
          <t xml:space="preserve"> NO!  	 c_varchar列源备映射错误，源端为varchar 1位	期望更改为text	实际备端为varchar 1位</t>
        </is>
      </c>
    </row>
    <row r="1388">
      <c r="B1388" t="inlineStr">
        <is>
          <t>NULL</t>
        </is>
      </c>
      <c r="C1388" t="inlineStr">
        <is>
          <t>NULL</t>
        </is>
      </c>
      <c r="D1388" t="inlineStr">
        <is>
          <t>NULL</t>
        </is>
      </c>
      <c r="E1388" t="inlineStr">
        <is>
          <t>NULL</t>
        </is>
      </c>
      <c r="F1388" t="inlineStr">
        <is>
          <t>NULL</t>
        </is>
      </c>
      <c r="G1388" t="inlineStr">
        <is>
          <t>NULL</t>
        </is>
      </c>
      <c r="H1388" t="inlineStr">
        <is>
          <t>NULL</t>
        </is>
      </c>
      <c r="I1388" t="inlineStr">
        <is>
          <t>NULL</t>
        </is>
      </c>
      <c r="J1388" t="inlineStr">
        <is>
          <t>NULL</t>
        </is>
      </c>
      <c r="K1388" t="inlineStr">
        <is>
          <t xml:space="preserve"> NO!  	 c_varchar50列源备映射错误，源端为varchar 50位	期望更改为text	实际备端为varchar 50位</t>
        </is>
      </c>
    </row>
    <row r="1389">
      <c r="B1389" t="inlineStr">
        <is>
          <t>NULL</t>
        </is>
      </c>
      <c r="C1389" t="inlineStr">
        <is>
          <t>NULL</t>
        </is>
      </c>
      <c r="D1389" t="inlineStr">
        <is>
          <t>NULL</t>
        </is>
      </c>
      <c r="E1389" t="inlineStr">
        <is>
          <t>NULL</t>
        </is>
      </c>
      <c r="F1389" t="inlineStr">
        <is>
          <t>NULL</t>
        </is>
      </c>
      <c r="G1389" t="inlineStr">
        <is>
          <t>NULL</t>
        </is>
      </c>
      <c r="H1389" t="inlineStr">
        <is>
          <t>NULL</t>
        </is>
      </c>
      <c r="I1389" t="inlineStr">
        <is>
          <t>NULL</t>
        </is>
      </c>
      <c r="J1389" t="inlineStr">
        <is>
          <t>NULL</t>
        </is>
      </c>
      <c r="K1389" t="inlineStr">
        <is>
          <t xml:space="preserve"> NO!  	 c_varchar200列源备映射错误，源端为varchar 200位	期望更改为text	实际备端为varchar 200位</t>
        </is>
      </c>
    </row>
    <row r="1390">
      <c r="A1390" t="inlineStr">
        <is>
          <t>info_sdt_dml_batch2_pk_irp1</t>
        </is>
      </c>
      <c r="K1390" t="inlineStr">
        <is>
          <t>[0;34m info_sdt_dml_batch2_pk_irp1 [0m源备字段数相同，源端字段：2 	备端字段2</t>
        </is>
      </c>
      <c r="W1390" s="17">
        <f>HYPERLINK("#2026041919hbase0!EM2","NO 源备存在差异，共13个")</f>
        <v/>
      </c>
      <c r="X1390">
        <f>A1390</f>
        <v/>
      </c>
    </row>
    <row r="1391">
      <c r="B1391" t="inlineStr">
        <is>
          <t>YES</t>
        </is>
      </c>
      <c r="C1391" t="inlineStr">
        <is>
          <t>NULL</t>
        </is>
      </c>
      <c r="D1391" t="inlineStr">
        <is>
          <t>NULL</t>
        </is>
      </c>
      <c r="E1391" t="inlineStr">
        <is>
          <t>NULL</t>
        </is>
      </c>
      <c r="F1391" t="inlineStr">
        <is>
          <t>NULL</t>
        </is>
      </c>
      <c r="G1391" t="inlineStr">
        <is>
          <t>NULL</t>
        </is>
      </c>
      <c r="H1391" t="inlineStr">
        <is>
          <t>NULL</t>
        </is>
      </c>
      <c r="I1391" t="inlineStr">
        <is>
          <t>YES!PK__info_sdt__3213E83FE7901422</t>
        </is>
      </c>
      <c r="J1391" t="inlineStr">
        <is>
          <t>YES! 主键相关索引</t>
        </is>
      </c>
      <c r="K1391" t="inlineStr">
        <is>
          <t xml:space="preserve"> NO!  	 id列源备映射错误，源端为int None位	期望更改为text	实际备端为int None位</t>
        </is>
      </c>
    </row>
    <row r="1392">
      <c r="B1392" t="inlineStr">
        <is>
          <t>NULL</t>
        </is>
      </c>
      <c r="C1392" t="inlineStr">
        <is>
          <t>NULL</t>
        </is>
      </c>
      <c r="D1392" t="inlineStr">
        <is>
          <t>NULL</t>
        </is>
      </c>
      <c r="E1392" t="inlineStr">
        <is>
          <t>NULL</t>
        </is>
      </c>
      <c r="F1392" t="inlineStr">
        <is>
          <t>NULL</t>
        </is>
      </c>
      <c r="G1392" t="inlineStr">
        <is>
          <t>NULL</t>
        </is>
      </c>
      <c r="H1392" t="inlineStr">
        <is>
          <t>NULL</t>
        </is>
      </c>
      <c r="I1392" t="inlineStr">
        <is>
          <t>NULL</t>
        </is>
      </c>
      <c r="J1392" t="inlineStr">
        <is>
          <t>NULL</t>
        </is>
      </c>
      <c r="K1392" t="inlineStr">
        <is>
          <t xml:space="preserve"> NO!  	 c_sdt列源备映射错误，源端为smalldatetime None位	期望更改为text	实际备端为smalldatetime None位</t>
        </is>
      </c>
    </row>
    <row r="1393"/>
  </sheetData>
  <mergeCells count="202">
    <mergeCell ref="A650:A659"/>
    <mergeCell ref="A333:A342"/>
    <mergeCell ref="A569:A578"/>
    <mergeCell ref="A1370:A1379"/>
    <mergeCell ref="A20:A22"/>
    <mergeCell ref="A23:A25"/>
    <mergeCell ref="A451:A455"/>
    <mergeCell ref="A660:A664"/>
    <mergeCell ref="A142:A162"/>
    <mergeCell ref="A916:A918"/>
    <mergeCell ref="A479:A481"/>
    <mergeCell ref="A1269:A1273"/>
    <mergeCell ref="A1031:A1040"/>
    <mergeCell ref="A961:A963"/>
    <mergeCell ref="A891:A894"/>
    <mergeCell ref="A38:A42"/>
    <mergeCell ref="A727:A732"/>
    <mergeCell ref="A77:A81"/>
    <mergeCell ref="A287:A296"/>
    <mergeCell ref="A811:A813"/>
    <mergeCell ref="A258:A262"/>
    <mergeCell ref="A589:A591"/>
    <mergeCell ref="A90:A110"/>
    <mergeCell ref="A534:A538"/>
    <mergeCell ref="A26:A31"/>
    <mergeCell ref="A284:A286"/>
    <mergeCell ref="A753:A755"/>
    <mergeCell ref="A82:A86"/>
    <mergeCell ref="A471:A475"/>
    <mergeCell ref="A221:A223"/>
    <mergeCell ref="A423:A427"/>
    <mergeCell ref="A448:A450"/>
    <mergeCell ref="A370:A372"/>
    <mergeCell ref="A307:A327"/>
    <mergeCell ref="A998:A1002"/>
    <mergeCell ref="A1141:A1145"/>
    <mergeCell ref="A733:A735"/>
    <mergeCell ref="A1307:A1316"/>
    <mergeCell ref="A847:A867"/>
    <mergeCell ref="A174:A176"/>
    <mergeCell ref="A895:A900"/>
    <mergeCell ref="A297:A306"/>
    <mergeCell ref="A1078:A1103"/>
    <mergeCell ref="A1013:A1017"/>
    <mergeCell ref="A1047:A1051"/>
    <mergeCell ref="A665:A674"/>
    <mergeCell ref="A1216:A1225"/>
    <mergeCell ref="A1344:A1364"/>
    <mergeCell ref="A1146:A1148"/>
    <mergeCell ref="A247:A249"/>
    <mergeCell ref="A185:A187"/>
    <mergeCell ref="A748:A752"/>
    <mergeCell ref="A1206:A1215"/>
    <mergeCell ref="A719:A721"/>
    <mergeCell ref="A741:A744"/>
    <mergeCell ref="A592:A596"/>
    <mergeCell ref="A876:A880"/>
    <mergeCell ref="A1023:A1025"/>
    <mergeCell ref="A1299:A1301"/>
    <mergeCell ref="A240:A242"/>
    <mergeCell ref="A52:A61"/>
    <mergeCell ref="A122:A124"/>
    <mergeCell ref="A514:A518"/>
    <mergeCell ref="A868:A872"/>
    <mergeCell ref="A797:A802"/>
    <mergeCell ref="A32:A34"/>
    <mergeCell ref="A909:A912"/>
    <mergeCell ref="A940:A944"/>
    <mergeCell ref="A224:A226"/>
    <mergeCell ref="A343:A348"/>
    <mergeCell ref="A62:A66"/>
    <mergeCell ref="A913:A915"/>
    <mergeCell ref="A814:A818"/>
    <mergeCell ref="A680:A682"/>
    <mergeCell ref="A995:A997"/>
    <mergeCell ref="A922:A924"/>
    <mergeCell ref="A114:A116"/>
    <mergeCell ref="A1110:A1119"/>
    <mergeCell ref="A736:A740"/>
    <mergeCell ref="A1052:A1077"/>
    <mergeCell ref="A919:A921"/>
    <mergeCell ref="A6:A15"/>
    <mergeCell ref="A549:A553"/>
    <mergeCell ref="A564:A568"/>
    <mergeCell ref="A904:A908"/>
    <mergeCell ref="A930:A939"/>
    <mergeCell ref="A1365:A1369"/>
    <mergeCell ref="A263:A268"/>
    <mergeCell ref="A1263:A1265"/>
    <mergeCell ref="A250:A254"/>
    <mergeCell ref="A1390:A1392"/>
    <mergeCell ref="A964:A989"/>
    <mergeCell ref="A169:A173"/>
    <mergeCell ref="A1302:A1306"/>
    <mergeCell ref="A74:A76"/>
    <mergeCell ref="A227:A231"/>
    <mergeCell ref="A412:A422"/>
    <mergeCell ref="A786:A791"/>
    <mergeCell ref="A139:A141"/>
    <mergeCell ref="A3:A5"/>
    <mergeCell ref="A683:A687"/>
    <mergeCell ref="A925:A929"/>
    <mergeCell ref="A71:A73"/>
    <mergeCell ref="A616:A625"/>
    <mergeCell ref="A1177:A1202"/>
    <mergeCell ref="A67:A70"/>
    <mergeCell ref="A579:A588"/>
    <mergeCell ref="A611:A615"/>
    <mergeCell ref="A373:A382"/>
    <mergeCell ref="A803:A807"/>
    <mergeCell ref="A1258:A1262"/>
    <mergeCell ref="A188:A192"/>
    <mergeCell ref="A495:A499"/>
    <mergeCell ref="A274:A283"/>
    <mergeCell ref="A433:A437"/>
    <mergeCell ref="A675:A679"/>
    <mergeCell ref="A269:A273"/>
    <mergeCell ref="A756:A759"/>
    <mergeCell ref="A886:A890"/>
    <mergeCell ref="A383:A388"/>
    <mergeCell ref="A111:A113"/>
    <mergeCell ref="A632:A641"/>
    <mergeCell ref="A180:A184"/>
    <mergeCell ref="A529:A533"/>
    <mergeCell ref="A1120:A1140"/>
    <mergeCell ref="A990:A994"/>
    <mergeCell ref="A117:A121"/>
    <mergeCell ref="A642:A646"/>
    <mergeCell ref="A466:A470"/>
    <mergeCell ref="A492:A494"/>
    <mergeCell ref="A626:A631"/>
    <mergeCell ref="A698:A718"/>
    <mergeCell ref="A87:A89"/>
    <mergeCell ref="A397:A406"/>
    <mergeCell ref="A476:A478"/>
    <mergeCell ref="A647:A649"/>
    <mergeCell ref="A945:A950"/>
    <mergeCell ref="A255:A257"/>
    <mergeCell ref="A781:A785"/>
    <mergeCell ref="A456:A465"/>
    <mergeCell ref="A1203:A1205"/>
    <mergeCell ref="A822:A842"/>
    <mergeCell ref="A1026:A1030"/>
    <mergeCell ref="A500:A503"/>
    <mergeCell ref="A745:A747"/>
    <mergeCell ref="A177:A179"/>
    <mergeCell ref="A1152:A1161"/>
    <mergeCell ref="A792:A796"/>
    <mergeCell ref="A1226:A1236"/>
    <mergeCell ref="A1284:A1293"/>
    <mergeCell ref="A554:A563"/>
    <mergeCell ref="A48:A51"/>
    <mergeCell ref="A504:A513"/>
    <mergeCell ref="A1237:A1257"/>
    <mergeCell ref="A482:A491"/>
    <mergeCell ref="A1018:A1022"/>
    <mergeCell ref="A1274:A1283"/>
    <mergeCell ref="A951:A960"/>
    <mergeCell ref="A1294:A1298"/>
    <mergeCell ref="A235:A239"/>
    <mergeCell ref="A389:A393"/>
    <mergeCell ref="A1266:A1268"/>
    <mergeCell ref="A1003:A1012"/>
    <mergeCell ref="A1323:A1343"/>
    <mergeCell ref="A193:A214"/>
    <mergeCell ref="A16:A19"/>
    <mergeCell ref="A243:A246"/>
    <mergeCell ref="A901:A903"/>
    <mergeCell ref="A349:A369"/>
    <mergeCell ref="A881:A885"/>
    <mergeCell ref="A760:A780"/>
    <mergeCell ref="A35:A37"/>
    <mergeCell ref="A43:A47"/>
    <mergeCell ref="A539:A548"/>
    <mergeCell ref="A688:A697"/>
    <mergeCell ref="A873:A875"/>
    <mergeCell ref="A1149:A1151"/>
    <mergeCell ref="A407:A411"/>
    <mergeCell ref="A1320:A1322"/>
    <mergeCell ref="A328:A332"/>
    <mergeCell ref="A163:A168"/>
    <mergeCell ref="A608:A610"/>
    <mergeCell ref="A232:A234"/>
    <mergeCell ref="A819:A821"/>
    <mergeCell ref="A135:A138"/>
    <mergeCell ref="A438:A447"/>
    <mergeCell ref="A1385:A1389"/>
    <mergeCell ref="A722:A726"/>
    <mergeCell ref="A519:A528"/>
    <mergeCell ref="A597:A607"/>
    <mergeCell ref="A843:A846"/>
    <mergeCell ref="A808:A810"/>
    <mergeCell ref="A1041:A1046"/>
    <mergeCell ref="A394:A396"/>
    <mergeCell ref="A215:A220"/>
    <mergeCell ref="A1167:A1176"/>
    <mergeCell ref="A1104:A1109"/>
    <mergeCell ref="A1380:A1384"/>
    <mergeCell ref="A1162:A1166"/>
    <mergeCell ref="A1317:A1319"/>
    <mergeCell ref="A428:A432"/>
    <mergeCell ref="A125:A134"/>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2026-04-19T11:09:27Z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